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Assumptions" sheetId="1" state="visible" r:id="rId3"/>
    <sheet name="Unit Mix" sheetId="2" state="visible" r:id="rId4"/>
    <sheet name="Operating Model" sheetId="3" state="visible" r:id="rId5"/>
    <sheet name="Debt" sheetId="4" state="visible" r:id="rId6"/>
    <sheet name="Capital" sheetId="5" state="visible" r:id="rId7"/>
    <sheet name="Returns" sheetId="6" state="visible" r:id="rId8"/>
    <sheet name="Debt (Assumed)" sheetId="7" state="visible" r:id="rId9"/>
    <sheet name="Returns (Assumed)" sheetId="8" state="visible" r:id="rId10"/>
    <sheet name="Waterfall" sheetId="9" state="visible" r:id="rId11"/>
    <sheet name="Sensitivity" sheetId="10" state="visible" r:id="rId12"/>
    <sheet name="Checks" sheetId="11" state="visible" r:id="rId13"/>
    <sheet name="Summary"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<sst xmlns="http://schemas.openxmlformats.org/spreadsheetml/2006/main" count="629" uniqueCount="544">
  <si>
    <t xml:space="preserve">ASSUMPTIONS — Parkview Crossing, 901-951 NW 8th Ave, Pompano Beach, FL 33060</t>
  </si>
  <si>
    <t xml:space="preserve">Blue = input. Black = formula. Every number elsewhere in this workbook traces back to a cell on this tab or Unit Mix.</t>
  </si>
  <si>
    <t xml:space="preserve">ACQUISITION</t>
  </si>
  <si>
    <t xml:space="preserve">Units (formula = Unit Mix total, not an input)</t>
  </si>
  <si>
    <t xml:space="preserve">Single source of truth: sums the Unit Mix tab. Listing is internally inconsistent -- LoopNet headline says 97, but the unit-type breakdown in both LoopNet and Crexi marketing text (19 studios + 52 1BR/1BA + 17 2BR/1BA + 10 2BR/2BA) sums to 98. Model uses 98 because the rent roll is built on that breakdown. DILIGENCE ITEM: confirm against the actual rent roll.</t>
  </si>
  <si>
    <t xml:space="preserve">Purchase Price ($)</t>
  </si>
  <si>
    <t xml:space="preserve">Broker-stated asking price (LoopNet)</t>
  </si>
  <si>
    <t xml:space="preserve">Broker-Stated Cap Rate</t>
  </si>
  <si>
    <t xml:space="preserve">LoopNet advertised cap rate</t>
  </si>
  <si>
    <t xml:space="preserve">Broker-Implied NOI ($)</t>
  </si>
  <si>
    <t xml:space="preserve">i.e. Price x Broker Cap (not used downstream)</t>
  </si>
  <si>
    <t xml:space="preserve">Closing Costs (% of Price)</t>
  </si>
  <si>
    <t xml:space="preserve">Broward doc stamps $0.70/$100 + title/legal/reports</t>
  </si>
  <si>
    <t xml:space="preserve">Closing Costs ($)</t>
  </si>
  <si>
    <t xml:space="preserve">PROPERTY TAX REASSESSMENT</t>
  </si>
  <si>
    <t xml:space="preserve">Combined Millage Rate</t>
  </si>
  <si>
    <t xml:space="preserve">PLACEHOLDER (Broward county-wide avg) — REPLACE with BCPA-confirmed parcel millage code rate</t>
  </si>
  <si>
    <t xml:space="preserve">Seller's Current TAXABLE Value ($)</t>
  </si>
  <si>
    <t xml:space="preserve">PLACEHOLDER (LoopNet-disclosed 'assessed value', treated as taxable value since no exemptions apply to non-homestead rental) — REPLACE with BCPA-confirmed taxable value</t>
  </si>
  <si>
    <t xml:space="preserve">Cost-of-Sale Factor (DOR customary)</t>
  </si>
  <si>
    <t xml:space="preserve">Fla. Stat. 193.011(8): DOR sales-ratio studies customarily net sale price by 15% cost-of-sale allowance. Set to 100% to run the conservative (full-price) case instead.</t>
  </si>
  <si>
    <t xml:space="preserve">Non-Homestead Annual Assessment Cap</t>
  </si>
  <si>
    <t xml:space="preserve">Fla. Const. Art VII — 10% cap today; Amendment 3 (Nov 2026 ballot) would cut to 5% starting 2027 if passed — NOT modeled</t>
  </si>
  <si>
    <t xml:space="preserve">Reassessed Just Value at Purchase ($)</t>
  </si>
  <si>
    <t xml:space="preserve">i.e. Purchase Price x Cost-of-Sale Factor</t>
  </si>
  <si>
    <t xml:space="preserve">Seller's Current Annual Tax ($)</t>
  </si>
  <si>
    <t xml:space="preserve">Buyer's Year-1 Tax ($)</t>
  </si>
  <si>
    <t xml:space="preserve">RENOVATION PROGRAM — bottom-up scope, per classic unit</t>
  </si>
  <si>
    <t xml:space="preserve">Kitchen (cabinet refacing, counter, appliance pkg)</t>
  </si>
  <si>
    <t xml:space="preserve">Mini-split ductless AC system</t>
  </si>
  <si>
    <t xml:space="preserve">Vinyl slider window replacement (~3 openings)</t>
  </si>
  <si>
    <t xml:space="preserve">Modern lighting fixtures + ceiling fans</t>
  </si>
  <si>
    <t xml:space="preserve">LVP flooring (~700 SF)</t>
  </si>
  <si>
    <t xml:space="preserve">Bathroom refresh (vanity, fixtures, re-caulk)</t>
  </si>
  <si>
    <t xml:space="preserve">Interior paint</t>
  </si>
  <si>
    <t xml:space="preserve">Turnover labor / make-ready cleaning</t>
  </si>
  <si>
    <t xml:space="preserve">Subtotal ($/unit)</t>
  </si>
  <si>
    <t xml:space="preserve">Contingency %</t>
  </si>
  <si>
    <t xml:space="preserve">Contingency ($/unit)</t>
  </si>
  <si>
    <t xml:space="preserve">TOTAL Renovation Cost ($/unit)</t>
  </si>
  <si>
    <t xml:space="preserve">Renovation Pace (units/month)</t>
  </si>
  <si>
    <t xml:space="preserve">Renovated-Unit Rent Premium ($/month)</t>
  </si>
  <si>
    <t xml:space="preserve">Southeast Class B/C industry commentary, $100-250/mo range</t>
  </si>
  <si>
    <t xml:space="preserve">Renovated-Unit Rent Premium ($/year)</t>
  </si>
  <si>
    <t xml:space="preserve">Year-1 Premium Capture % (mid-program convention)</t>
  </si>
  <si>
    <t xml:space="preserve">6-month program starting month 1 of the hold -&gt; average unit captures ~half a year of uplift in Year 1</t>
  </si>
  <si>
    <t xml:space="preserve">OPERATING ASSUMPTIONS</t>
  </si>
  <si>
    <t xml:space="preserve">Physical Vacancy %</t>
  </si>
  <si>
    <t xml:space="preserve">vs. 92% disclosed occupancy; nudged for renovation downtime</t>
  </si>
  <si>
    <t xml:space="preserve">Credit Loss % (of GPR)</t>
  </si>
  <si>
    <t xml:space="preserve">Concessions % (of GPR)</t>
  </si>
  <si>
    <t xml:space="preserve">Other Income ($/unit/month)</t>
  </si>
  <si>
    <t xml:space="preserve">RUBS, pet, parking, admin fees</t>
  </si>
  <si>
    <t xml:space="preserve">Loss-to-Lease Burn-off % per Turnover</t>
  </si>
  <si>
    <t xml:space="preserve">of remaining gap to market rent, closed at each turnover</t>
  </si>
  <si>
    <t xml:space="preserve">Annual Turnover Rate %</t>
  </si>
  <si>
    <t xml:space="preserve">general Class B/C garden-apartment convention, not property-specific</t>
  </si>
  <si>
    <t xml:space="preserve">Prior-Owner-Renovated Units: Starting Capture of Total Uplift</t>
  </si>
  <si>
    <t xml:space="preserve">judgment split of the disclosed 20.76% blended upside between already-renovated (partial capture) and classic (zero capture) units</t>
  </si>
  <si>
    <t xml:space="preserve">MARKET RENT GROWTH SCHEDULE (Broward/Pompano-sourced, capped at 3.0% terminal)</t>
  </si>
  <si>
    <t xml:space="preserve">Year 1 Market Rent Growth</t>
  </si>
  <si>
    <t xml:space="preserve">Yardi Matrix (via MIAMI REALTORS+RWorld South Florida Rental Market Report, May 2026): Broward County Class C/C+ asking rents +0.2% YoY — near-flat current read, nudged to 1.0% for a full forward year</t>
  </si>
  <si>
    <t xml:space="preserve">Year 2 Market Rent Growth</t>
  </si>
  <si>
    <t xml:space="preserve">judgment, gradual convergence</t>
  </si>
  <si>
    <t xml:space="preserve">Year 3 Market Rent Growth</t>
  </si>
  <si>
    <t xml:space="preserve">Year 4 Market Rent Growth</t>
  </si>
  <si>
    <t xml:space="preserve">capped at 3.0% per instruction — no source supports going higher for a multi-year terminal rate</t>
  </si>
  <si>
    <t xml:space="preserve">Year 5 Market Rent Growth</t>
  </si>
  <si>
    <t xml:space="preserve">capped</t>
  </si>
  <si>
    <t xml:space="preserve">Year 6 Market Rent Growth</t>
  </si>
  <si>
    <t xml:space="preserve">Year 7 Market Rent Growth</t>
  </si>
  <si>
    <t xml:space="preserve">Year 8 Market Rent Growth</t>
  </si>
  <si>
    <t xml:space="preserve">Year 9 Market Rent Growth</t>
  </si>
  <si>
    <t xml:space="preserve">Year 10 Market Rent Growth</t>
  </si>
  <si>
    <t xml:space="preserve">EXPENSE GROWTH</t>
  </si>
  <si>
    <t xml:space="preserve">General Expense Growth % (ex-insurance, ex-tax)</t>
  </si>
  <si>
    <t xml:space="preserve">Insurance Growth %</t>
  </si>
  <si>
    <t xml:space="preserve">above general expense growth given the recent ~37% two-year South Florida trend</t>
  </si>
  <si>
    <t xml:space="preserve">OPERATING EXPENSES (Year 1, $/unit/year unless noted)</t>
  </si>
  <si>
    <t xml:space="preserve">Payroll (on-site mgmt + maintenance)</t>
  </si>
  <si>
    <t xml:space="preserve">Repairs &amp; Maintenance</t>
  </si>
  <si>
    <t xml:space="preserve">nudged up for 1958 vintage / undisclosed roof</t>
  </si>
  <si>
    <t xml:space="preserve">Turnover / Make-Ready</t>
  </si>
  <si>
    <t xml:space="preserve">Contract Services (landscaping, pest, trash)</t>
  </si>
  <si>
    <t xml:space="preserve">Utilities (owner-paid common area/vacant)</t>
  </si>
  <si>
    <t xml:space="preserve">Insurance — Base Case ($/unit)</t>
  </si>
  <si>
    <t xml:space="preserve">vintage-risk-adjusted above the general $2,000/unit South Florida average</t>
  </si>
  <si>
    <t xml:space="preserve">Insurance — If Roof Replaced ($/unit)</t>
  </si>
  <si>
    <t xml:space="preserve">scenario only — see Roof section below</t>
  </si>
  <si>
    <t xml:space="preserve">Management Fee (% of EGI)</t>
  </si>
  <si>
    <t xml:space="preserve">G&amp;A / Admin</t>
  </si>
  <si>
    <t xml:space="preserve">Marketing</t>
  </si>
  <si>
    <t xml:space="preserve">Replacement Reserves (below NOI)</t>
  </si>
  <si>
    <t xml:space="preserve">ROOF &amp; RECERTIFICATION — diligence items, not confident estimates</t>
  </si>
  <si>
    <t xml:space="preserve">Roof Replacement Scenario Toggle (1=on, 0=off)</t>
  </si>
  <si>
    <t xml:space="preserve">Roof Replacement Cost ($, one-time, Year 1 if toggled)</t>
  </si>
  <si>
    <t xml:space="preserve">~23,480 SF est. roof area x $8-12/SF hurricane-code TPO/mod-bit; midpoint of $188k-282k range</t>
  </si>
  <si>
    <t xml:space="preserve">Recertification Year (model Year #)</t>
  </si>
  <si>
    <t xml:space="preserve">next 40/50-Year Program cycle due ~2028; Year 2 of the hold if closing is late 2026/early 2027</t>
  </si>
  <si>
    <t xml:space="preserve">Recertification Inspection Cost ($, one-time)</t>
  </si>
  <si>
    <t xml:space="preserve">placeholder — no sourced fee</t>
  </si>
  <si>
    <t xml:space="preserve">Recertification Remediation Contingency ($, one-time)</t>
  </si>
  <si>
    <t xml:space="preserve">placeholder — genuinely unknowable without an engineer's report</t>
  </si>
  <si>
    <t xml:space="preserve">DEBT — SCENARIO B: NEW ACQUISITION DEBT (generic)</t>
  </si>
  <si>
    <t xml:space="preserve">1-Month SOFR</t>
  </si>
  <si>
    <t xml:space="preserve">sofrrate.com, reading as of 9/18/2026</t>
  </si>
  <si>
    <t xml:space="preserve">Spread (bps over SOFR)</t>
  </si>
  <si>
    <t xml:space="preserve">All-In Floating Rate</t>
  </si>
  <si>
    <t xml:space="preserve">Maximum LTV %</t>
  </si>
  <si>
    <t xml:space="preserve">Minimum DSCR</t>
  </si>
  <si>
    <t xml:space="preserve">Minimum Debt Yield %</t>
  </si>
  <si>
    <t xml:space="preserve">Interest-Only Period (years)</t>
  </si>
  <si>
    <t xml:space="preserve">Amortization (years)</t>
  </si>
  <si>
    <t xml:space="preserve">DEBT — SCENARIO A: ASSUMABLE EXISTING DEBT (broker-disclosed, LoopNet/Crexi)</t>
  </si>
  <si>
    <t xml:space="preserve">First Mortgage Balance ($)</t>
  </si>
  <si>
    <t xml:space="preserve">Crexi listing ("Non-Agency"); LoopNet shows $5,908,933.50 -- small discrepancy, likely different as-of dates. Used the Crexi figure since paired with the explicit 4.2% blended-rate confirmation.</t>
  </si>
  <si>
    <t xml:space="preserve">First Mortgage Rate (fixed)</t>
  </si>
  <si>
    <t xml:space="preserve">LoopNet + Crexi, both state 3.0% fixed</t>
  </si>
  <si>
    <t xml:space="preserve">First Mortgage Maturity (model Year #)</t>
  </si>
  <si>
    <t xml:space="preserve">Broker states "fixed until December 2029." If Year 1 = calendar 2027, Dec 2029 falls in model Year 3 -- adjust this cell if your actual closing date shifts the calendar mapping.</t>
  </si>
  <si>
    <t xml:space="preserve">Supplemental Loan Balance ($)</t>
  </si>
  <si>
    <t xml:space="preserve">LoopNet + Crexi, both state $3,563,000</t>
  </si>
  <si>
    <t xml:space="preserve">Supplemental Loan Rate</t>
  </si>
  <si>
    <t xml:space="preserve">LoopNet + Crexi, both state 6.20%</t>
  </si>
  <si>
    <t xml:space="preserve">Blended Rate (formula, weighted avg -- ties to broker's stated 4.2%)</t>
  </si>
  <si>
    <t xml:space="preserve">Both Loans Interest-Only Through First's Maturity (1=yes)</t>
  </si>
  <si>
    <t xml:space="preserve">JUDGMENT -- amortization/IO status is NOT disclosed publicly for either loan. IO is a common structure for non-agency assumable loans marketed on a cash-flow basis, and is roughly consistent with the broker's "almost 10% cash-on-cash Day 1" claim. Flagged, not confirmed.</t>
  </si>
  <si>
    <t xml:space="preserve">Loan Assumption Fee (% of assumed balance)</t>
  </si>
  <si>
    <t xml:space="preserve">JUDGMENT -- not disclosed. 0.5-1.0% is a commonly cited range for CMBS/balance-sheet loan assumption fees; used the low end. Also assumes ~30-60 days of lender consent/underwriting, not separately costed.</t>
  </si>
  <si>
    <t xml:space="preserve">HOLD &amp; EXIT</t>
  </si>
  <si>
    <t xml:space="preserve">Hold Period (years) -- STRUCTURAL, not a live input</t>
  </si>
  <si>
    <t xml:space="preserve">The model is built for a 5-year hold (5 cash-flow columns, exit on Year-6 forward NOI). Changing this cell does NOT change the model -- shown black, not blue, for that reason.</t>
  </si>
  <si>
    <t xml:space="preserve">Exit Cap Spread over Entry — Base Case (bps)</t>
  </si>
  <si>
    <t xml:space="preserve">per instruction: entry + 50bps</t>
  </si>
  <si>
    <t xml:space="preserve">Exit Cap Spread over Entry — Sensitivity Ceiling (bps)</t>
  </si>
  <si>
    <t xml:space="preserve">per instruction: sensitivity extends to +100bps</t>
  </si>
  <si>
    <t xml:space="preserve">Cost of Sale at Exit (%)</t>
  </si>
  <si>
    <t xml:space="preserve">WATERFALL</t>
  </si>
  <si>
    <t xml:space="preserve">Preferred Return %</t>
  </si>
  <si>
    <t xml:space="preserve">Tier 2 LP Share</t>
  </si>
  <si>
    <t xml:space="preserve">Tier 2 GP Share</t>
  </si>
  <si>
    <t xml:space="preserve">Tier 2 IRR Hurdle</t>
  </si>
  <si>
    <t xml:space="preserve">Tier 3 LP Share</t>
  </si>
  <si>
    <t xml:space="preserve">Tier 3 GP Share</t>
  </si>
  <si>
    <t xml:space="preserve">GP Co-Invest %</t>
  </si>
  <si>
    <t xml:space="preserve">UNIT MIX / RENT ROLL — 98 units (see Assumptions note on the listing's 97 vs. 98 discrepancy)</t>
  </si>
  <si>
    <t xml:space="preserve">75% of units already renovated by prior owner (LoopNet/Crexi). Classic-unit counts below are a proportional allocation of that disclosed 75/25 split across unit types — judgment, not unit-type-level disclosed data.</t>
  </si>
  <si>
    <t xml:space="preserve">Unit Type</t>
  </si>
  <si>
    <t xml:space="preserve">Total Units</t>
  </si>
  <si>
    <t xml:space="preserve">Classic Units</t>
  </si>
  <si>
    <t xml:space="preserve">Renovated Units</t>
  </si>
  <si>
    <t xml:space="preserve">Avg SF</t>
  </si>
  <si>
    <t xml:space="preserve">Classic In-Place Rent/mo</t>
  </si>
  <si>
    <t xml:space="preserve">Renovated In-Place Rent/mo</t>
  </si>
  <si>
    <t xml:space="preserve">Market Rent/mo (at close)</t>
  </si>
  <si>
    <t xml:space="preserve">Studio</t>
  </si>
  <si>
    <t xml:space="preserve">1BR/1BA</t>
  </si>
  <si>
    <t xml:space="preserve">2BR/1BA</t>
  </si>
  <si>
    <t xml:space="preserve">2BR/2BA</t>
  </si>
  <si>
    <t xml:space="preserve">TOTAL / WEIGHTED AVG</t>
  </si>
  <si>
    <t xml:space="preserve">RENOVATION CAPEX BY TYPE (classic units only)</t>
  </si>
  <si>
    <t xml:space="preserve">Cost/Unit</t>
  </si>
  <si>
    <t xml:space="preserve">Total Cost</t>
  </si>
  <si>
    <t xml:space="preserve">TOTAL</t>
  </si>
  <si>
    <t xml:space="preserve">OPERATING MODEL — Annual, 10 Years (property-level, debt-agnostic: identical under Scenario A and B)</t>
  </si>
  <si>
    <t xml:space="preserve">Year</t>
  </si>
  <si>
    <t xml:space="preserve">Calendar Year</t>
  </si>
  <si>
    <t xml:space="preserve">Market Rent Growth (this year)</t>
  </si>
  <si>
    <t xml:space="preserve">MARKET &amp; ACHIEVED RENT BY UNIT TYPE ($/unit/month)</t>
  </si>
  <si>
    <t xml:space="preserve">Studio — Market Rent/mo</t>
  </si>
  <si>
    <t xml:space="preserve">Studio — Classic-Unit Track Rent/mo</t>
  </si>
  <si>
    <t xml:space="preserve">Studio — Prior-Renovated Track Rent/mo</t>
  </si>
  <si>
    <t xml:space="preserve">1BR/1BA — Market Rent/mo</t>
  </si>
  <si>
    <t xml:space="preserve">1BR/1BA — Classic-Unit Track Rent/mo</t>
  </si>
  <si>
    <t xml:space="preserve">1BR/1BA — Prior-Renovated Track Rent/mo</t>
  </si>
  <si>
    <t xml:space="preserve">2BR/1BA — Market Rent/mo</t>
  </si>
  <si>
    <t xml:space="preserve">2BR/1BA — Classic-Unit Track Rent/mo</t>
  </si>
  <si>
    <t xml:space="preserve">2BR/1BA — Prior-Renovated Track Rent/mo</t>
  </si>
  <si>
    <t xml:space="preserve">2BR/2BA — Market Rent/mo</t>
  </si>
  <si>
    <t xml:space="preserve">2BR/2BA — Classic-Unit Track Rent/mo</t>
  </si>
  <si>
    <t xml:space="preserve">2BR/2BA — Prior-Renovated Track Rent/mo</t>
  </si>
  <si>
    <t xml:space="preserve">INCOME</t>
  </si>
  <si>
    <t xml:space="preserve">Gross Potential Rent at Market (all units at market rent)</t>
  </si>
  <si>
    <t xml:space="preserve">Less: Loss-to-Lease (in-place below market; net of renovation premium)</t>
  </si>
  <si>
    <t xml:space="preserve">Gross Scheduled Rent (Market GPR less Loss-to-Lease)</t>
  </si>
  <si>
    <t xml:space="preserve">Less: Physical Vacancy</t>
  </si>
  <si>
    <t xml:space="preserve">Less: Credit Loss</t>
  </si>
  <si>
    <t xml:space="preserve">Less: Concessions</t>
  </si>
  <si>
    <t xml:space="preserve">Plus: Other Income</t>
  </si>
  <si>
    <t xml:space="preserve">Effective Gross Income (EGI)</t>
  </si>
  <si>
    <t xml:space="preserve">OPERATING EXPENSES</t>
  </si>
  <si>
    <t xml:space="preserve">Payroll</t>
  </si>
  <si>
    <t xml:space="preserve">Contract Services</t>
  </si>
  <si>
    <t xml:space="preserve">Utilities (owner-paid)</t>
  </si>
  <si>
    <t xml:space="preserve">Insurance</t>
  </si>
  <si>
    <t xml:space="preserve">Property Tax (reassessed basis, capped growth)</t>
  </si>
  <si>
    <t xml:space="preserve">Total Operating Expenses</t>
  </si>
  <si>
    <t xml:space="preserve">NET OPERATING INCOME (NOI)</t>
  </si>
  <si>
    <t xml:space="preserve">  memo: NOI Before Property Tax (for exit valuation)</t>
  </si>
  <si>
    <t xml:space="preserve">BELOW-NOI ITEMS</t>
  </si>
  <si>
    <t xml:space="preserve">Less: Replacement Reserves</t>
  </si>
  <si>
    <t xml:space="preserve">Less: One-Time Capex (roof scenario / recertification)</t>
  </si>
  <si>
    <t xml:space="preserve">UNLEVERED CASH FLOW (before renovation capex, before debt)</t>
  </si>
  <si>
    <t xml:space="preserve">DEBT — SCENARIO B (ALTERNATIVE): new acquisition debt, sized on the binding constraint (no circularity)</t>
  </si>
  <si>
    <t xml:space="preserve">SIZING</t>
  </si>
  <si>
    <t xml:space="preserve">Year 1 NOI (from Operating Model)</t>
  </si>
  <si>
    <t xml:space="preserve">Loan Amount — LTV Constraint</t>
  </si>
  <si>
    <t xml:space="preserve">Loan Amount — Debt Yield Constraint</t>
  </si>
  <si>
    <t xml:space="preserve">Loan Amount — DSCR Constraint (IO-period debt service)</t>
  </si>
  <si>
    <t xml:space="preserve">SIZED LOAN AMOUNT (binding = minimum)</t>
  </si>
  <si>
    <t xml:space="preserve">Binding Constraint</t>
  </si>
  <si>
    <t xml:space="preserve">Resulting LTV</t>
  </si>
  <si>
    <t xml:space="preserve">Resulting Debt Yield</t>
  </si>
  <si>
    <t xml:space="preserve">Resulting DSCR (Year 1, IO)</t>
  </si>
  <si>
    <t xml:space="preserve">AMORTIZATION SCHEDULE (Years 1-5, matching the hold period)</t>
  </si>
  <si>
    <t xml:space="preserve">Beg. Balance</t>
  </si>
  <si>
    <t xml:space="preserve">Interest</t>
  </si>
  <si>
    <t xml:space="preserve">Principal</t>
  </si>
  <si>
    <t xml:space="preserve">Debt Service</t>
  </si>
  <si>
    <t xml:space="preserve">End Balance</t>
  </si>
  <si>
    <t xml:space="preserve">Annual P&amp;I Payment (post-IO)</t>
  </si>
  <si>
    <t xml:space="preserve">CAPITAL — Sources &amp; Uses, SCENARIO B (ALTERNATIVE: new debt). Scenario A S&amp;U is on Returns (Assumed).</t>
  </si>
  <si>
    <t xml:space="preserve">USES</t>
  </si>
  <si>
    <t xml:space="preserve">Purchase Price</t>
  </si>
  <si>
    <t xml:space="preserve">Closing Costs</t>
  </si>
  <si>
    <t xml:space="preserve">Renovation Capex (24 classic units)</t>
  </si>
  <si>
    <t xml:space="preserve">TOTAL USES</t>
  </si>
  <si>
    <t xml:space="preserve">SOURCES</t>
  </si>
  <si>
    <t xml:space="preserve">Senior Loan (sized on Debt tab)</t>
  </si>
  <si>
    <t xml:space="preserve">Sponsor Equity (plug)</t>
  </si>
  <si>
    <t xml:space="preserve">TOTAL SOURCES</t>
  </si>
  <si>
    <t xml:space="preserve">EQUITY SPLIT</t>
  </si>
  <si>
    <t xml:space="preserve">LP Equity</t>
  </si>
  <si>
    <t xml:space="preserve">GP Equity (co-invest)</t>
  </si>
  <si>
    <t xml:space="preserve">CHECK: Sources - Uses</t>
  </si>
  <si>
    <t xml:space="preserve">RETURNS — Unlevered (debt-agnostic) &amp; Levered SCENARIO B (ALTERNATIVE: new debt), 5-Year Hold</t>
  </si>
  <si>
    <t xml:space="preserve">NOI BRIDGE — Broker-Stated -&gt; True In-Place (Day 0) -&gt; Year-1 Forward</t>
  </si>
  <si>
    <t xml:space="preserve">Day-0 = raw in-place rents from Unit Mix, no growth/burn-off/renovation credit. Year-1 Forward = the Operating Model's Year-1 column (includes a partial year of business-plan execution). These are two different concepts; only Day-0 is a conventional 'going-in' NOI.</t>
  </si>
  <si>
    <t xml:space="preserve">Day-0 Gross Potential Rent (raw in-place, no growth/burnoff/capture)</t>
  </si>
  <si>
    <t xml:space="preserve">Day-0 Effective Gross Income</t>
  </si>
  <si>
    <t xml:space="preserve">Fixed Opex Lines (payroll..marketing, ex-mgmt-fee -- identical to Year 1, no growth applied in Year 1)</t>
  </si>
  <si>
    <t xml:space="preserve">Management Fee (3.5% of Day-0 EGI)</t>
  </si>
  <si>
    <t xml:space="preserve">DAY-0 IN-PLACE NOI (reassessed-tax basis)</t>
  </si>
  <si>
    <t xml:space="preserve">Decomposition of the gap to Year-1 Forward NOI (each effect isolated via live counterfactual, not estimated)</t>
  </si>
  <si>
    <t xml:space="preserve">Counterfactual S2 = burn-off ON (55% turnover x 50% burn-off, on the 74 prior-renovated units, toward Year-1's growth-adjusted market rent) but renovation-premium capture OFF (24 classic units stay at raw in-place). Isolates the burn-off effect cleanly because market-rent growth only enters Year-1 GPR THROUGH the burn-off and capture mechanisms -- with both off, growth alone has zero effect on Year-1 (verified).</t>
  </si>
  <si>
    <t xml:space="preserve">  S2 GPR: Day-0 classic (raw in-place) + burn-off-adjusted prior-renovated tracks</t>
  </si>
  <si>
    <t xml:space="preserve">  S2 EGI (same vacancy/credit-loss/concessions/%/other-income rates as Day-0)</t>
  </si>
  <si>
    <t xml:space="preserve">  S2 NOI (Day-0 fixed opex + mgmt fee on S2 EGI)</t>
  </si>
  <si>
    <t xml:space="preserve">  Day-0 In-Place NOI</t>
  </si>
  <si>
    <t xml:space="preserve">  + Loss-to-lease burn-off effect (isolated: S2 NOI - Day-0 NOI)</t>
  </si>
  <si>
    <t xml:space="preserve">  + Renovation-premium partial-year capture effect (isolated: Year-1 actual - S2 NOI)</t>
  </si>
  <si>
    <t xml:space="preserve">  = YEAR-1 FORWARD NOI (Operating Model, ties out exactly)</t>
  </si>
  <si>
    <t xml:space="preserve">CAP RATE, THREE WAYS</t>
  </si>
  <si>
    <t xml:space="preserve">1. Broker-Stated Cap Rate (seller's current tax basis)</t>
  </si>
  <si>
    <t xml:space="preserve">2. In-Place Cap Rate, Day-0, REASSESSED tax (the true going-in number)</t>
  </si>
  <si>
    <t xml:space="preserve">3. Year-1 FORWARD Cap Rate (includes partial-year business plan execution -- NOT a going-in number)</t>
  </si>
  <si>
    <t xml:space="preserve">EXIT VALUATION — tax-adjusted</t>
  </si>
  <si>
    <t xml:space="preserve">Entry Cap Rate ANCHOR for exit-spread convention = #2 above: In-Place, Day-0, reassessed tax (primary/cost-of-sale method)</t>
  </si>
  <si>
    <t xml:space="preserve">Exit Cap Rate — base case (in-place entry + 50bps)</t>
  </si>
  <si>
    <t xml:space="preserve">Exit Cap Rate — sensitivity ceiling (in-place entry + 100bps)</t>
  </si>
  <si>
    <t xml:space="preserve">Effective Tax Rate at Exit (same cost-of-sale factor as entry)</t>
  </si>
  <si>
    <t xml:space="preserve">Forward NOI Before Property Tax (Year 6, for exit)</t>
  </si>
  <si>
    <t xml:space="preserve">EXIT PRICE = Fwd NOI pretax / (Exit Cap + Eff. Tax Rate)</t>
  </si>
  <si>
    <t xml:space="preserve">Less: Cost of Sale</t>
  </si>
  <si>
    <t xml:space="preserve">Less: Loan Payoff (Scenario B Debt tab, End Balance Year 5)</t>
  </si>
  <si>
    <t xml:space="preserve">NET SALE PROCEEDS TO EQUITY — SCENARIO B</t>
  </si>
  <si>
    <t xml:space="preserve">Net Sale Proceeds, UNLEVERED (no loan payoff)</t>
  </si>
  <si>
    <t xml:space="preserve">CASH FLOWS ($) — Year 0 = closing, Years 1-5 = operations + exit in Year 5</t>
  </si>
  <si>
    <t xml:space="preserve">Year 0</t>
  </si>
  <si>
    <t xml:space="preserve">Year 1</t>
  </si>
  <si>
    <t xml:space="preserve">Year 2</t>
  </si>
  <si>
    <t xml:space="preserve">Year 3</t>
  </si>
  <si>
    <t xml:space="preserve">Year 4</t>
  </si>
  <si>
    <t xml:space="preserve">Year 5</t>
  </si>
  <si>
    <t xml:space="preserve">Unlevered CF (NOI + reserves + roof/recert capex)</t>
  </si>
  <si>
    <t xml:space="preserve">+ Net Sale Proceeds (Year 5 only, unlevered)</t>
  </si>
  <si>
    <t xml:space="preserve">TOTAL UNLEVERED CASH FLOW TO EQUITY</t>
  </si>
  <si>
    <t xml:space="preserve">Less: Debt Service (Scenario B)</t>
  </si>
  <si>
    <t xml:space="preserve">Levered CF from Operations (Scenario B)</t>
  </si>
  <si>
    <t xml:space="preserve">+ Net Sale Proceeds (Year 5 only, levered, Scenario B)</t>
  </si>
  <si>
    <t xml:space="preserve">TOTAL LEVERED CASH FLOW TO EQUITY — SCENARIO B</t>
  </si>
  <si>
    <t xml:space="preserve">RETURNS SUMMARY</t>
  </si>
  <si>
    <t xml:space="preserve">Total Equity Invested (Year 0, Scenario B)</t>
  </si>
  <si>
    <t xml:space="preserve">Total Uses, All-Cash (Year 0, unlevered basis)</t>
  </si>
  <si>
    <t xml:space="preserve">Unlevered IRR (debt-agnostic)</t>
  </si>
  <si>
    <t xml:space="preserve">Levered IRR — SCENARIO B (alternative, new debt)</t>
  </si>
  <si>
    <t xml:space="preserve">Unlevered Equity Multiple (debt-agnostic)</t>
  </si>
  <si>
    <t xml:space="preserve">Levered Equity Multiple — SCENARIO B (alternative, new debt)</t>
  </si>
  <si>
    <t xml:space="preserve">Peak Equity, Scenario B (single close, no follow-on calls)</t>
  </si>
  <si>
    <t xml:space="preserve">CASH-ON-CASH BY YEAR (levered, Scenario B)</t>
  </si>
  <si>
    <t xml:space="preserve">DEBT (ASSUMED) — SCENARIO A (BASE CASE): broker-disclosed existing loan + refinance at maturity</t>
  </si>
  <si>
    <t xml:space="preserve">First mortgage and supplemental loan sourced from LoopNet/Crexi (see Assumptions). Amortization/IO status is NOT disclosed for either -- Assumptions!assum_io is a labeled judgment toggle. If the first mortgage's maturity (Assumptions!assum_first_maturity_yr) falls inside the 5-year hold, the combined balance is refinanced at that point into new debt sized on Scenario B's generic terms (LTV/DSCR/Debt Yield, whichever binds).</t>
  </si>
  <si>
    <t xml:space="preserve">FIRST MORTGAGE (pre-maturity)</t>
  </si>
  <si>
    <t xml:space="preserve">Beginning Balance</t>
  </si>
  <si>
    <t xml:space="preserve">Principal (0 if IO)</t>
  </si>
  <si>
    <t xml:space="preserve">Ending Balance</t>
  </si>
  <si>
    <t xml:space="preserve">SUPPLEMENTAL LOAN (pre-maturity)</t>
  </si>
  <si>
    <t xml:space="preserve">REFINANCE AT MATURITY (fires the year after Assumptions!assum_first_maturity_yr)</t>
  </si>
  <si>
    <t xml:space="preserve">Payoff Balance (First + Supplemental, at maturity)</t>
  </si>
  <si>
    <t xml:space="preserve">NOI in the refinance year (Operating Model, dynamically indexed)</t>
  </si>
  <si>
    <t xml:space="preserve">New Loan — LTV constraint</t>
  </si>
  <si>
    <t xml:space="preserve">New Loan — Debt Yield constraint</t>
  </si>
  <si>
    <t xml:space="preserve">New Loan — DSCR constraint (IO-equivalent)</t>
  </si>
  <si>
    <t xml:space="preserve">NEW REFI LOAN AMOUNT (binding = minimum)</t>
  </si>
  <si>
    <t xml:space="preserve">Cash Required / (Released) at Refinance = Payoff - New Loan</t>
  </si>
  <si>
    <t xml:space="preserve">POST-REFINANCE LOAN</t>
  </si>
  <si>
    <t xml:space="preserve">Annual P&amp;I Payment (post-refi IO period)</t>
  </si>
  <si>
    <t xml:space="preserve">Principal (0 during post-refi IO window)</t>
  </si>
  <si>
    <t xml:space="preserve">COMBINED DEBT SERVICE BY YEAR (feeds Returns (Assumed))</t>
  </si>
  <si>
    <t xml:space="preserve">Total Interest</t>
  </si>
  <si>
    <t xml:space="preserve">Total Principal</t>
  </si>
  <si>
    <t xml:space="preserve">TOTAL DEBT SERVICE</t>
  </si>
  <si>
    <t xml:space="preserve">TOTAL ENDING BALANCE</t>
  </si>
  <si>
    <t xml:space="preserve">RETURNS (ASSUMED DEBT) — SCENARIO A (BASE CASE), 5-Year Hold</t>
  </si>
  <si>
    <t xml:space="preserve">Same property, same NOI trajectory as the Scenario B (new-debt) Returns tab -- the only thing that changes here is the debt.</t>
  </si>
  <si>
    <t xml:space="preserve">SOURCES &amp; USES — SCENARIO A</t>
  </si>
  <si>
    <t xml:space="preserve">Loan Assumption Fee</t>
  </si>
  <si>
    <t xml:space="preserve">Total Uses (Scenario B uses + assumption fee)</t>
  </si>
  <si>
    <t xml:space="preserve">Assumed Debt (First + Supplemental, Year-0 balance)</t>
  </si>
  <si>
    <t xml:space="preserve">Sponsor Equity</t>
  </si>
  <si>
    <t xml:space="preserve">  LP Equity (90%)</t>
  </si>
  <si>
    <t xml:space="preserve">  GP Equity (10%, co-invest)</t>
  </si>
  <si>
    <t xml:space="preserve">  memo: vs. Scenario B equity</t>
  </si>
  <si>
    <t xml:space="preserve">EXIT (same NOI/exit-cap mechanics as Scenario B -- only the loan payoff differs)</t>
  </si>
  <si>
    <t xml:space="preserve">Exit Price (same tax-adjusted formula as Scenario B)</t>
  </si>
  <si>
    <t xml:space="preserve">Less: Loan Payoff (Debt (Assumed), Year-5 Total Ending Balance)</t>
  </si>
  <si>
    <t xml:space="preserve">NET SALE PROCEEDS TO EQUITY — SCENARIO A</t>
  </si>
  <si>
    <t xml:space="preserve">Unlevered CF (same as Scenario B -- identical NOI/reserves/capex)</t>
  </si>
  <si>
    <t xml:space="preserve">Less: Debt Service (Debt (Assumed))</t>
  </si>
  <si>
    <t xml:space="preserve">Less: Cash Required at Refinance (new loan &lt; payoff balance; fires in the maturity year only)</t>
  </si>
  <si>
    <t xml:space="preserve">Levered CF from Operations</t>
  </si>
  <si>
    <t xml:space="preserve">+ Net Sale Proceeds (Year 5 only)</t>
  </si>
  <si>
    <t xml:space="preserve">TOTAL LEVERED CASH FLOW TO EQUITY — SCENARIO A</t>
  </si>
  <si>
    <t xml:space="preserve">RETURNS SUMMARY — SCENARIO A (assumed debt)</t>
  </si>
  <si>
    <t xml:space="preserve">Levered IRR — SCENARIO A (BASE CASE)</t>
  </si>
  <si>
    <t xml:space="preserve">Levered Equity Multiple — SCENARIO A (BASE CASE)</t>
  </si>
  <si>
    <t xml:space="preserve">Year-1 Cash-on-Cash — SCENARIO A (BASE CASE)</t>
  </si>
  <si>
    <t xml:space="preserve">WATERFALL — 8% Pref -&gt; ROC -&gt; 70/30 to 12% IRR -&gt; 50/50 (BASE CASE: Scenario A, assumed debt)</t>
  </si>
  <si>
    <t xml:space="preserve">Method: each tier tracks a compounding 'hurdle balance' (what LP is owed at that tier's rate) that is debited by every LP dollar received. The balance hitting zero is mathematically equivalent to LP achieving exactly that IRR — no iterative solver needed. Runs on Scenario A (assumed debt, the base case) -- for the Scenario B (new debt) waterfall, swap the 'Available Cash' and equity references below to the 'Returns' / 'Capital' tabs.</t>
  </si>
  <si>
    <t xml:space="preserve">Available Cash for Distribution (Scenario A)</t>
  </si>
  <si>
    <t xml:space="preserve">LP Investment / GP Investment (Year 0)</t>
  </si>
  <si>
    <t xml:space="preserve">TIER 1 — Return of Capital + 8% Preferred Return (100% LP)</t>
  </si>
  <si>
    <t xml:space="preserve">Hurdle Balance, End of Year (8% compounding)</t>
  </si>
  <si>
    <t xml:space="preserve">Tier 1 Distribution to LP</t>
  </si>
  <si>
    <t xml:space="preserve">Remaining Cash After Tier 1</t>
  </si>
  <si>
    <t xml:space="preserve">TIER 2 — 70/30 LP/GP up to a 12% LP IRR</t>
  </si>
  <si>
    <t xml:space="preserve">12% Hurdle Balance, End of Year (compounding, net of ALL LP $ incl. Tier 1)</t>
  </si>
  <si>
    <t xml:space="preserve">12% Hurdle Balance After Tier-1 Cash Applied</t>
  </si>
  <si>
    <t xml:space="preserve">Tier 2 Total Distribution (LP+GP)</t>
  </si>
  <si>
    <t xml:space="preserve">  LP share (70%)</t>
  </si>
  <si>
    <t xml:space="preserve">  GP share (30%)</t>
  </si>
  <si>
    <t xml:space="preserve">Remaining Cash After Tier 2</t>
  </si>
  <si>
    <t xml:space="preserve">TIER 3 — 50/50 LP/GP thereafter</t>
  </si>
  <si>
    <t xml:space="preserve">Tier 3 Total Distribution (LP+GP)</t>
  </si>
  <si>
    <t xml:space="preserve">  LP share (50%)</t>
  </si>
  <si>
    <t xml:space="preserve">  GP share (50%)</t>
  </si>
  <si>
    <t xml:space="preserve">TOTALS BY PARTY</t>
  </si>
  <si>
    <t xml:space="preserve">LP Total Distribution</t>
  </si>
  <si>
    <t xml:space="preserve">GP Total Distribution</t>
  </si>
  <si>
    <t xml:space="preserve">CHECK — LP + GP distributions must equal Available Cash each year</t>
  </si>
  <si>
    <t xml:space="preserve">LP / GP RETURNS</t>
  </si>
  <si>
    <t xml:space="preserve">LP IRR</t>
  </si>
  <si>
    <t xml:space="preserve">GP IRR</t>
  </si>
  <si>
    <t xml:space="preserve">LP Equity Multiple</t>
  </si>
  <si>
    <t xml:space="preserve">GP Equity Multiple</t>
  </si>
  <si>
    <t xml:space="preserve">SENSITIVITY — built on SCENARIO B (ALTERNATIVE: new-debt) debt structure; see note</t>
  </si>
  <si>
    <t xml:space="preserve">Each grid is a self-contained proxy calc: Year-1 NOI starts from the Operating Model's base case and is adjusted only for what that table's two axes change (tax, debt sizing, renovation NOI/capex, or a flat rent-growth override); it does not re-run the full unit-by-unit burn-off engine 25 times. Debt is re-sized where price or capex changes; held at the base-case loan where it doesn't. IRR/EM values are pulled from the 'calculation detail' rows near the bottom of this tab. DEBT STRUCTURE IN THESE GRIDS IS SCENARIO B (new debt, 7.10% floating) -- NOT the Scenario A base case. Read them as directional, not as base-case returns.</t>
  </si>
  <si>
    <t xml:space="preserve">TABLE 1 — Exit Cap Rate (rows) x Flat Rent Growth Override (cols) | Levered IRR (top) / Equity Multiple (bottom)</t>
  </si>
  <si>
    <t xml:space="preserve">Exit Cap \ Rent Gr.</t>
  </si>
  <si>
    <t xml:space="preserve">Entry+0bps</t>
  </si>
  <si>
    <t xml:space="preserve">Entry+25bps</t>
  </si>
  <si>
    <t xml:space="preserve">Entry+50bps (base)</t>
  </si>
  <si>
    <t xml:space="preserve">Entry+75bps</t>
  </si>
  <si>
    <t xml:space="preserve">Entry+100bps</t>
  </si>
  <si>
    <t xml:space="preserve">(same grid, Equity Multiple)</t>
  </si>
  <si>
    <t xml:space="preserve">TABLE 2 — Purchase Price (rows) x Exit Cap Spread over Entry (cols) | Levered IRR (top) / Equity Multiple (bottom)</t>
  </si>
  <si>
    <t xml:space="preserve">Price \ Exit Spread</t>
  </si>
  <si>
    <t xml:space="preserve">-10%</t>
  </si>
  <si>
    <t xml:space="preserve">-5%</t>
  </si>
  <si>
    <t xml:space="preserve">Base ($13.8M)</t>
  </si>
  <si>
    <t xml:space="preserve">+5%</t>
  </si>
  <si>
    <t xml:space="preserve">+10%</t>
  </si>
  <si>
    <t xml:space="preserve">TABLE 3 — Renovation Premium/mo (rows) x Renovation Cost/unit (cols) | Levered IRR (top) / Equity Multiple (bottom)</t>
  </si>
  <si>
    <t xml:space="preserve">Premium \ Cost</t>
  </si>
  <si>
    <t xml:space="preserve">-20%</t>
  </si>
  <si>
    <t xml:space="preserve">Base ($20,460)</t>
  </si>
  <si>
    <t xml:space="preserve">+20%</t>
  </si>
  <si>
    <t xml:space="preserve">$100/mo</t>
  </si>
  <si>
    <t xml:space="preserve">$137.50/mo</t>
  </si>
  <si>
    <t xml:space="preserve">$175/mo (base)</t>
  </si>
  <si>
    <t xml:space="preserve">$212.50/mo</t>
  </si>
  <si>
    <t xml:space="preserve">$250/mo</t>
  </si>
  <si>
    <t xml:space="preserve">CALCULATION DETAIL (per-scenario cash flows -- not for review, feeds the grids above)</t>
  </si>
  <si>
    <t xml:space="preserve">Scenario</t>
  </si>
  <si>
    <t xml:space="preserve">IRR</t>
  </si>
  <si>
    <t xml:space="preserve">EM</t>
  </si>
  <si>
    <t xml:space="preserve">T1 Entry+0bps / 1.5%</t>
  </si>
  <si>
    <t xml:space="preserve">T1 Entry+0bps / 2.0%</t>
  </si>
  <si>
    <t xml:space="preserve">T1 Entry+0bps / 2.5%</t>
  </si>
  <si>
    <t xml:space="preserve">T1 Entry+0bps / 3.0%</t>
  </si>
  <si>
    <t xml:space="preserve">T1 Entry+0bps / 3.5%</t>
  </si>
  <si>
    <t xml:space="preserve">T1 Entry+25bps / 1.5%</t>
  </si>
  <si>
    <t xml:space="preserve">T1 Entry+25bps / 2.0%</t>
  </si>
  <si>
    <t xml:space="preserve">T1 Entry+25bps / 2.5%</t>
  </si>
  <si>
    <t xml:space="preserve">T1 Entry+25bps / 3.0%</t>
  </si>
  <si>
    <t xml:space="preserve">T1 Entry+25bps / 3.5%</t>
  </si>
  <si>
    <t xml:space="preserve">T1 Entry+50bps (base) / 1.5%</t>
  </si>
  <si>
    <t xml:space="preserve">T1 Entry+50bps (base) / 2.0%</t>
  </si>
  <si>
    <t xml:space="preserve">T1 Entry+50bps (base) / 2.5%</t>
  </si>
  <si>
    <t xml:space="preserve">T1 Entry+50bps (base) / 3.0%</t>
  </si>
  <si>
    <t xml:space="preserve">T1 Entry+50bps (base) / 3.5%</t>
  </si>
  <si>
    <t xml:space="preserve">T1 Entry+75bps / 1.5%</t>
  </si>
  <si>
    <t xml:space="preserve">T1 Entry+75bps / 2.0%</t>
  </si>
  <si>
    <t xml:space="preserve">T1 Entry+75bps / 2.5%</t>
  </si>
  <si>
    <t xml:space="preserve">T1 Entry+75bps / 3.0%</t>
  </si>
  <si>
    <t xml:space="preserve">T1 Entry+75bps / 3.5%</t>
  </si>
  <si>
    <t xml:space="preserve">T1 Entry+100bps / 1.5%</t>
  </si>
  <si>
    <t xml:space="preserve">T1 Entry+100bps / 2.0%</t>
  </si>
  <si>
    <t xml:space="preserve">T1 Entry+100bps / 2.5%</t>
  </si>
  <si>
    <t xml:space="preserve">T1 Entry+100bps / 3.0%</t>
  </si>
  <si>
    <t xml:space="preserve">T1 Entry+100bps / 3.5%</t>
  </si>
  <si>
    <t xml:space="preserve">T2 -10% / Entry+0bps</t>
  </si>
  <si>
    <t xml:space="preserve">T2 -10% / Entry+25bps</t>
  </si>
  <si>
    <t xml:space="preserve">T2 -10% / Entry+50bps (base)</t>
  </si>
  <si>
    <t xml:space="preserve">T2 -10% / Entry+75bps</t>
  </si>
  <si>
    <t xml:space="preserve">T2 -10% / Entry+100bps</t>
  </si>
  <si>
    <t xml:space="preserve">T2 -5% / Entry+0bps</t>
  </si>
  <si>
    <t xml:space="preserve">T2 -5% / Entry+25bps</t>
  </si>
  <si>
    <t xml:space="preserve">T2 -5% / Entry+50bps (base)</t>
  </si>
  <si>
    <t xml:space="preserve">T2 -5% / Entry+75bps</t>
  </si>
  <si>
    <t xml:space="preserve">T2 -5% / Entry+100bps</t>
  </si>
  <si>
    <t xml:space="preserve">T2 Base ($13.8M) / Entry+0bps</t>
  </si>
  <si>
    <t xml:space="preserve">T2 Base ($13.8M) / Entry+25bps</t>
  </si>
  <si>
    <t xml:space="preserve">T2 Base ($13.8M) / Entry+50bps (base)</t>
  </si>
  <si>
    <t xml:space="preserve">T2 Base ($13.8M) / Entry+75bps</t>
  </si>
  <si>
    <t xml:space="preserve">T2 Base ($13.8M) / Entry+100bps</t>
  </si>
  <si>
    <t xml:space="preserve">T2 +5% / Entry+0bps</t>
  </si>
  <si>
    <t xml:space="preserve">T2 +5% / Entry+25bps</t>
  </si>
  <si>
    <t xml:space="preserve">T2 +5% / Entry+50bps (base)</t>
  </si>
  <si>
    <t xml:space="preserve">T2 +5% / Entry+75bps</t>
  </si>
  <si>
    <t xml:space="preserve">T2 +5% / Entry+100bps</t>
  </si>
  <si>
    <t xml:space="preserve">T2 +10% / Entry+0bps</t>
  </si>
  <si>
    <t xml:space="preserve">T2 +10% / Entry+25bps</t>
  </si>
  <si>
    <t xml:space="preserve">T2 +10% / Entry+50bps (base)</t>
  </si>
  <si>
    <t xml:space="preserve">T2 +10% / Entry+75bps</t>
  </si>
  <si>
    <t xml:space="preserve">T2 +10% / Entry+100bps</t>
  </si>
  <si>
    <t xml:space="preserve">T3 $100/mo / -20%</t>
  </si>
  <si>
    <t xml:space="preserve">T3 $100/mo / -10%</t>
  </si>
  <si>
    <t xml:space="preserve">T3 $100/mo / Base ($20,460)</t>
  </si>
  <si>
    <t xml:space="preserve">T3 $100/mo / +10%</t>
  </si>
  <si>
    <t xml:space="preserve">T3 $100/mo / +20%</t>
  </si>
  <si>
    <t xml:space="preserve">T3 $137.50/mo / -20%</t>
  </si>
  <si>
    <t xml:space="preserve">T3 $137.50/mo / -10%</t>
  </si>
  <si>
    <t xml:space="preserve">T3 $137.50/mo / Base ($20,460)</t>
  </si>
  <si>
    <t xml:space="preserve">T3 $137.50/mo / +10%</t>
  </si>
  <si>
    <t xml:space="preserve">T3 $137.50/mo / +20%</t>
  </si>
  <si>
    <t xml:space="preserve">T3 $175/mo (base) / -20%</t>
  </si>
  <si>
    <t xml:space="preserve">T3 $175/mo (base) / -10%</t>
  </si>
  <si>
    <t xml:space="preserve">T3 $175/mo (base) / Base ($20,460)</t>
  </si>
  <si>
    <t xml:space="preserve">T3 $175/mo (base) / +10%</t>
  </si>
  <si>
    <t xml:space="preserve">T3 $175/mo (base) / +20%</t>
  </si>
  <si>
    <t xml:space="preserve">T3 $212.50/mo / -20%</t>
  </si>
  <si>
    <t xml:space="preserve">T3 $212.50/mo / -10%</t>
  </si>
  <si>
    <t xml:space="preserve">T3 $212.50/mo / Base ($20,460)</t>
  </si>
  <si>
    <t xml:space="preserve">T3 $212.50/mo / +10%</t>
  </si>
  <si>
    <t xml:space="preserve">T3 $212.50/mo / +20%</t>
  </si>
  <si>
    <t xml:space="preserve">T3 $250/mo / -20%</t>
  </si>
  <si>
    <t xml:space="preserve">T3 $250/mo / -10%</t>
  </si>
  <si>
    <t xml:space="preserve">T3 $250/mo / Base ($20,460)</t>
  </si>
  <si>
    <t xml:space="preserve">T3 $250/mo / +10%</t>
  </si>
  <si>
    <t xml:space="preserve">T3 $250/mo / +20%</t>
  </si>
  <si>
    <t xml:space="preserve">CHECKS</t>
  </si>
  <si>
    <t xml:space="preserve">1. SOURCES = USES</t>
  </si>
  <si>
    <t xml:space="preserve">Sources - Uses (Capital tab)</t>
  </si>
  <si>
    <t xml:space="preserve">2. SCENARIO B: LEVERED CF REBUILT FROM OPERATING + DEBT TABS (each year)</t>
  </si>
  <si>
    <t xml:space="preserve">Year 1: (Operating UCF - Debt Svc) - Returns Levered-from-Ops</t>
  </si>
  <si>
    <t xml:space="preserve">Year 2: (Operating UCF - Debt Svc) - Returns Levered-from-Ops</t>
  </si>
  <si>
    <t xml:space="preserve">Year 3: (Operating UCF - Debt Svc) - Returns Levered-from-Ops</t>
  </si>
  <si>
    <t xml:space="preserve">Year 4: (Operating UCF - Debt Svc) - Returns Levered-from-Ops</t>
  </si>
  <si>
    <t xml:space="preserve">Year 5: (Operating UCF - Debt Svc) - Returns Levered-from-Ops</t>
  </si>
  <si>
    <t xml:space="preserve">3. NOI RECOMPUTATION (EGI + Opex - NOI, each year)</t>
  </si>
  <si>
    <t xml:space="preserve">Year 1: EGI+OpexTotal-NOI</t>
  </si>
  <si>
    <t xml:space="preserve">Year 2: EGI+OpexTotal-NOI</t>
  </si>
  <si>
    <t xml:space="preserve">Year 3: EGI+OpexTotal-NOI</t>
  </si>
  <si>
    <t xml:space="preserve">Year 4: EGI+OpexTotal-NOI</t>
  </si>
  <si>
    <t xml:space="preserve">Year 5: EGI+OpexTotal-NOI</t>
  </si>
  <si>
    <t xml:space="preserve">4. SCENARIO A (BASE CASE) WATERFALL DISTRIBUTIONS = AVAILABLE CASH (each year)</t>
  </si>
  <si>
    <t xml:space="preserve">Year 1: LP+GP-Available</t>
  </si>
  <si>
    <t xml:space="preserve">Year 2: LP+GP-Available</t>
  </si>
  <si>
    <t xml:space="preserve">Year 3: LP+GP-Available</t>
  </si>
  <si>
    <t xml:space="preserve">Year 4: LP+GP-Available</t>
  </si>
  <si>
    <t xml:space="preserve">Year 5: LP+GP-Available</t>
  </si>
  <si>
    <t xml:space="preserve">5. SCENARIO A (BASE CASE) WATERFALL HURDLE BALANCES NEVER GO NEGATIVE</t>
  </si>
  <si>
    <t xml:space="preserve">MIN Tier-1 hurdle balance (should be &gt;= 0)</t>
  </si>
  <si>
    <t xml:space="preserve">MIN Tier-2 hurdle balance (should be &gt;= 0)</t>
  </si>
  <si>
    <t xml:space="preserve">6. LP EQUITY + GP EQUITY = TOTAL EQUITY</t>
  </si>
  <si>
    <t xml:space="preserve">Scenario B (Capital tab): LP+GP Equity - Total Equity</t>
  </si>
  <si>
    <t xml:space="preserve">Scenario A (base case, Returns (Assumed) tab): LP+GP Equity - Total Equity</t>
  </si>
  <si>
    <t xml:space="preserve">7. SCENARIO B DEBT SCHEDULE INTERNAL CONSISTENCY</t>
  </si>
  <si>
    <t xml:space="preserve">Loan - Cumulative Principal Paid - Year5 End Balance</t>
  </si>
  <si>
    <t xml:space="preserve">8. NOI BRIDGE TIES OUT (Day-0 + burn-off + capture = Year-1 Forward)</t>
  </si>
  <si>
    <t xml:space="preserve">Bridge sum - Operating Model Year-1 NOI</t>
  </si>
  <si>
    <t xml:space="preserve">9. SCENARIO A DEBT (ASSUMED) SCHEDULE INTERNAL CONSISTENCY (post-refi sub-loan)</t>
  </si>
  <si>
    <t xml:space="preserve">Refi Loan - Cumulative Post-Refi Principal - Year5 Refi End Balance</t>
  </si>
  <si>
    <t xml:space="preserve">10. FORMULA ERROR SCAN</t>
  </si>
  <si>
    <t xml:space="preserve">See Phase 3 verification report for a full-workbook #REF!/#DIV/0!/#VALUE!/#NAME? scan (done via LibreOffice headless recalculation + openpyxl re-read, not a formula on this tab).</t>
  </si>
  <si>
    <t xml:space="preserve">SUMMARY — Parkview Crossing</t>
  </si>
  <si>
    <t xml:space="preserve">98-unit garden apartment community (listing says 97 in one place, 98 in another -- see Assumptions), Pompano Beach, FL, built 1958. Light value-add / core-plus: 75% of units already renovated by the prior owner; this plan finishes the remaining ~24 classic units, burns off loss-to-lease on the rest, and underwrites Florida's post-sale property-tax reassessment (and a tax-adjusted exit) explicitly rather than ignoring them.</t>
  </si>
  <si>
    <t xml:space="preserve">SOURCES &amp; USES — BASE CASE: Scenario A, assumed debt</t>
  </si>
  <si>
    <t xml:space="preserve">Total Uses (incl. loan assumption fee)</t>
  </si>
  <si>
    <t xml:space="preserve">Assumed Debt (First + Supplemental, Year-0)</t>
  </si>
  <si>
    <t xml:space="preserve">  GP Equity (10%)</t>
  </si>
  <si>
    <t xml:space="preserve">KEY METRICS (property-level, same under both debt scenarios unless labeled)</t>
  </si>
  <si>
    <t xml:space="preserve">2. In-Place Cap Rate, Day-0, reassessed tax (TRUE going-in -- anchors the exit cap below)</t>
  </si>
  <si>
    <t xml:space="preserve">3. Year-1 Forward Cap Rate (includes partial-yr business plan -- NOT used for exit-spread convention)</t>
  </si>
  <si>
    <t xml:space="preserve">Exit Cap Rate (base case, In-Place entry + 50bps -- see NOI Bridge on Returns tab)</t>
  </si>
  <si>
    <t xml:space="preserve">Assumed-Debt LTV at Close (fixed balance, not sized)</t>
  </si>
  <si>
    <t xml:space="preserve">Hold Period (structural)</t>
  </si>
  <si>
    <t xml:space="preserve">RETURNS — BASE CASE: Scenario A, assumed debt</t>
  </si>
  <si>
    <t xml:space="preserve">Levered IRR (deal-level, Scenario A)</t>
  </si>
  <si>
    <t xml:space="preserve">Levered Equity Multiple (deal-level, Scenario A)</t>
  </si>
  <si>
    <t xml:space="preserve">LP IRR (Scenario A)</t>
  </si>
  <si>
    <t xml:space="preserve">LP Equity Multiple (Scenario A)</t>
  </si>
  <si>
    <t xml:space="preserve">GP IRR (Scenario A)</t>
  </si>
  <si>
    <t xml:space="preserve">GP Equity Multiple (Scenario A)</t>
  </si>
  <si>
    <t xml:space="preserve">DEBT SCENARIO COMPARISON — deal-level (pre-promote) returns</t>
  </si>
  <si>
    <t xml:space="preserve">A: Assumed Debt (BASE CASE)</t>
  </si>
  <si>
    <t xml:space="preserve">B: New Debt (alternative)</t>
  </si>
  <si>
    <t xml:space="preserve">Year-0 Loan Amount</t>
  </si>
  <si>
    <t xml:space="preserve">Rate</t>
  </si>
  <si>
    <t xml:space="preserve">Sponsor Equity Required</t>
  </si>
  <si>
    <t xml:space="preserve">Levered IRR (deal-level)</t>
  </si>
  <si>
    <t xml:space="preserve">Levered Equity Multiple (deal-level)</t>
  </si>
  <si>
    <t xml:space="preserve">Year-1 Cash-on-Cash</t>
  </si>
  <si>
    <t xml:space="preserve">BID PRICE — max price by target return (Scenario A, assumed debt)</t>
  </si>
  <si>
    <t xml:space="preserve">Solved with scipy root-finding in price_solve.py (repo root), not a live in-sheet formula -- true goal-seek isn't expressible as static Excel formulas without an iterative/circular solver. Re-run that script any time Assumptions change; these are reported results, not linked cells.</t>
  </si>
  <si>
    <t xml:space="preserve">Target</t>
  </si>
  <si>
    <t xml:space="preserve">Max Price</t>
  </si>
  <si>
    <t xml:space="preserve">vs. $13.8M Asking</t>
  </si>
  <si>
    <t xml:space="preserve">Implied In-Place Cap</t>
  </si>
  <si>
    <t xml:space="preserve">Deal IRR / LP IRR</t>
  </si>
  <si>
    <t xml:space="preserve">PENDING RE-SOLVE (Step 4): the prior solved prices assumed 97 units; the model now uses 98 (see Assumptions 'Units' note). Blanked rather than left stale. Step 4 re-solves under BOTH debt scenarios.</t>
  </si>
  <si>
    <t xml:space="preserve">DEAL THESIS</t>
  </si>
  <si>
    <t xml:space="preserve">Light value-add / core-plus acquisition of a 1958-vintage, 98-unit Broward County garden apartment community that is 75% already renovated. Return drivers: (1) finishing the ~24 remaining classic units on a bottom-up $20,460/unit scope, (2) loss-to-lease burn-off on units still priced below the broker-disclosed 20.76% market gap, (3) modest, Broward-Class-C-sourced market rent growth capped at 3.0% terminal, and (4) expense discipline given real insurance and property-tax exposure on a 68-year-old building. Property tax is modeled on Florida's actual post-sale reassessment mechanic (Fla. Stat. 193.011(8) cost-of-sale method), and exit value uses a tax-adjusted formula so the exit buyer's own reassessment isn't ignored. Roof condition and the building's 40/50-Year recertification status are undisclosed and treated as flagged diligence items, not assumptions.</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</si>
</sst>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0000"/>
    <numFmt numFmtId="169" formatCode="0.00\x"/>
    <numFmt numFmtId="170" formatCode="0.00\x"/>
    <numFmt numFmtId="171" formatCode="#,##0.00"/>
    <numFmt numFmtId="172" formatCode="0&quot; years&quot;"/>
  </numFmts>
  <fonts count="11">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9"/>
      <color rgb="FF808080"/>
      <name val="Cambria"/>
      <family val="0"/>
      <charset val="1"/>
    </font>
    <font>
      <b val="true"/>
      <sz val="11"/>
      <color rgb="FFFFFFFF"/>
      <name val="Cambria"/>
      <family val="0"/>
      <charset val="1"/>
    </font>
    <font>
      <b val="true"/>
      <sz val="11"/>
      <name val="Cambria"/>
      <family val="0"/>
      <charset val="1"/>
    </font>
    <font>
      <sz val="11"/>
      <color rgb="FF0000FF"/>
      <name val="Cambria"/>
      <family val="0"/>
      <charset val="1"/>
    </font>
    <font>
      <sz val="11"/>
      <color rgb="FF000000"/>
      <name val="Cambria"/>
      <family val="0"/>
      <charset val="1"/>
    </font>
    <font>
      <b val="true"/>
      <sz val="11"/>
      <color rgb="FF0000FF"/>
      <name val="Cambria"/>
      <family val="0"/>
      <charset val="1"/>
    </font>
  </fonts>
  <fills count="3">
    <fill>
      <patternFill patternType="none"/>
    </fill>
    <fill>
      <patternFill patternType="gray125"/>
    </fill>
    <fill>
      <patternFill patternType="solid">
        <fgColor rgb="FF2F5496"/>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2"/>
    <col collapsed="false" customWidth="true" hidden="false" outlineLevel="0" max="2" min="2" style="0" width="2"/>
    <col collapsed="false" customWidth="true" hidden="false" outlineLevel="0" max="3" min="3" style="0" width="16"/>
    <col collapsed="false" customWidth="true" hidden="false" outlineLevel="0" max="4" min="4" style="0" width="3"/>
    <col collapsed="false" customWidth="true" hidden="false" outlineLevel="0" max="5" min="5" style="0" width="46"/>
  </cols>
  <sheetData>
    <row r="1" customFormat="false" ht="17.35" hidden="false" customHeight="false" outlineLevel="0" collapsed="false">
      <c r="A1" s="1" t="s">
        <v>0</v>
      </c>
    </row>
    <row r="3" customFormat="false" ht="15" hidden="false" customHeight="false" outlineLevel="0" collapsed="false">
      <c r="A3" s="2" t="s">
        <v>1</v>
      </c>
    </row>
    <row r="5" customFormat="false" ht="15" hidden="false" customHeight="false" outlineLevel="0" collapsed="false">
      <c r="A5" s="3" t="s">
        <v>2</v>
      </c>
      <c r="B5" s="3"/>
      <c r="C5" s="3"/>
      <c r="D5" s="3"/>
      <c r="E5" s="3"/>
      <c r="F5" s="3"/>
    </row>
    <row r="6" customFormat="false" ht="15" hidden="false" customHeight="false" outlineLevel="0" collapsed="false">
      <c r="A6" s="0" t="s">
        <v>3</v>
      </c>
      <c r="C6" s="4" t="n">
        <f aca="false">'Unit Mix'!$B$10</f>
        <v>98</v>
      </c>
      <c r="E6" s="2" t="s">
        <v>4</v>
      </c>
    </row>
    <row r="7" customFormat="false" ht="15" hidden="false" customHeight="false" outlineLevel="0" collapsed="false">
      <c r="A7" s="0" t="s">
        <v>5</v>
      </c>
      <c r="C7" s="5" t="n">
        <v>13800000</v>
      </c>
      <c r="E7" s="2" t="s">
        <v>6</v>
      </c>
    </row>
    <row r="8" customFormat="false" ht="15" hidden="false" customHeight="false" outlineLevel="0" collapsed="false">
      <c r="A8" s="0" t="s">
        <v>7</v>
      </c>
      <c r="C8" s="6" t="n">
        <v>0.07</v>
      </c>
      <c r="E8" s="2" t="s">
        <v>8</v>
      </c>
    </row>
    <row r="9" customFormat="false" ht="15" hidden="false" customHeight="false" outlineLevel="0" collapsed="false">
      <c r="A9" s="0" t="s">
        <v>9</v>
      </c>
      <c r="C9" s="7" t="n">
        <f aca="false">Assumptions!$C$7*Assumptions!$C$8</f>
        <v>966000</v>
      </c>
      <c r="E9" s="2" t="s">
        <v>10</v>
      </c>
    </row>
    <row r="10" customFormat="false" ht="15" hidden="false" customHeight="false" outlineLevel="0" collapsed="false">
      <c r="A10" s="0" t="s">
        <v>11</v>
      </c>
      <c r="C10" s="6" t="n">
        <v>0.015</v>
      </c>
      <c r="E10" s="2" t="s">
        <v>12</v>
      </c>
    </row>
    <row r="11" customFormat="false" ht="15" hidden="false" customHeight="false" outlineLevel="0" collapsed="false">
      <c r="A11" s="0" t="s">
        <v>13</v>
      </c>
      <c r="C11" s="7" t="n">
        <f aca="false">Assumptions!$C$7*Assumptions!$C$10</f>
        <v>207000</v>
      </c>
    </row>
    <row r="13" customFormat="false" ht="15" hidden="false" customHeight="false" outlineLevel="0" collapsed="false">
      <c r="A13" s="3" t="s">
        <v>14</v>
      </c>
      <c r="B13" s="3"/>
      <c r="C13" s="3"/>
      <c r="D13" s="3"/>
      <c r="E13" s="3"/>
      <c r="F13" s="3"/>
    </row>
    <row r="14" customFormat="false" ht="15" hidden="false" customHeight="false" outlineLevel="0" collapsed="false">
      <c r="A14" s="0" t="s">
        <v>15</v>
      </c>
      <c r="C14" s="8" t="n">
        <v>0.0198394</v>
      </c>
      <c r="E14" s="2" t="s">
        <v>16</v>
      </c>
    </row>
    <row r="15" customFormat="false" ht="15" hidden="false" customHeight="false" outlineLevel="0" collapsed="false">
      <c r="A15" s="0" t="s">
        <v>17</v>
      </c>
      <c r="C15" s="9" t="n">
        <v>10318700</v>
      </c>
      <c r="E15" s="2" t="s">
        <v>18</v>
      </c>
    </row>
    <row r="16" customFormat="false" ht="15" hidden="false" customHeight="false" outlineLevel="0" collapsed="false">
      <c r="A16" s="0" t="s">
        <v>19</v>
      </c>
      <c r="C16" s="6" t="n">
        <v>0.85</v>
      </c>
      <c r="E16" s="2" t="s">
        <v>20</v>
      </c>
    </row>
    <row r="17" customFormat="false" ht="15" hidden="false" customHeight="false" outlineLevel="0" collapsed="false">
      <c r="A17" s="0" t="s">
        <v>21</v>
      </c>
      <c r="C17" s="6" t="n">
        <v>0.1</v>
      </c>
      <c r="E17" s="2" t="s">
        <v>22</v>
      </c>
    </row>
    <row r="18" customFormat="false" ht="15" hidden="false" customHeight="false" outlineLevel="0" collapsed="false">
      <c r="A18" s="0" t="s">
        <v>23</v>
      </c>
      <c r="C18" s="7" t="n">
        <f aca="false">Assumptions!$C$7*Assumptions!$C$16</f>
        <v>11730000</v>
      </c>
      <c r="E18" s="2" t="s">
        <v>24</v>
      </c>
    </row>
    <row r="19" customFormat="false" ht="15" hidden="false" customHeight="false" outlineLevel="0" collapsed="false">
      <c r="A19" s="0" t="s">
        <v>25</v>
      </c>
      <c r="C19" s="7" t="n">
        <f aca="false">Assumptions!$C$15*Assumptions!$C$14</f>
        <v>204716.81678</v>
      </c>
    </row>
    <row r="20" customFormat="false" ht="15" hidden="false" customHeight="false" outlineLevel="0" collapsed="false">
      <c r="A20" s="0" t="s">
        <v>26</v>
      </c>
      <c r="C20" s="7" t="n">
        <f aca="false">Assumptions!$C$18*Assumptions!$C$14</f>
        <v>232716.162</v>
      </c>
    </row>
    <row r="22" customFormat="false" ht="15" hidden="false" customHeight="false" outlineLevel="0" collapsed="false">
      <c r="A22" s="3" t="s">
        <v>27</v>
      </c>
      <c r="B22" s="3"/>
      <c r="C22" s="3"/>
      <c r="D22" s="3"/>
      <c r="E22" s="3"/>
      <c r="F22" s="3"/>
    </row>
    <row r="23" customFormat="false" ht="15" hidden="false" customHeight="false" outlineLevel="0" collapsed="false">
      <c r="A23" s="0" t="s">
        <v>28</v>
      </c>
      <c r="C23" s="5" t="n">
        <v>7000</v>
      </c>
    </row>
    <row r="24" customFormat="false" ht="15" hidden="false" customHeight="false" outlineLevel="0" collapsed="false">
      <c r="A24" s="0" t="s">
        <v>29</v>
      </c>
      <c r="C24" s="5" t="n">
        <v>3500</v>
      </c>
    </row>
    <row r="25" customFormat="false" ht="15" hidden="false" customHeight="false" outlineLevel="0" collapsed="false">
      <c r="A25" s="0" t="s">
        <v>30</v>
      </c>
      <c r="C25" s="5" t="n">
        <v>1500</v>
      </c>
    </row>
    <row r="26" customFormat="false" ht="15" hidden="false" customHeight="false" outlineLevel="0" collapsed="false">
      <c r="A26" s="0" t="s">
        <v>31</v>
      </c>
      <c r="C26" s="5" t="n">
        <v>400</v>
      </c>
    </row>
    <row r="27" customFormat="false" ht="15" hidden="false" customHeight="false" outlineLevel="0" collapsed="false">
      <c r="A27" s="0" t="s">
        <v>32</v>
      </c>
      <c r="C27" s="5" t="n">
        <v>4000</v>
      </c>
    </row>
    <row r="28" customFormat="false" ht="15" hidden="false" customHeight="false" outlineLevel="0" collapsed="false">
      <c r="A28" s="0" t="s">
        <v>33</v>
      </c>
      <c r="C28" s="5" t="n">
        <v>1200</v>
      </c>
    </row>
    <row r="29" customFormat="false" ht="15" hidden="false" customHeight="false" outlineLevel="0" collapsed="false">
      <c r="A29" s="0" t="s">
        <v>34</v>
      </c>
      <c r="C29" s="5" t="n">
        <v>500</v>
      </c>
    </row>
    <row r="30" customFormat="false" ht="15" hidden="false" customHeight="false" outlineLevel="0" collapsed="false">
      <c r="A30" s="0" t="s">
        <v>35</v>
      </c>
      <c r="C30" s="5" t="n">
        <v>500</v>
      </c>
    </row>
    <row r="31" customFormat="false" ht="15" hidden="false" customHeight="false" outlineLevel="0" collapsed="false">
      <c r="A31" s="0" t="s">
        <v>36</v>
      </c>
      <c r="C31" s="10" t="n">
        <f aca="false">Assumptions!$C$23+Assumptions!$C$24+Assumptions!$C$25+Assumptions!$C$26+Assumptions!$C$27+Assumptions!$C$28+Assumptions!$C$29+Assumptions!$C$30</f>
        <v>18600</v>
      </c>
    </row>
    <row r="32" customFormat="false" ht="15" hidden="false" customHeight="false" outlineLevel="0" collapsed="false">
      <c r="A32" s="0" t="s">
        <v>37</v>
      </c>
      <c r="C32" s="6" t="n">
        <v>0.1</v>
      </c>
    </row>
    <row r="33" customFormat="false" ht="15" hidden="false" customHeight="false" outlineLevel="0" collapsed="false">
      <c r="A33" s="0" t="s">
        <v>38</v>
      </c>
      <c r="C33" s="7" t="n">
        <f aca="false">Assumptions!$C$31*Assumptions!$C$32</f>
        <v>1860</v>
      </c>
    </row>
    <row r="34" customFormat="false" ht="15" hidden="false" customHeight="false" outlineLevel="0" collapsed="false">
      <c r="A34" s="0" t="s">
        <v>39</v>
      </c>
      <c r="C34" s="10" t="n">
        <f aca="false">Assumptions!$C$31+Assumptions!$C$33</f>
        <v>20460</v>
      </c>
    </row>
    <row r="35" customFormat="false" ht="15" hidden="false" customHeight="false" outlineLevel="0" collapsed="false">
      <c r="A35" s="0" t="s">
        <v>40</v>
      </c>
      <c r="C35" s="11" t="n">
        <v>4</v>
      </c>
    </row>
    <row r="36" customFormat="false" ht="15" hidden="false" customHeight="false" outlineLevel="0" collapsed="false">
      <c r="A36" s="0" t="s">
        <v>41</v>
      </c>
      <c r="C36" s="5" t="n">
        <v>175</v>
      </c>
      <c r="E36" s="2" t="s">
        <v>42</v>
      </c>
    </row>
    <row r="37" customFormat="false" ht="15" hidden="false" customHeight="false" outlineLevel="0" collapsed="false">
      <c r="A37" s="0" t="s">
        <v>43</v>
      </c>
      <c r="C37" s="7" t="n">
        <f aca="false">Assumptions!$C$36*12</f>
        <v>2100</v>
      </c>
    </row>
    <row r="38" customFormat="false" ht="15" hidden="false" customHeight="false" outlineLevel="0" collapsed="false">
      <c r="A38" s="0" t="s">
        <v>44</v>
      </c>
      <c r="C38" s="6" t="n">
        <v>0.5</v>
      </c>
      <c r="E38" s="2" t="s">
        <v>45</v>
      </c>
    </row>
    <row r="40" customFormat="false" ht="15" hidden="false" customHeight="false" outlineLevel="0" collapsed="false">
      <c r="A40" s="3" t="s">
        <v>46</v>
      </c>
      <c r="B40" s="3"/>
      <c r="C40" s="3"/>
      <c r="D40" s="3"/>
      <c r="E40" s="3"/>
      <c r="F40" s="3"/>
    </row>
    <row r="41" customFormat="false" ht="15" hidden="false" customHeight="false" outlineLevel="0" collapsed="false">
      <c r="A41" s="0" t="s">
        <v>47</v>
      </c>
      <c r="C41" s="6" t="n">
        <v>0.065</v>
      </c>
      <c r="E41" s="2" t="s">
        <v>48</v>
      </c>
    </row>
    <row r="42" customFormat="false" ht="15" hidden="false" customHeight="false" outlineLevel="0" collapsed="false">
      <c r="A42" s="0" t="s">
        <v>49</v>
      </c>
      <c r="C42" s="6" t="n">
        <v>0.01</v>
      </c>
    </row>
    <row r="43" customFormat="false" ht="15" hidden="false" customHeight="false" outlineLevel="0" collapsed="false">
      <c r="A43" s="0" t="s">
        <v>50</v>
      </c>
      <c r="C43" s="6" t="n">
        <v>0.005</v>
      </c>
    </row>
    <row r="44" customFormat="false" ht="15" hidden="false" customHeight="false" outlineLevel="0" collapsed="false">
      <c r="A44" s="0" t="s">
        <v>51</v>
      </c>
      <c r="C44" s="5" t="n">
        <v>35</v>
      </c>
      <c r="E44" s="2" t="s">
        <v>52</v>
      </c>
    </row>
    <row r="45" customFormat="false" ht="15" hidden="false" customHeight="false" outlineLevel="0" collapsed="false">
      <c r="A45" s="0" t="s">
        <v>53</v>
      </c>
      <c r="C45" s="6" t="n">
        <v>0.5</v>
      </c>
      <c r="E45" s="2" t="s">
        <v>54</v>
      </c>
    </row>
    <row r="46" customFormat="false" ht="15" hidden="false" customHeight="false" outlineLevel="0" collapsed="false">
      <c r="A46" s="0" t="s">
        <v>55</v>
      </c>
      <c r="C46" s="6" t="n">
        <v>0.55</v>
      </c>
      <c r="E46" s="2" t="s">
        <v>56</v>
      </c>
    </row>
    <row r="47" customFormat="false" ht="15" hidden="false" customHeight="false" outlineLevel="0" collapsed="false">
      <c r="A47" s="0" t="s">
        <v>57</v>
      </c>
      <c r="C47" s="6" t="n">
        <v>0.65</v>
      </c>
      <c r="E47" s="2" t="s">
        <v>58</v>
      </c>
    </row>
    <row r="49" customFormat="false" ht="15" hidden="false" customHeight="false" outlineLevel="0" collapsed="false">
      <c r="A49" s="3" t="s">
        <v>59</v>
      </c>
      <c r="B49" s="3"/>
      <c r="C49" s="3"/>
      <c r="D49" s="3"/>
      <c r="E49" s="3"/>
      <c r="F49" s="3"/>
    </row>
    <row r="50" customFormat="false" ht="15" hidden="false" customHeight="false" outlineLevel="0" collapsed="false">
      <c r="A50" s="0" t="s">
        <v>60</v>
      </c>
      <c r="C50" s="6" t="n">
        <v>0.01</v>
      </c>
      <c r="E50" s="2" t="s">
        <v>61</v>
      </c>
    </row>
    <row r="51" customFormat="false" ht="15" hidden="false" customHeight="false" outlineLevel="0" collapsed="false">
      <c r="A51" s="0" t="s">
        <v>62</v>
      </c>
      <c r="C51" s="6" t="n">
        <v>0.0175</v>
      </c>
      <c r="E51" s="2" t="s">
        <v>63</v>
      </c>
    </row>
    <row r="52" customFormat="false" ht="15" hidden="false" customHeight="false" outlineLevel="0" collapsed="false">
      <c r="A52" s="0" t="s">
        <v>64</v>
      </c>
      <c r="C52" s="6" t="n">
        <v>0.025</v>
      </c>
      <c r="E52" s="2" t="s">
        <v>63</v>
      </c>
    </row>
    <row r="53" customFormat="false" ht="15" hidden="false" customHeight="false" outlineLevel="0" collapsed="false">
      <c r="A53" s="0" t="s">
        <v>65</v>
      </c>
      <c r="C53" s="6" t="n">
        <v>0.03</v>
      </c>
      <c r="E53" s="2" t="s">
        <v>66</v>
      </c>
    </row>
    <row r="54" customFormat="false" ht="15" hidden="false" customHeight="false" outlineLevel="0" collapsed="false">
      <c r="A54" s="0" t="s">
        <v>67</v>
      </c>
      <c r="C54" s="6" t="n">
        <v>0.03</v>
      </c>
      <c r="E54" s="2" t="s">
        <v>68</v>
      </c>
    </row>
    <row r="55" customFormat="false" ht="15" hidden="false" customHeight="false" outlineLevel="0" collapsed="false">
      <c r="A55" s="0" t="s">
        <v>69</v>
      </c>
      <c r="C55" s="6" t="n">
        <v>0.03</v>
      </c>
      <c r="E55" s="2" t="s">
        <v>68</v>
      </c>
    </row>
    <row r="56" customFormat="false" ht="15" hidden="false" customHeight="false" outlineLevel="0" collapsed="false">
      <c r="A56" s="0" t="s">
        <v>70</v>
      </c>
      <c r="C56" s="6" t="n">
        <v>0.03</v>
      </c>
      <c r="E56" s="2" t="s">
        <v>68</v>
      </c>
    </row>
    <row r="57" customFormat="false" ht="15" hidden="false" customHeight="false" outlineLevel="0" collapsed="false">
      <c r="A57" s="0" t="s">
        <v>71</v>
      </c>
      <c r="C57" s="6" t="n">
        <v>0.03</v>
      </c>
      <c r="E57" s="2" t="s">
        <v>68</v>
      </c>
    </row>
    <row r="58" customFormat="false" ht="15" hidden="false" customHeight="false" outlineLevel="0" collapsed="false">
      <c r="A58" s="0" t="s">
        <v>72</v>
      </c>
      <c r="C58" s="6" t="n">
        <v>0.03</v>
      </c>
      <c r="E58" s="2" t="s">
        <v>68</v>
      </c>
    </row>
    <row r="59" customFormat="false" ht="15" hidden="false" customHeight="false" outlineLevel="0" collapsed="false">
      <c r="A59" s="0" t="s">
        <v>73</v>
      </c>
      <c r="C59" s="6" t="n">
        <v>0.03</v>
      </c>
      <c r="E59" s="2" t="s">
        <v>68</v>
      </c>
    </row>
    <row r="61" customFormat="false" ht="15" hidden="false" customHeight="false" outlineLevel="0" collapsed="false">
      <c r="A61" s="3" t="s">
        <v>74</v>
      </c>
      <c r="B61" s="3"/>
      <c r="C61" s="3"/>
      <c r="D61" s="3"/>
      <c r="E61" s="3"/>
      <c r="F61" s="3"/>
    </row>
    <row r="62" customFormat="false" ht="15" hidden="false" customHeight="false" outlineLevel="0" collapsed="false">
      <c r="A62" s="0" t="s">
        <v>75</v>
      </c>
      <c r="C62" s="6" t="n">
        <v>0.035</v>
      </c>
    </row>
    <row r="63" customFormat="false" ht="15" hidden="false" customHeight="false" outlineLevel="0" collapsed="false">
      <c r="A63" s="0" t="s">
        <v>76</v>
      </c>
      <c r="C63" s="6" t="n">
        <v>0.07</v>
      </c>
      <c r="E63" s="2" t="s">
        <v>77</v>
      </c>
    </row>
    <row r="65" customFormat="false" ht="15" hidden="false" customHeight="false" outlineLevel="0" collapsed="false">
      <c r="A65" s="3" t="s">
        <v>78</v>
      </c>
      <c r="B65" s="3"/>
      <c r="C65" s="3"/>
      <c r="D65" s="3"/>
      <c r="E65" s="3"/>
      <c r="F65" s="3"/>
    </row>
    <row r="66" customFormat="false" ht="15" hidden="false" customHeight="false" outlineLevel="0" collapsed="false">
      <c r="A66" s="0" t="s">
        <v>79</v>
      </c>
      <c r="C66" s="5" t="n">
        <v>1400</v>
      </c>
    </row>
    <row r="67" customFormat="false" ht="15" hidden="false" customHeight="false" outlineLevel="0" collapsed="false">
      <c r="A67" s="0" t="s">
        <v>80</v>
      </c>
      <c r="C67" s="5" t="n">
        <v>1100</v>
      </c>
      <c r="E67" s="2" t="s">
        <v>81</v>
      </c>
    </row>
    <row r="68" customFormat="false" ht="15" hidden="false" customHeight="false" outlineLevel="0" collapsed="false">
      <c r="A68" s="0" t="s">
        <v>82</v>
      </c>
      <c r="C68" s="5" t="n">
        <v>350</v>
      </c>
    </row>
    <row r="69" customFormat="false" ht="15" hidden="false" customHeight="false" outlineLevel="0" collapsed="false">
      <c r="A69" s="0" t="s">
        <v>83</v>
      </c>
      <c r="C69" s="5" t="n">
        <v>450</v>
      </c>
    </row>
    <row r="70" customFormat="false" ht="15" hidden="false" customHeight="false" outlineLevel="0" collapsed="false">
      <c r="A70" s="0" t="s">
        <v>84</v>
      </c>
      <c r="C70" s="5" t="n">
        <v>500</v>
      </c>
    </row>
    <row r="71" customFormat="false" ht="15" hidden="false" customHeight="false" outlineLevel="0" collapsed="false">
      <c r="A71" s="0" t="s">
        <v>85</v>
      </c>
      <c r="C71" s="5" t="n">
        <v>2400</v>
      </c>
      <c r="E71" s="2" t="s">
        <v>86</v>
      </c>
    </row>
    <row r="72" customFormat="false" ht="15" hidden="false" customHeight="false" outlineLevel="0" collapsed="false">
      <c r="A72" s="0" t="s">
        <v>87</v>
      </c>
      <c r="C72" s="5" t="n">
        <v>1900</v>
      </c>
      <c r="E72" s="2" t="s">
        <v>88</v>
      </c>
    </row>
    <row r="73" customFormat="false" ht="15" hidden="false" customHeight="false" outlineLevel="0" collapsed="false">
      <c r="A73" s="0" t="s">
        <v>89</v>
      </c>
      <c r="C73" s="6" t="n">
        <v>0.035</v>
      </c>
    </row>
    <row r="74" customFormat="false" ht="15" hidden="false" customHeight="false" outlineLevel="0" collapsed="false">
      <c r="A74" s="0" t="s">
        <v>90</v>
      </c>
      <c r="C74" s="5" t="n">
        <v>250</v>
      </c>
    </row>
    <row r="75" customFormat="false" ht="15" hidden="false" customHeight="false" outlineLevel="0" collapsed="false">
      <c r="A75" s="0" t="s">
        <v>91</v>
      </c>
      <c r="C75" s="5" t="n">
        <v>150</v>
      </c>
    </row>
    <row r="76" customFormat="false" ht="15" hidden="false" customHeight="false" outlineLevel="0" collapsed="false">
      <c r="A76" s="0" t="s">
        <v>92</v>
      </c>
      <c r="C76" s="5" t="n">
        <v>300</v>
      </c>
    </row>
    <row r="78" customFormat="false" ht="15" hidden="false" customHeight="false" outlineLevel="0" collapsed="false">
      <c r="A78" s="3" t="s">
        <v>93</v>
      </c>
      <c r="B78" s="3"/>
      <c r="C78" s="3"/>
      <c r="D78" s="3"/>
      <c r="E78" s="3"/>
      <c r="F78" s="3"/>
    </row>
    <row r="79" customFormat="false" ht="15" hidden="false" customHeight="false" outlineLevel="0" collapsed="false">
      <c r="A79" s="0" t="s">
        <v>94</v>
      </c>
      <c r="C79" s="11" t="n">
        <v>0</v>
      </c>
    </row>
    <row r="80" customFormat="false" ht="15" hidden="false" customHeight="false" outlineLevel="0" collapsed="false">
      <c r="A80" s="0" t="s">
        <v>95</v>
      </c>
      <c r="C80" s="5" t="n">
        <v>235000</v>
      </c>
      <c r="E80" s="2" t="s">
        <v>96</v>
      </c>
    </row>
    <row r="81" customFormat="false" ht="15" hidden="false" customHeight="false" outlineLevel="0" collapsed="false">
      <c r="A81" s="0" t="s">
        <v>97</v>
      </c>
      <c r="C81" s="11" t="n">
        <v>2</v>
      </c>
      <c r="E81" s="2" t="s">
        <v>98</v>
      </c>
    </row>
    <row r="82" customFormat="false" ht="15" hidden="false" customHeight="false" outlineLevel="0" collapsed="false">
      <c r="A82" s="0" t="s">
        <v>99</v>
      </c>
      <c r="C82" s="5" t="n">
        <v>10000</v>
      </c>
      <c r="E82" s="2" t="s">
        <v>100</v>
      </c>
    </row>
    <row r="83" customFormat="false" ht="15" hidden="false" customHeight="false" outlineLevel="0" collapsed="false">
      <c r="A83" s="0" t="s">
        <v>101</v>
      </c>
      <c r="C83" s="5" t="n">
        <v>150000</v>
      </c>
      <c r="E83" s="2" t="s">
        <v>102</v>
      </c>
    </row>
    <row r="85" customFormat="false" ht="15" hidden="false" customHeight="false" outlineLevel="0" collapsed="false">
      <c r="A85" s="3" t="s">
        <v>103</v>
      </c>
      <c r="B85" s="3"/>
      <c r="C85" s="3"/>
      <c r="D85" s="3"/>
      <c r="E85" s="3"/>
      <c r="F85" s="3"/>
    </row>
    <row r="86" customFormat="false" ht="15" hidden="false" customHeight="false" outlineLevel="0" collapsed="false">
      <c r="A86" s="0" t="s">
        <v>104</v>
      </c>
      <c r="C86" s="6" t="n">
        <v>0.0385</v>
      </c>
      <c r="E86" s="2" t="s">
        <v>105</v>
      </c>
    </row>
    <row r="87" customFormat="false" ht="15" hidden="false" customHeight="false" outlineLevel="0" collapsed="false">
      <c r="A87" s="0" t="s">
        <v>106</v>
      </c>
      <c r="C87" s="6" t="n">
        <v>0.0325</v>
      </c>
    </row>
    <row r="88" customFormat="false" ht="15" hidden="false" customHeight="false" outlineLevel="0" collapsed="false">
      <c r="A88" s="0" t="s">
        <v>107</v>
      </c>
      <c r="C88" s="12" t="n">
        <f aca="false">Assumptions!$C$86+Assumptions!$C$87</f>
        <v>0.071</v>
      </c>
    </row>
    <row r="89" customFormat="false" ht="15" hidden="false" customHeight="false" outlineLevel="0" collapsed="false">
      <c r="A89" s="0" t="s">
        <v>108</v>
      </c>
      <c r="C89" s="6" t="n">
        <v>0.65</v>
      </c>
    </row>
    <row r="90" customFormat="false" ht="15" hidden="false" customHeight="false" outlineLevel="0" collapsed="false">
      <c r="A90" s="0" t="s">
        <v>109</v>
      </c>
      <c r="C90" s="13" t="n">
        <v>1.25</v>
      </c>
    </row>
    <row r="91" customFormat="false" ht="15" hidden="false" customHeight="false" outlineLevel="0" collapsed="false">
      <c r="A91" s="0" t="s">
        <v>110</v>
      </c>
      <c r="C91" s="6" t="n">
        <v>0.08</v>
      </c>
    </row>
    <row r="92" customFormat="false" ht="15" hidden="false" customHeight="false" outlineLevel="0" collapsed="false">
      <c r="A92" s="0" t="s">
        <v>111</v>
      </c>
      <c r="C92" s="11" t="n">
        <v>2</v>
      </c>
    </row>
    <row r="93" customFormat="false" ht="15" hidden="false" customHeight="false" outlineLevel="0" collapsed="false">
      <c r="A93" s="0" t="s">
        <v>112</v>
      </c>
      <c r="C93" s="11" t="n">
        <v>30</v>
      </c>
    </row>
    <row r="95" customFormat="false" ht="15" hidden="false" customHeight="false" outlineLevel="0" collapsed="false">
      <c r="A95" s="3" t="s">
        <v>113</v>
      </c>
      <c r="B95" s="3"/>
      <c r="C95" s="3"/>
      <c r="D95" s="3"/>
      <c r="E95" s="3"/>
      <c r="F95" s="3"/>
    </row>
    <row r="96" customFormat="false" ht="15" hidden="false" customHeight="false" outlineLevel="0" collapsed="false">
      <c r="A96" s="0" t="s">
        <v>114</v>
      </c>
      <c r="C96" s="5" t="n">
        <v>5887000</v>
      </c>
      <c r="E96" s="2" t="s">
        <v>115</v>
      </c>
    </row>
    <row r="97" customFormat="false" ht="15" hidden="false" customHeight="false" outlineLevel="0" collapsed="false">
      <c r="A97" s="0" t="s">
        <v>116</v>
      </c>
      <c r="C97" s="6" t="n">
        <v>0.03</v>
      </c>
      <c r="E97" s="2" t="s">
        <v>117</v>
      </c>
    </row>
    <row r="98" customFormat="false" ht="15" hidden="false" customHeight="false" outlineLevel="0" collapsed="false">
      <c r="A98" s="0" t="s">
        <v>118</v>
      </c>
      <c r="C98" s="11" t="n">
        <v>3</v>
      </c>
      <c r="E98" s="2" t="s">
        <v>119</v>
      </c>
    </row>
    <row r="99" customFormat="false" ht="15" hidden="false" customHeight="false" outlineLevel="0" collapsed="false">
      <c r="A99" s="0" t="s">
        <v>120</v>
      </c>
      <c r="C99" s="5" t="n">
        <v>3563000</v>
      </c>
      <c r="E99" s="2" t="s">
        <v>121</v>
      </c>
    </row>
    <row r="100" customFormat="false" ht="15" hidden="false" customHeight="false" outlineLevel="0" collapsed="false">
      <c r="A100" s="0" t="s">
        <v>122</v>
      </c>
      <c r="C100" s="6" t="n">
        <v>0.062</v>
      </c>
      <c r="E100" s="2" t="s">
        <v>123</v>
      </c>
    </row>
    <row r="101" customFormat="false" ht="15" hidden="false" customHeight="false" outlineLevel="0" collapsed="false">
      <c r="A101" s="0" t="s">
        <v>124</v>
      </c>
      <c r="C101" s="14" t="n">
        <f aca="false">(Assumptions!$C$96*Assumptions!$C$97+Assumptions!$C$99*Assumptions!$C$100)/(Assumptions!$C$96+Assumptions!$C$99)</f>
        <v>0.0420651851851852</v>
      </c>
    </row>
    <row r="102" customFormat="false" ht="15" hidden="false" customHeight="false" outlineLevel="0" collapsed="false">
      <c r="A102" s="0" t="s">
        <v>125</v>
      </c>
      <c r="C102" s="11" t="n">
        <v>1</v>
      </c>
      <c r="E102" s="2" t="s">
        <v>126</v>
      </c>
    </row>
    <row r="103" customFormat="false" ht="15" hidden="false" customHeight="false" outlineLevel="0" collapsed="false">
      <c r="A103" s="0" t="s">
        <v>127</v>
      </c>
      <c r="C103" s="6" t="n">
        <v>0.005</v>
      </c>
      <c r="E103" s="2" t="s">
        <v>128</v>
      </c>
    </row>
    <row r="105" customFormat="false" ht="15" hidden="false" customHeight="false" outlineLevel="0" collapsed="false">
      <c r="A105" s="3" t="s">
        <v>129</v>
      </c>
      <c r="B105" s="3"/>
      <c r="C105" s="3"/>
      <c r="D105" s="3"/>
      <c r="E105" s="3"/>
      <c r="F105" s="3"/>
    </row>
    <row r="106" customFormat="false" ht="15" hidden="false" customHeight="false" outlineLevel="0" collapsed="false">
      <c r="A106" s="0" t="s">
        <v>130</v>
      </c>
      <c r="C106" s="15" t="n">
        <v>5</v>
      </c>
      <c r="E106" s="2" t="s">
        <v>131</v>
      </c>
    </row>
    <row r="107" customFormat="false" ht="15" hidden="false" customHeight="false" outlineLevel="0" collapsed="false">
      <c r="A107" s="0" t="s">
        <v>132</v>
      </c>
      <c r="C107" s="6" t="n">
        <v>0.005</v>
      </c>
      <c r="E107" s="2" t="s">
        <v>133</v>
      </c>
    </row>
    <row r="108" customFormat="false" ht="15" hidden="false" customHeight="false" outlineLevel="0" collapsed="false">
      <c r="A108" s="0" t="s">
        <v>134</v>
      </c>
      <c r="C108" s="6" t="n">
        <v>0.01</v>
      </c>
      <c r="E108" s="2" t="s">
        <v>135</v>
      </c>
    </row>
    <row r="109" customFormat="false" ht="15" hidden="false" customHeight="false" outlineLevel="0" collapsed="false">
      <c r="A109" s="0" t="s">
        <v>136</v>
      </c>
      <c r="C109" s="6" t="n">
        <v>0.02</v>
      </c>
    </row>
    <row r="111" customFormat="false" ht="15" hidden="false" customHeight="false" outlineLevel="0" collapsed="false">
      <c r="A111" s="3" t="s">
        <v>137</v>
      </c>
      <c r="B111" s="3"/>
      <c r="C111" s="3"/>
      <c r="D111" s="3"/>
      <c r="E111" s="3"/>
      <c r="F111" s="3"/>
    </row>
    <row r="112" customFormat="false" ht="15" hidden="false" customHeight="false" outlineLevel="0" collapsed="false">
      <c r="A112" s="0" t="s">
        <v>138</v>
      </c>
      <c r="C112" s="6" t="n">
        <v>0.08</v>
      </c>
    </row>
    <row r="113" customFormat="false" ht="15" hidden="false" customHeight="false" outlineLevel="0" collapsed="false">
      <c r="A113" s="0" t="s">
        <v>139</v>
      </c>
      <c r="C113" s="6" t="n">
        <v>0.7</v>
      </c>
    </row>
    <row r="114" customFormat="false" ht="15" hidden="false" customHeight="false" outlineLevel="0" collapsed="false">
      <c r="A114" s="0" t="s">
        <v>140</v>
      </c>
      <c r="C114" s="6" t="n">
        <v>0.3</v>
      </c>
    </row>
    <row r="115" customFormat="false" ht="15" hidden="false" customHeight="false" outlineLevel="0" collapsed="false">
      <c r="A115" s="0" t="s">
        <v>141</v>
      </c>
      <c r="C115" s="6" t="n">
        <v>0.12</v>
      </c>
    </row>
    <row r="116" customFormat="false" ht="15" hidden="false" customHeight="false" outlineLevel="0" collapsed="false">
      <c r="A116" s="0" t="s">
        <v>142</v>
      </c>
      <c r="C116" s="6" t="n">
        <v>0.5</v>
      </c>
    </row>
    <row r="117" customFormat="false" ht="15" hidden="false" customHeight="false" outlineLevel="0" collapsed="false">
      <c r="A117" s="0" t="s">
        <v>143</v>
      </c>
      <c r="C117" s="6" t="n">
        <v>0.5</v>
      </c>
    </row>
    <row r="118" customFormat="false" ht="15" hidden="false" customHeight="false" outlineLevel="0" collapsed="false">
      <c r="A118" s="0" t="s">
        <v>144</v>
      </c>
      <c r="C118" s="6" t="n">
        <v>0.1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4" min="2" style="0" width="11"/>
    <col collapsed="false" customWidth="true" hidden="false" outlineLevel="0" max="5" min="5" style="0" width="9"/>
    <col collapsed="false" customWidth="true" hidden="false" outlineLevel="0" max="6" min="6" style="0" width="13"/>
    <col collapsed="false" customWidth="true" hidden="false" outlineLevel="0" max="7" min="7" style="0" width="15"/>
    <col collapsed="false" customWidth="true" hidden="false" outlineLevel="0" max="8" min="8" style="0" width="13"/>
  </cols>
  <sheetData>
    <row r="1" customFormat="false" ht="17.35" hidden="false" customHeight="false" outlineLevel="0" collapsed="false">
      <c r="A1" s="1" t="s">
        <v>145</v>
      </c>
    </row>
    <row r="3" customFormat="false" ht="15" hidden="false" customHeight="false" outlineLevel="0" collapsed="false">
      <c r="A3" s="2" t="s">
        <v>146</v>
      </c>
    </row>
    <row r="5" customFormat="false" ht="15" hidden="false" customHeight="false" outlineLevel="0" collapsed="false">
      <c r="A5" s="16" t="s">
        <v>147</v>
      </c>
      <c r="B5" s="16" t="s">
        <v>148</v>
      </c>
      <c r="C5" s="16" t="s">
        <v>149</v>
      </c>
      <c r="D5" s="16" t="s">
        <v>150</v>
      </c>
      <c r="E5" s="16" t="s">
        <v>151</v>
      </c>
      <c r="F5" s="16" t="s">
        <v>152</v>
      </c>
      <c r="G5" s="16" t="s">
        <v>153</v>
      </c>
      <c r="H5" s="16" t="s">
        <v>154</v>
      </c>
    </row>
    <row r="6" customFormat="false" ht="15" hidden="false" customHeight="false" outlineLevel="0" collapsed="false">
      <c r="A6" s="0" t="s">
        <v>155</v>
      </c>
      <c r="B6" s="11" t="n">
        <v>19</v>
      </c>
      <c r="C6" s="11" t="n">
        <v>5</v>
      </c>
      <c r="D6" s="17" t="n">
        <f aca="false">B6-C6</f>
        <v>14</v>
      </c>
      <c r="E6" s="11" t="n">
        <v>645</v>
      </c>
      <c r="F6" s="5" t="n">
        <v>1275</v>
      </c>
      <c r="G6" s="18" t="n">
        <f aca="false">F6+Assumptions!$C$47*(H6-F6)</f>
        <v>1453.75</v>
      </c>
      <c r="H6" s="5" t="n">
        <v>1550</v>
      </c>
    </row>
    <row r="7" customFormat="false" ht="15" hidden="false" customHeight="false" outlineLevel="0" collapsed="false">
      <c r="A7" s="0" t="s">
        <v>156</v>
      </c>
      <c r="B7" s="11" t="n">
        <v>52</v>
      </c>
      <c r="C7" s="11" t="n">
        <v>13</v>
      </c>
      <c r="D7" s="17" t="n">
        <f aca="false">B7-C7</f>
        <v>39</v>
      </c>
      <c r="E7" s="11" t="n">
        <v>685</v>
      </c>
      <c r="F7" s="5" t="n">
        <v>1475</v>
      </c>
      <c r="G7" s="18" t="n">
        <f aca="false">F7+Assumptions!$C$47*(H7-F7)</f>
        <v>1673.25</v>
      </c>
      <c r="H7" s="5" t="n">
        <v>1780</v>
      </c>
    </row>
    <row r="8" customFormat="false" ht="15" hidden="false" customHeight="false" outlineLevel="0" collapsed="false">
      <c r="A8" s="0" t="s">
        <v>157</v>
      </c>
      <c r="B8" s="11" t="n">
        <v>17</v>
      </c>
      <c r="C8" s="11" t="n">
        <v>4</v>
      </c>
      <c r="D8" s="17" t="n">
        <f aca="false">B8-C8</f>
        <v>13</v>
      </c>
      <c r="E8" s="11" t="n">
        <v>740</v>
      </c>
      <c r="F8" s="5" t="n">
        <v>1700</v>
      </c>
      <c r="G8" s="18" t="n">
        <f aca="false">F8+Assumptions!$C$47*(H8-F8)</f>
        <v>1927.5</v>
      </c>
      <c r="H8" s="5" t="n">
        <v>2050</v>
      </c>
    </row>
    <row r="9" customFormat="false" ht="15" hidden="false" customHeight="false" outlineLevel="0" collapsed="false">
      <c r="A9" s="0" t="s">
        <v>158</v>
      </c>
      <c r="B9" s="11" t="n">
        <v>10</v>
      </c>
      <c r="C9" s="11" t="n">
        <v>2</v>
      </c>
      <c r="D9" s="17" t="n">
        <f aca="false">B9-C9</f>
        <v>8</v>
      </c>
      <c r="E9" s="11" t="n">
        <v>740</v>
      </c>
      <c r="F9" s="5" t="n">
        <v>1825</v>
      </c>
      <c r="G9" s="18" t="n">
        <f aca="false">F9+Assumptions!$C$47*(H9-F9)</f>
        <v>2068.75</v>
      </c>
      <c r="H9" s="5" t="n">
        <v>2200</v>
      </c>
    </row>
    <row r="10" customFormat="false" ht="15" hidden="false" customHeight="false" outlineLevel="0" collapsed="false">
      <c r="A10" s="16" t="s">
        <v>159</v>
      </c>
      <c r="B10" s="4" t="n">
        <f aca="false">SUM(B6:B9)</f>
        <v>98</v>
      </c>
      <c r="C10" s="4" t="n">
        <f aca="false">SUM(C6:C9)</f>
        <v>24</v>
      </c>
      <c r="D10" s="4" t="n">
        <f aca="false">SUM(D6:D9)</f>
        <v>74</v>
      </c>
    </row>
    <row r="12" customFormat="false" ht="15" hidden="false" customHeight="false" outlineLevel="0" collapsed="false">
      <c r="A12" s="3" t="s">
        <v>160</v>
      </c>
      <c r="B12" s="3"/>
      <c r="C12" s="3"/>
      <c r="D12" s="3"/>
    </row>
    <row r="13" customFormat="false" ht="15" hidden="false" customHeight="false" outlineLevel="0" collapsed="false">
      <c r="A13" s="16" t="s">
        <v>147</v>
      </c>
      <c r="B13" s="16" t="s">
        <v>149</v>
      </c>
      <c r="C13" s="16" t="s">
        <v>161</v>
      </c>
      <c r="D13" s="16" t="s">
        <v>162</v>
      </c>
    </row>
    <row r="14" customFormat="false" ht="15" hidden="false" customHeight="false" outlineLevel="0" collapsed="false">
      <c r="A14" s="0" t="s">
        <v>155</v>
      </c>
      <c r="B14" s="17" t="n">
        <f aca="false">C6</f>
        <v>5</v>
      </c>
      <c r="C14" s="18" t="n">
        <f aca="false">Assumptions!$C$34</f>
        <v>20460</v>
      </c>
      <c r="D14" s="18" t="n">
        <f aca="false">B14*C14</f>
        <v>102300</v>
      </c>
    </row>
    <row r="15" customFormat="false" ht="15" hidden="false" customHeight="false" outlineLevel="0" collapsed="false">
      <c r="A15" s="0" t="s">
        <v>156</v>
      </c>
      <c r="B15" s="17" t="n">
        <f aca="false">C7</f>
        <v>13</v>
      </c>
      <c r="C15" s="18" t="n">
        <f aca="false">Assumptions!$C$34</f>
        <v>20460</v>
      </c>
      <c r="D15" s="18" t="n">
        <f aca="false">B15*C15</f>
        <v>265980</v>
      </c>
    </row>
    <row r="16" customFormat="false" ht="15" hidden="false" customHeight="false" outlineLevel="0" collapsed="false">
      <c r="A16" s="0" t="s">
        <v>157</v>
      </c>
      <c r="B16" s="17" t="n">
        <f aca="false">C8</f>
        <v>4</v>
      </c>
      <c r="C16" s="18" t="n">
        <f aca="false">Assumptions!$C$34</f>
        <v>20460</v>
      </c>
      <c r="D16" s="18" t="n">
        <f aca="false">B16*C16</f>
        <v>81840</v>
      </c>
    </row>
    <row r="17" customFormat="false" ht="15" hidden="false" customHeight="false" outlineLevel="0" collapsed="false">
      <c r="A17" s="0" t="s">
        <v>158</v>
      </c>
      <c r="B17" s="17" t="n">
        <f aca="false">C9</f>
        <v>2</v>
      </c>
      <c r="C17" s="18" t="n">
        <f aca="false">Assumptions!$C$34</f>
        <v>20460</v>
      </c>
      <c r="D17" s="18" t="n">
        <f aca="false">B17*C17</f>
        <v>40920</v>
      </c>
    </row>
    <row r="18" customFormat="false" ht="15" hidden="false" customHeight="false" outlineLevel="0" collapsed="false">
      <c r="A18" s="16" t="s">
        <v>163</v>
      </c>
      <c r="D18" s="10" t="n">
        <f aca="false">SUM(D14:D17)</f>
        <v>491040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11" min="2" style="0" width="11"/>
  </cols>
  <sheetData>
    <row r="1" customFormat="false" ht="17.35" hidden="false" customHeight="false" outlineLevel="0" collapsed="false">
      <c r="A1" s="1" t="s">
        <v>164</v>
      </c>
    </row>
    <row r="4" customFormat="false" ht="15" hidden="false" customHeight="false" outlineLevel="0" collapsed="false">
      <c r="A4" s="16" t="s">
        <v>165</v>
      </c>
      <c r="B4" s="4" t="n">
        <v>1</v>
      </c>
      <c r="C4" s="4" t="n">
        <v>2</v>
      </c>
      <c r="D4" s="4" t="n">
        <v>3</v>
      </c>
      <c r="E4" s="4" t="n">
        <v>4</v>
      </c>
      <c r="F4" s="4" t="n">
        <v>5</v>
      </c>
      <c r="G4" s="4" t="n">
        <v>6</v>
      </c>
      <c r="H4" s="4" t="n">
        <v>7</v>
      </c>
      <c r="I4" s="4" t="n">
        <v>8</v>
      </c>
      <c r="J4" s="4" t="n">
        <v>9</v>
      </c>
      <c r="K4" s="4" t="n">
        <v>10</v>
      </c>
    </row>
    <row r="5" customFormat="false" ht="15" hidden="false" customHeight="false" outlineLevel="0" collapsed="false">
      <c r="A5" s="0" t="s">
        <v>166</v>
      </c>
      <c r="B5" s="11" t="n">
        <v>2027</v>
      </c>
      <c r="C5" s="17" t="n">
        <f aca="false">B5+1</f>
        <v>2028</v>
      </c>
      <c r="D5" s="17" t="n">
        <f aca="false">C5+1</f>
        <v>2029</v>
      </c>
      <c r="E5" s="17" t="n">
        <f aca="false">D5+1</f>
        <v>2030</v>
      </c>
      <c r="F5" s="17" t="n">
        <f aca="false">E5+1</f>
        <v>2031</v>
      </c>
      <c r="G5" s="17" t="n">
        <f aca="false">F5+1</f>
        <v>2032</v>
      </c>
      <c r="H5" s="17" t="n">
        <f aca="false">G5+1</f>
        <v>2033</v>
      </c>
      <c r="I5" s="17" t="n">
        <f aca="false">H5+1</f>
        <v>2034</v>
      </c>
      <c r="J5" s="17" t="n">
        <f aca="false">I5+1</f>
        <v>2035</v>
      </c>
      <c r="K5" s="17" t="n">
        <f aca="false">J5+1</f>
        <v>2036</v>
      </c>
    </row>
    <row r="6" customFormat="false" ht="15" hidden="false" customHeight="false" outlineLevel="0" collapsed="false">
      <c r="A6" s="0" t="s">
        <v>167</v>
      </c>
      <c r="B6" s="19" t="n">
        <f aca="false">Assumptions!$C$50</f>
        <v>0.01</v>
      </c>
      <c r="C6" s="19" t="n">
        <f aca="false">Assumptions!$C$51</f>
        <v>0.0175</v>
      </c>
      <c r="D6" s="19" t="n">
        <f aca="false">Assumptions!$C$52</f>
        <v>0.025</v>
      </c>
      <c r="E6" s="19" t="n">
        <f aca="false">Assumptions!$C$53</f>
        <v>0.03</v>
      </c>
      <c r="F6" s="19" t="n">
        <f aca="false">Assumptions!$C$54</f>
        <v>0.03</v>
      </c>
      <c r="G6" s="19" t="n">
        <f aca="false">Assumptions!$C$55</f>
        <v>0.03</v>
      </c>
      <c r="H6" s="19" t="n">
        <f aca="false">Assumptions!$C$56</f>
        <v>0.03</v>
      </c>
      <c r="I6" s="19" t="n">
        <f aca="false">Assumptions!$C$57</f>
        <v>0.03</v>
      </c>
      <c r="J6" s="19" t="n">
        <f aca="false">Assumptions!$C$58</f>
        <v>0.03</v>
      </c>
      <c r="K6" s="19" t="n">
        <f aca="false">Assumptions!$C$59</f>
        <v>0.03</v>
      </c>
    </row>
    <row r="8" customFormat="false" ht="15" hidden="false" customHeight="false" outlineLevel="0" collapsed="false">
      <c r="A8" s="3" t="s">
        <v>168</v>
      </c>
      <c r="B8" s="3"/>
      <c r="C8" s="3"/>
      <c r="D8" s="3"/>
      <c r="E8" s="3"/>
      <c r="F8" s="3"/>
      <c r="G8" s="3"/>
      <c r="H8" s="3"/>
      <c r="I8" s="3"/>
      <c r="J8" s="3"/>
      <c r="K8" s="3"/>
    </row>
    <row r="9" customFormat="false" ht="15" hidden="false" customHeight="false" outlineLevel="0" collapsed="false">
      <c r="A9" s="16" t="s">
        <v>169</v>
      </c>
      <c r="B9" s="18" t="n">
        <f aca="false">'Unit Mix'!$H$6*(1+B$6)</f>
        <v>1565.5</v>
      </c>
      <c r="C9" s="18" t="n">
        <f aca="false">B9*(1+C$6)</f>
        <v>1592.89625</v>
      </c>
      <c r="D9" s="18" t="n">
        <f aca="false">C9*(1+D$6)</f>
        <v>1632.71865625</v>
      </c>
      <c r="E9" s="18" t="n">
        <f aca="false">D9*(1+E$6)</f>
        <v>1681.7002159375</v>
      </c>
      <c r="F9" s="18" t="n">
        <f aca="false">E9*(1+F$6)</f>
        <v>1732.15122241563</v>
      </c>
      <c r="G9" s="18" t="n">
        <f aca="false">F9*(1+G$6)</f>
        <v>1784.11575908809</v>
      </c>
      <c r="H9" s="18" t="n">
        <f aca="false">G9*(1+H$6)</f>
        <v>1837.63923186074</v>
      </c>
      <c r="I9" s="18" t="n">
        <f aca="false">H9*(1+I$6)</f>
        <v>1892.76840881656</v>
      </c>
      <c r="J9" s="18" t="n">
        <f aca="false">I9*(1+J$6)</f>
        <v>1949.55146108106</v>
      </c>
      <c r="K9" s="18" t="n">
        <f aca="false">J9*(1+K$6)</f>
        <v>2008.03800491349</v>
      </c>
    </row>
    <row r="10" customFormat="false" ht="15" hidden="false" customHeight="false" outlineLevel="0" collapsed="false">
      <c r="A10" s="0" t="s">
        <v>170</v>
      </c>
      <c r="B10" s="18" t="n">
        <f aca="false">'Unit Mix'!$F$6*(1-Assumptions!$C$38)+(B9+Assumptions!$C$36)*Assumptions!$C$38</f>
        <v>1507.75</v>
      </c>
      <c r="C10" s="18" t="n">
        <f aca="false">B10*(1+C$6)</f>
        <v>1534.135625</v>
      </c>
      <c r="D10" s="18" t="n">
        <f aca="false">C10*(1+D$6)</f>
        <v>1572.489015625</v>
      </c>
      <c r="E10" s="18" t="n">
        <f aca="false">D10*(1+E$6)</f>
        <v>1619.66368609375</v>
      </c>
      <c r="F10" s="18" t="n">
        <f aca="false">E10*(1+F$6)</f>
        <v>1668.25359667656</v>
      </c>
      <c r="G10" s="18" t="n">
        <f aca="false">F10*(1+G$6)</f>
        <v>1718.30120457686</v>
      </c>
      <c r="H10" s="18" t="n">
        <f aca="false">G10*(1+H$6)</f>
        <v>1769.85024071417</v>
      </c>
      <c r="I10" s="18" t="n">
        <f aca="false">H10*(1+I$6)</f>
        <v>1822.94574793559</v>
      </c>
      <c r="J10" s="18" t="n">
        <f aca="false">I10*(1+J$6)</f>
        <v>1877.63412037366</v>
      </c>
      <c r="K10" s="18" t="n">
        <f aca="false">J10*(1+K$6)</f>
        <v>1933.96314398487</v>
      </c>
    </row>
    <row r="11" customFormat="false" ht="15" hidden="false" customHeight="false" outlineLevel="0" collapsed="false">
      <c r="A11" s="0" t="s">
        <v>171</v>
      </c>
      <c r="B11" s="18" t="n">
        <f aca="false">'Unit Mix'!$G$6+Assumptions!$C$46*Assumptions!$C$45*(B9-'Unit Mix'!$G$6)</f>
        <v>1484.48125</v>
      </c>
      <c r="C11" s="18" t="n">
        <f aca="false">B11+Assumptions!$C$46*Assumptions!$C$45*(C9-B11)</f>
        <v>1514.295375</v>
      </c>
      <c r="D11" s="18" t="n">
        <f aca="false">C11+Assumptions!$C$46*Assumptions!$C$45*(D9-C11)</f>
        <v>1546.86177734375</v>
      </c>
      <c r="E11" s="18" t="n">
        <f aca="false">D11+Assumptions!$C$46*Assumptions!$C$45*(E9-D11)</f>
        <v>1583.94234795703</v>
      </c>
      <c r="F11" s="18" t="n">
        <f aca="false">E11+Assumptions!$C$46*Assumptions!$C$45*(F9-E11)</f>
        <v>1624.69978843314</v>
      </c>
      <c r="G11" s="18" t="n">
        <f aca="false">F11+Assumptions!$C$46*Assumptions!$C$45*(G9-F11)</f>
        <v>1668.53918036326</v>
      </c>
      <c r="H11" s="18" t="n">
        <f aca="false">G11+Assumptions!$C$46*Assumptions!$C$45*(H9-G11)</f>
        <v>1715.04169452506</v>
      </c>
      <c r="I11" s="18" t="n">
        <f aca="false">H11+Assumptions!$C$46*Assumptions!$C$45*(I9-H11)</f>
        <v>1763.91654095522</v>
      </c>
      <c r="J11" s="18" t="n">
        <f aca="false">I11+Assumptions!$C$46*Assumptions!$C$45*(J9-I11)</f>
        <v>1814.96614398983</v>
      </c>
      <c r="K11" s="18" t="n">
        <f aca="false">J11+Assumptions!$C$46*Assumptions!$C$45*(K9-J11)</f>
        <v>1868.06090574383</v>
      </c>
    </row>
    <row r="12" customFormat="false" ht="15" hidden="false" customHeight="false" outlineLevel="0" collapsed="false">
      <c r="A12" s="16" t="s">
        <v>172</v>
      </c>
      <c r="B12" s="18" t="n">
        <f aca="false">'Unit Mix'!$H$7*(1+B$6)</f>
        <v>1797.8</v>
      </c>
      <c r="C12" s="18" t="n">
        <f aca="false">B12*(1+C$6)</f>
        <v>1829.2615</v>
      </c>
      <c r="D12" s="18" t="n">
        <f aca="false">C12*(1+D$6)</f>
        <v>1874.9930375</v>
      </c>
      <c r="E12" s="18" t="n">
        <f aca="false">D12*(1+E$6)</f>
        <v>1931.242828625</v>
      </c>
      <c r="F12" s="18" t="n">
        <f aca="false">E12*(1+F$6)</f>
        <v>1989.18011348375</v>
      </c>
      <c r="G12" s="18" t="n">
        <f aca="false">F12*(1+G$6)</f>
        <v>2048.85551688826</v>
      </c>
      <c r="H12" s="18" t="n">
        <f aca="false">G12*(1+H$6)</f>
        <v>2110.32118239491</v>
      </c>
      <c r="I12" s="18" t="n">
        <f aca="false">H12*(1+I$6)</f>
        <v>2173.63081786676</v>
      </c>
      <c r="J12" s="18" t="n">
        <f aca="false">I12*(1+J$6)</f>
        <v>2238.83974240276</v>
      </c>
      <c r="K12" s="18" t="n">
        <f aca="false">J12*(1+K$6)</f>
        <v>2306.00493467484</v>
      </c>
    </row>
    <row r="13" customFormat="false" ht="15" hidden="false" customHeight="false" outlineLevel="0" collapsed="false">
      <c r="A13" s="0" t="s">
        <v>173</v>
      </c>
      <c r="B13" s="18" t="n">
        <f aca="false">'Unit Mix'!$F$7*(1-Assumptions!$C$38)+(B12+Assumptions!$C$36)*Assumptions!$C$38</f>
        <v>1723.9</v>
      </c>
      <c r="C13" s="18" t="n">
        <f aca="false">B13*(1+C$6)</f>
        <v>1754.06825</v>
      </c>
      <c r="D13" s="18" t="n">
        <f aca="false">C13*(1+D$6)</f>
        <v>1797.91995625</v>
      </c>
      <c r="E13" s="18" t="n">
        <f aca="false">D13*(1+E$6)</f>
        <v>1851.8575549375</v>
      </c>
      <c r="F13" s="18" t="n">
        <f aca="false">E13*(1+F$6)</f>
        <v>1907.41328158563</v>
      </c>
      <c r="G13" s="18" t="n">
        <f aca="false">F13*(1+G$6)</f>
        <v>1964.63568003319</v>
      </c>
      <c r="H13" s="18" t="n">
        <f aca="false">G13*(1+H$6)</f>
        <v>2023.57475043419</v>
      </c>
      <c r="I13" s="18" t="n">
        <f aca="false">H13*(1+I$6)</f>
        <v>2084.28199294722</v>
      </c>
      <c r="J13" s="18" t="n">
        <f aca="false">I13*(1+J$6)</f>
        <v>2146.81045273563</v>
      </c>
      <c r="K13" s="18" t="n">
        <f aca="false">J13*(1+K$6)</f>
        <v>2211.2147663177</v>
      </c>
    </row>
    <row r="14" customFormat="false" ht="15" hidden="false" customHeight="false" outlineLevel="0" collapsed="false">
      <c r="A14" s="0" t="s">
        <v>174</v>
      </c>
      <c r="B14" s="18" t="n">
        <f aca="false">'Unit Mix'!$G$7+Assumptions!$C$46*Assumptions!$C$45*(B12-'Unit Mix'!$G$7)</f>
        <v>1707.50125</v>
      </c>
      <c r="C14" s="18" t="n">
        <f aca="false">B14+Assumptions!$C$46*Assumptions!$C$45*(C12-B14)</f>
        <v>1740.98531875</v>
      </c>
      <c r="D14" s="18" t="n">
        <f aca="false">C14+Assumptions!$C$46*Assumptions!$C$45*(D12-C14)</f>
        <v>1777.83744140625</v>
      </c>
      <c r="E14" s="18" t="n">
        <f aca="false">D14+Assumptions!$C$46*Assumptions!$C$45*(E12-D14)</f>
        <v>1820.02392289141</v>
      </c>
      <c r="F14" s="18" t="n">
        <f aca="false">E14+Assumptions!$C$46*Assumptions!$C$45*(F12-E14)</f>
        <v>1866.5418753043</v>
      </c>
      <c r="G14" s="18" t="n">
        <f aca="false">F14+Assumptions!$C$46*Assumptions!$C$45*(G12-F14)</f>
        <v>1916.67812673989</v>
      </c>
      <c r="H14" s="18" t="n">
        <f aca="false">G14+Assumptions!$C$46*Assumptions!$C$45*(H12-G14)</f>
        <v>1969.92996704502</v>
      </c>
      <c r="I14" s="18" t="n">
        <f aca="false">H14+Assumptions!$C$46*Assumptions!$C$45*(I12-H14)</f>
        <v>2025.947701021</v>
      </c>
      <c r="J14" s="18" t="n">
        <f aca="false">I14+Assumptions!$C$46*Assumptions!$C$45*(J12-I14)</f>
        <v>2084.49301240098</v>
      </c>
      <c r="K14" s="18" t="n">
        <f aca="false">J14+Assumptions!$C$46*Assumptions!$C$45*(K12-J14)</f>
        <v>2145.40879102629</v>
      </c>
    </row>
    <row r="15" customFormat="false" ht="15" hidden="false" customHeight="false" outlineLevel="0" collapsed="false">
      <c r="A15" s="16" t="s">
        <v>175</v>
      </c>
      <c r="B15" s="18" t="n">
        <f aca="false">'Unit Mix'!$H$8*(1+B$6)</f>
        <v>2070.5</v>
      </c>
      <c r="C15" s="18" t="n">
        <f aca="false">B15*(1+C$6)</f>
        <v>2106.73375</v>
      </c>
      <c r="D15" s="18" t="n">
        <f aca="false">C15*(1+D$6)</f>
        <v>2159.40209375</v>
      </c>
      <c r="E15" s="18" t="n">
        <f aca="false">D15*(1+E$6)</f>
        <v>2224.1841565625</v>
      </c>
      <c r="F15" s="18" t="n">
        <f aca="false">E15*(1+F$6)</f>
        <v>2290.90968125938</v>
      </c>
      <c r="G15" s="18" t="n">
        <f aca="false">F15*(1+G$6)</f>
        <v>2359.63697169716</v>
      </c>
      <c r="H15" s="18" t="n">
        <f aca="false">G15*(1+H$6)</f>
        <v>2430.42608084807</v>
      </c>
      <c r="I15" s="18" t="n">
        <f aca="false">H15*(1+I$6)</f>
        <v>2503.33886327351</v>
      </c>
      <c r="J15" s="18" t="n">
        <f aca="false">I15*(1+J$6)</f>
        <v>2578.43902917172</v>
      </c>
      <c r="K15" s="18" t="n">
        <f aca="false">J15*(1+K$6)</f>
        <v>2655.79220004687</v>
      </c>
    </row>
    <row r="16" customFormat="false" ht="15" hidden="false" customHeight="false" outlineLevel="0" collapsed="false">
      <c r="A16" s="0" t="s">
        <v>176</v>
      </c>
      <c r="B16" s="18" t="n">
        <f aca="false">'Unit Mix'!$F$8*(1-Assumptions!$C$38)+(B15+Assumptions!$C$36)*Assumptions!$C$38</f>
        <v>1972.75</v>
      </c>
      <c r="C16" s="18" t="n">
        <f aca="false">B16*(1+C$6)</f>
        <v>2007.273125</v>
      </c>
      <c r="D16" s="18" t="n">
        <f aca="false">C16*(1+D$6)</f>
        <v>2057.454953125</v>
      </c>
      <c r="E16" s="18" t="n">
        <f aca="false">D16*(1+E$6)</f>
        <v>2119.17860171875</v>
      </c>
      <c r="F16" s="18" t="n">
        <f aca="false">E16*(1+F$6)</f>
        <v>2182.75395977031</v>
      </c>
      <c r="G16" s="18" t="n">
        <f aca="false">F16*(1+G$6)</f>
        <v>2248.23657856342</v>
      </c>
      <c r="H16" s="18" t="n">
        <f aca="false">G16*(1+H$6)</f>
        <v>2315.68367592032</v>
      </c>
      <c r="I16" s="18" t="n">
        <f aca="false">H16*(1+I$6)</f>
        <v>2385.15418619793</v>
      </c>
      <c r="J16" s="18" t="n">
        <f aca="false">I16*(1+J$6)</f>
        <v>2456.70881178387</v>
      </c>
      <c r="K16" s="18" t="n">
        <f aca="false">J16*(1+K$6)</f>
        <v>2530.41007613739</v>
      </c>
    </row>
    <row r="17" customFormat="false" ht="15" hidden="false" customHeight="false" outlineLevel="0" collapsed="false">
      <c r="A17" s="0" t="s">
        <v>177</v>
      </c>
      <c r="B17" s="18" t="n">
        <f aca="false">'Unit Mix'!$G$8+Assumptions!$C$46*Assumptions!$C$45*(B15-'Unit Mix'!$G$8)</f>
        <v>1966.825</v>
      </c>
      <c r="C17" s="18" t="n">
        <f aca="false">B17+Assumptions!$C$46*Assumptions!$C$45*(C15-B17)</f>
        <v>2005.29990625</v>
      </c>
      <c r="D17" s="18" t="n">
        <f aca="false">C17+Assumptions!$C$46*Assumptions!$C$45*(D15-C17)</f>
        <v>2047.6780078125</v>
      </c>
      <c r="E17" s="18" t="n">
        <f aca="false">D17+Assumptions!$C$46*Assumptions!$C$45*(E15-D17)</f>
        <v>2096.21719871875</v>
      </c>
      <c r="F17" s="18" t="n">
        <f aca="false">E17+Assumptions!$C$46*Assumptions!$C$45*(F15-E17)</f>
        <v>2149.75763141742</v>
      </c>
      <c r="G17" s="18" t="n">
        <f aca="false">F17+Assumptions!$C$46*Assumptions!$C$45*(G15-F17)</f>
        <v>2207.47444999435</v>
      </c>
      <c r="H17" s="18" t="n">
        <f aca="false">G17+Assumptions!$C$46*Assumptions!$C$45*(H15-G17)</f>
        <v>2268.78614847912</v>
      </c>
      <c r="I17" s="18" t="n">
        <f aca="false">H17+Assumptions!$C$46*Assumptions!$C$45*(I15-H17)</f>
        <v>2333.28814504758</v>
      </c>
      <c r="J17" s="18" t="n">
        <f aca="false">I17+Assumptions!$C$46*Assumptions!$C$45*(J15-I17)</f>
        <v>2400.70463818172</v>
      </c>
      <c r="K17" s="18" t="n">
        <f aca="false">J17+Assumptions!$C$46*Assumptions!$C$45*(K15-J17)</f>
        <v>2470.85371769464</v>
      </c>
    </row>
    <row r="18" customFormat="false" ht="15" hidden="false" customHeight="false" outlineLevel="0" collapsed="false">
      <c r="A18" s="16" t="s">
        <v>178</v>
      </c>
      <c r="B18" s="18" t="n">
        <f aca="false">'Unit Mix'!$H$9*(1+B$6)</f>
        <v>2222</v>
      </c>
      <c r="C18" s="18" t="n">
        <f aca="false">B18*(1+C$6)</f>
        <v>2260.885</v>
      </c>
      <c r="D18" s="18" t="n">
        <f aca="false">C18*(1+D$6)</f>
        <v>2317.407125</v>
      </c>
      <c r="E18" s="18" t="n">
        <f aca="false">D18*(1+E$6)</f>
        <v>2386.92933875</v>
      </c>
      <c r="F18" s="18" t="n">
        <f aca="false">E18*(1+F$6)</f>
        <v>2458.5372189125</v>
      </c>
      <c r="G18" s="18" t="n">
        <f aca="false">F18*(1+G$6)</f>
        <v>2532.29333547988</v>
      </c>
      <c r="H18" s="18" t="n">
        <f aca="false">G18*(1+H$6)</f>
        <v>2608.26213554427</v>
      </c>
      <c r="I18" s="18" t="n">
        <f aca="false">H18*(1+I$6)</f>
        <v>2686.5099996106</v>
      </c>
      <c r="J18" s="18" t="n">
        <f aca="false">I18*(1+J$6)</f>
        <v>2767.10529959892</v>
      </c>
      <c r="K18" s="18" t="n">
        <f aca="false">J18*(1+K$6)</f>
        <v>2850.11845858689</v>
      </c>
    </row>
    <row r="19" customFormat="false" ht="15" hidden="false" customHeight="false" outlineLevel="0" collapsed="false">
      <c r="A19" s="0" t="s">
        <v>179</v>
      </c>
      <c r="B19" s="18" t="n">
        <f aca="false">'Unit Mix'!$F$9*(1-Assumptions!$C$38)+(B18+Assumptions!$C$36)*Assumptions!$C$38</f>
        <v>2111</v>
      </c>
      <c r="C19" s="18" t="n">
        <f aca="false">B19*(1+C$6)</f>
        <v>2147.9425</v>
      </c>
      <c r="D19" s="18" t="n">
        <f aca="false">C19*(1+D$6)</f>
        <v>2201.6410625</v>
      </c>
      <c r="E19" s="18" t="n">
        <f aca="false">D19*(1+E$6)</f>
        <v>2267.690294375</v>
      </c>
      <c r="F19" s="18" t="n">
        <f aca="false">E19*(1+F$6)</f>
        <v>2335.72100320625</v>
      </c>
      <c r="G19" s="18" t="n">
        <f aca="false">F19*(1+G$6)</f>
        <v>2405.79263330244</v>
      </c>
      <c r="H19" s="18" t="n">
        <f aca="false">G19*(1+H$6)</f>
        <v>2477.96641230151</v>
      </c>
      <c r="I19" s="18" t="n">
        <f aca="false">H19*(1+I$6)</f>
        <v>2552.30540467056</v>
      </c>
      <c r="J19" s="18" t="n">
        <f aca="false">I19*(1+J$6)</f>
        <v>2628.87456681067</v>
      </c>
      <c r="K19" s="18" t="n">
        <f aca="false">J19*(1+K$6)</f>
        <v>2707.74080381499</v>
      </c>
    </row>
    <row r="20" customFormat="false" ht="15" hidden="false" customHeight="false" outlineLevel="0" collapsed="false">
      <c r="A20" s="0" t="s">
        <v>180</v>
      </c>
      <c r="B20" s="18" t="n">
        <f aca="false">'Unit Mix'!$G$9+Assumptions!$C$46*Assumptions!$C$45*(B18-'Unit Mix'!$G$9)</f>
        <v>2110.89375</v>
      </c>
      <c r="C20" s="18" t="n">
        <f aca="false">B20+Assumptions!$C$46*Assumptions!$C$45*(C18-B20)</f>
        <v>2152.14134375</v>
      </c>
      <c r="D20" s="18" t="n">
        <f aca="false">C20+Assumptions!$C$46*Assumptions!$C$45*(D18-C20)</f>
        <v>2197.58943359375</v>
      </c>
      <c r="E20" s="18" t="n">
        <f aca="false">D20+Assumptions!$C$46*Assumptions!$C$45*(E18-D20)</f>
        <v>2249.65790751172</v>
      </c>
      <c r="F20" s="18" t="n">
        <f aca="false">E20+Assumptions!$C$46*Assumptions!$C$45*(F18-E20)</f>
        <v>2307.09971814693</v>
      </c>
      <c r="G20" s="18" t="n">
        <f aca="false">F20+Assumptions!$C$46*Assumptions!$C$45*(G18-F20)</f>
        <v>2369.02796291349</v>
      </c>
      <c r="H20" s="18" t="n">
        <f aca="false">G20+Assumptions!$C$46*Assumptions!$C$45*(H18-G20)</f>
        <v>2434.81736038696</v>
      </c>
      <c r="I20" s="18" t="n">
        <f aca="false">H20+Assumptions!$C$46*Assumptions!$C$45*(I18-H20)</f>
        <v>2504.03283617346</v>
      </c>
      <c r="J20" s="18" t="n">
        <f aca="false">I20+Assumptions!$C$46*Assumptions!$C$45*(J18-I20)</f>
        <v>2576.37776361546</v>
      </c>
      <c r="K20" s="18" t="n">
        <f aca="false">J20+Assumptions!$C$46*Assumptions!$C$45*(K18-J20)</f>
        <v>2651.6564547326</v>
      </c>
    </row>
    <row r="22" customFormat="false" ht="15" hidden="false" customHeight="false" outlineLevel="0" collapsed="false">
      <c r="A22" s="3" t="s">
        <v>181</v>
      </c>
      <c r="B22" s="3"/>
      <c r="C22" s="3"/>
      <c r="D22" s="3"/>
      <c r="E22" s="3"/>
      <c r="F22" s="3"/>
      <c r="G22" s="3"/>
      <c r="H22" s="3"/>
      <c r="I22" s="3"/>
      <c r="J22" s="3"/>
      <c r="K22" s="3"/>
    </row>
    <row r="23" customFormat="false" ht="15" hidden="false" customHeight="false" outlineLevel="0" collapsed="false">
      <c r="A23" s="16" t="s">
        <v>182</v>
      </c>
      <c r="B23" s="10" t="n">
        <f aca="false">('Unit Mix'!$B$6*B9+'Unit Mix'!$B$7*B12+'Unit Mix'!$B$8*B15+'Unit Mix'!$B$9*B18)*12</f>
        <v>2167783.2</v>
      </c>
      <c r="C23" s="10" t="n">
        <f aca="false">('Unit Mix'!$B$6*C9+'Unit Mix'!$B$7*C12+'Unit Mix'!$B$8*C15+'Unit Mix'!$B$9*C18)*12</f>
        <v>2205719.406</v>
      </c>
      <c r="D23" s="10" t="n">
        <f aca="false">('Unit Mix'!$B$6*D9+'Unit Mix'!$B$7*D12+'Unit Mix'!$B$8*D15+'Unit Mix'!$B$9*D18)*12</f>
        <v>2260862.39115</v>
      </c>
      <c r="E23" s="10" t="n">
        <f aca="false">('Unit Mix'!$B$6*E9+'Unit Mix'!$B$7*E12+'Unit Mix'!$B$8*E15+'Unit Mix'!$B$9*E18)*12</f>
        <v>2328688.2628845</v>
      </c>
      <c r="F23" s="10" t="n">
        <f aca="false">('Unit Mix'!$B$6*F9+'Unit Mix'!$B$7*F12+'Unit Mix'!$B$8*F15+'Unit Mix'!$B$9*F18)*12</f>
        <v>2398548.91077103</v>
      </c>
      <c r="G23" s="10" t="n">
        <f aca="false">('Unit Mix'!$B$6*G9+'Unit Mix'!$B$7*G12+'Unit Mix'!$B$8*G15+'Unit Mix'!$B$9*G18)*12</f>
        <v>2470505.37809417</v>
      </c>
      <c r="H23" s="10" t="n">
        <f aca="false">('Unit Mix'!$B$6*H9+'Unit Mix'!$B$7*H12+'Unit Mix'!$B$8*H15+'Unit Mix'!$B$9*H18)*12</f>
        <v>2544620.53943699</v>
      </c>
      <c r="I23" s="10" t="n">
        <f aca="false">('Unit Mix'!$B$6*I9+'Unit Mix'!$B$7*I12+'Unit Mix'!$B$8*I15+'Unit Mix'!$B$9*I18)*12</f>
        <v>2620959.1556201</v>
      </c>
      <c r="J23" s="10" t="n">
        <f aca="false">('Unit Mix'!$B$6*J9+'Unit Mix'!$B$7*J12+'Unit Mix'!$B$8*J15+'Unit Mix'!$B$9*J18)*12</f>
        <v>2699587.9302887</v>
      </c>
      <c r="K23" s="10" t="n">
        <f aca="false">('Unit Mix'!$B$6*K9+'Unit Mix'!$B$7*K12+'Unit Mix'!$B$8*K15+'Unit Mix'!$B$9*K18)*12</f>
        <v>2780575.56819737</v>
      </c>
    </row>
    <row r="24" customFormat="false" ht="15" hidden="false" customHeight="false" outlineLevel="0" collapsed="false">
      <c r="A24" s="0" t="s">
        <v>183</v>
      </c>
      <c r="B24" s="18" t="n">
        <f aca="false">B25-B23</f>
        <v>-105059.865</v>
      </c>
      <c r="C24" s="18" t="n">
        <f aca="false">C25-C23</f>
        <v>-103521.78495</v>
      </c>
      <c r="D24" s="18" t="n">
        <f aca="false">D25-D23</f>
        <v>-112133.257771875</v>
      </c>
      <c r="E24" s="18" t="n">
        <f aca="false">E25-E23</f>
        <v>-125622.970709915</v>
      </c>
      <c r="F24" s="18" t="n">
        <f aca="false">F25-F23</f>
        <v>-136732.803354753</v>
      </c>
      <c r="G24" s="18" t="n">
        <f aca="false">G25-G23</f>
        <v>-146157.116509964</v>
      </c>
      <c r="H24" s="18" t="n">
        <f aca="false">H25-H23</f>
        <v>-154400.518569825</v>
      </c>
      <c r="I24" s="18" t="n">
        <f aca="false">I25-I23</f>
        <v>-161830.083336226</v>
      </c>
      <c r="J24" s="18" t="n">
        <f aca="false">J25-J23</f>
        <v>-168713.209013061</v>
      </c>
      <c r="K24" s="18" t="n">
        <f aca="false">K25-K23</f>
        <v>-175245.067086594</v>
      </c>
    </row>
    <row r="25" customFormat="false" ht="15" hidden="false" customHeight="false" outlineLevel="0" collapsed="false">
      <c r="A25" s="16" t="s">
        <v>184</v>
      </c>
      <c r="B25" s="10" t="n">
        <f aca="false">('Unit Mix'!$C$6*B10+'Unit Mix'!$D$6*B11+'Unit Mix'!$C$7*B13+'Unit Mix'!$D$7*B14+'Unit Mix'!$C$8*B16+'Unit Mix'!$D$8*B17+'Unit Mix'!$C$9*B19+'Unit Mix'!$D$9*B20)*12</f>
        <v>2062723.335</v>
      </c>
      <c r="C25" s="10" t="n">
        <f aca="false">('Unit Mix'!$C$6*C10+'Unit Mix'!$D$6*C11+'Unit Mix'!$C$7*C13+'Unit Mix'!$D$7*C14+'Unit Mix'!$C$8*C16+'Unit Mix'!$D$8*C17+'Unit Mix'!$C$9*C19+'Unit Mix'!$D$9*C20)*12</f>
        <v>2102197.62105</v>
      </c>
      <c r="D25" s="10" t="n">
        <f aca="false">('Unit Mix'!$C$6*D10+'Unit Mix'!$D$6*D11+'Unit Mix'!$C$7*D13+'Unit Mix'!$D$7*D14+'Unit Mix'!$C$8*D16+'Unit Mix'!$D$8*D17+'Unit Mix'!$C$9*D19+'Unit Mix'!$D$9*D20)*12</f>
        <v>2148729.13337813</v>
      </c>
      <c r="E25" s="10" t="n">
        <f aca="false">('Unit Mix'!$C$6*E10+'Unit Mix'!$D$6*E11+'Unit Mix'!$C$7*E13+'Unit Mix'!$D$7*E14+'Unit Mix'!$C$8*E16+'Unit Mix'!$D$8*E17+'Unit Mix'!$C$9*E19+'Unit Mix'!$D$9*E20)*12</f>
        <v>2203065.29217458</v>
      </c>
      <c r="F25" s="10" t="n">
        <f aca="false">('Unit Mix'!$C$6*F10+'Unit Mix'!$D$6*F11+'Unit Mix'!$C$7*F13+'Unit Mix'!$D$7*F14+'Unit Mix'!$C$8*F16+'Unit Mix'!$D$8*F17+'Unit Mix'!$C$9*F19+'Unit Mix'!$D$9*F20)*12</f>
        <v>2261816.10741628</v>
      </c>
      <c r="G25" s="10" t="n">
        <f aca="false">('Unit Mix'!$C$6*G10+'Unit Mix'!$D$6*G11+'Unit Mix'!$C$7*G13+'Unit Mix'!$D$7*G14+'Unit Mix'!$C$8*G16+'Unit Mix'!$D$8*G17+'Unit Mix'!$C$9*G19+'Unit Mix'!$D$9*G20)*12</f>
        <v>2324348.2615842</v>
      </c>
      <c r="H25" s="10" t="n">
        <f aca="false">('Unit Mix'!$C$6*H10+'Unit Mix'!$D$6*H11+'Unit Mix'!$C$7*H13+'Unit Mix'!$D$7*H14+'Unit Mix'!$C$8*H16+'Unit Mix'!$D$8*H17+'Unit Mix'!$C$9*H19+'Unit Mix'!$D$9*H20)*12</f>
        <v>2390220.02086717</v>
      </c>
      <c r="I25" s="10" t="n">
        <f aca="false">('Unit Mix'!$C$6*I10+'Unit Mix'!$D$6*I11+'Unit Mix'!$C$7*I13+'Unit Mix'!$D$7*I14+'Unit Mix'!$C$8*I16+'Unit Mix'!$D$8*I17+'Unit Mix'!$C$9*I19+'Unit Mix'!$D$9*I20)*12</f>
        <v>2459129.07228387</v>
      </c>
      <c r="J25" s="10" t="n">
        <f aca="false">('Unit Mix'!$C$6*J10+'Unit Mix'!$D$6*J11+'Unit Mix'!$C$7*J13+'Unit Mix'!$D$7*J14+'Unit Mix'!$C$8*J16+'Unit Mix'!$D$8*J17+'Unit Mix'!$C$9*J19+'Unit Mix'!$D$9*J20)*12</f>
        <v>2530874.72127564</v>
      </c>
      <c r="K25" s="10" t="n">
        <f aca="false">('Unit Mix'!$C$6*K10+'Unit Mix'!$D$6*K11+'Unit Mix'!$C$7*K13+'Unit Mix'!$D$7*K14+'Unit Mix'!$C$8*K16+'Unit Mix'!$D$8*K17+'Unit Mix'!$C$9*K19+'Unit Mix'!$D$9*K20)*12</f>
        <v>2605330.50111077</v>
      </c>
    </row>
    <row r="26" customFormat="false" ht="15" hidden="false" customHeight="false" outlineLevel="0" collapsed="false">
      <c r="A26" s="0" t="s">
        <v>185</v>
      </c>
      <c r="B26" s="18" t="n">
        <f aca="false">-B25*Assumptions!$C$41</f>
        <v>-134077.016775</v>
      </c>
      <c r="C26" s="18" t="n">
        <f aca="false">-C25*Assumptions!$C$41</f>
        <v>-136642.84536825</v>
      </c>
      <c r="D26" s="18" t="n">
        <f aca="false">-D25*Assumptions!$C$41</f>
        <v>-139667.393669578</v>
      </c>
      <c r="E26" s="18" t="n">
        <f aca="false">-E25*Assumptions!$C$41</f>
        <v>-143199.243991348</v>
      </c>
      <c r="F26" s="18" t="n">
        <f aca="false">-F25*Assumptions!$C$41</f>
        <v>-147018.046982058</v>
      </c>
      <c r="G26" s="18" t="n">
        <f aca="false">-G25*Assumptions!$C$41</f>
        <v>-151082.637002973</v>
      </c>
      <c r="H26" s="18" t="n">
        <f aca="false">-H25*Assumptions!$C$41</f>
        <v>-155364.301356366</v>
      </c>
      <c r="I26" s="18" t="n">
        <f aca="false">-I25*Assumptions!$C$41</f>
        <v>-159843.389698452</v>
      </c>
      <c r="J26" s="18" t="n">
        <f aca="false">-J25*Assumptions!$C$41</f>
        <v>-164506.856882917</v>
      </c>
      <c r="K26" s="18" t="n">
        <f aca="false">-K25*Assumptions!$C$41</f>
        <v>-169346.4825722</v>
      </c>
    </row>
    <row r="27" customFormat="false" ht="15" hidden="false" customHeight="false" outlineLevel="0" collapsed="false">
      <c r="A27" s="0" t="s">
        <v>186</v>
      </c>
      <c r="B27" s="18" t="n">
        <f aca="false">-B25*Assumptions!$C$42</f>
        <v>-20627.23335</v>
      </c>
      <c r="C27" s="18" t="n">
        <f aca="false">-C25*Assumptions!$C$42</f>
        <v>-21021.9762105</v>
      </c>
      <c r="D27" s="18" t="n">
        <f aca="false">-D25*Assumptions!$C$42</f>
        <v>-21487.2913337813</v>
      </c>
      <c r="E27" s="18" t="n">
        <f aca="false">-E25*Assumptions!$C$42</f>
        <v>-22030.6529217458</v>
      </c>
      <c r="F27" s="18" t="n">
        <f aca="false">-F25*Assumptions!$C$42</f>
        <v>-22618.1610741628</v>
      </c>
      <c r="G27" s="18" t="n">
        <f aca="false">-G25*Assumptions!$C$42</f>
        <v>-23243.482615842</v>
      </c>
      <c r="H27" s="18" t="n">
        <f aca="false">-H25*Assumptions!$C$42</f>
        <v>-23902.2002086717</v>
      </c>
      <c r="I27" s="18" t="n">
        <f aca="false">-I25*Assumptions!$C$42</f>
        <v>-24591.2907228388</v>
      </c>
      <c r="J27" s="18" t="n">
        <f aca="false">-J25*Assumptions!$C$42</f>
        <v>-25308.7472127564</v>
      </c>
      <c r="K27" s="18" t="n">
        <f aca="false">-K25*Assumptions!$C$42</f>
        <v>-26053.3050111077</v>
      </c>
    </row>
    <row r="28" customFormat="false" ht="15" hidden="false" customHeight="false" outlineLevel="0" collapsed="false">
      <c r="A28" s="0" t="s">
        <v>187</v>
      </c>
      <c r="B28" s="18" t="n">
        <f aca="false">-B25*Assumptions!$C$43</f>
        <v>-10313.616675</v>
      </c>
      <c r="C28" s="18" t="n">
        <f aca="false">-C25*Assumptions!$C$43</f>
        <v>-10510.98810525</v>
      </c>
      <c r="D28" s="18" t="n">
        <f aca="false">-D25*Assumptions!$C$43</f>
        <v>-10743.6456668906</v>
      </c>
      <c r="E28" s="18" t="n">
        <f aca="false">-E25*Assumptions!$C$43</f>
        <v>-11015.3264608729</v>
      </c>
      <c r="F28" s="18" t="n">
        <f aca="false">-F25*Assumptions!$C$43</f>
        <v>-11309.0805370814</v>
      </c>
      <c r="G28" s="18" t="n">
        <f aca="false">-G25*Assumptions!$C$43</f>
        <v>-11621.741307921</v>
      </c>
      <c r="H28" s="18" t="n">
        <f aca="false">-H25*Assumptions!$C$43</f>
        <v>-11951.1001043358</v>
      </c>
      <c r="I28" s="18" t="n">
        <f aca="false">-I25*Assumptions!$C$43</f>
        <v>-12295.6453614194</v>
      </c>
      <c r="J28" s="18" t="n">
        <f aca="false">-J25*Assumptions!$C$43</f>
        <v>-12654.3736063782</v>
      </c>
      <c r="K28" s="18" t="n">
        <f aca="false">-K25*Assumptions!$C$43</f>
        <v>-13026.6525055539</v>
      </c>
    </row>
    <row r="29" customFormat="false" ht="15" hidden="false" customHeight="false" outlineLevel="0" collapsed="false">
      <c r="A29" s="0" t="s">
        <v>188</v>
      </c>
      <c r="B29" s="18" t="n">
        <f aca="false">Assumptions!$C$6*Assumptions!$C$44*12*(1+Assumptions!$C$62)^(B$4-1)</f>
        <v>41160</v>
      </c>
      <c r="C29" s="18" t="n">
        <f aca="false">Assumptions!$C$6*Assumptions!$C$44*12*(1+Assumptions!$C$62)^(C$4-1)</f>
        <v>42600.6</v>
      </c>
      <c r="D29" s="18" t="n">
        <f aca="false">Assumptions!$C$6*Assumptions!$C$44*12*(1+Assumptions!$C$62)^(D$4-1)</f>
        <v>44091.621</v>
      </c>
      <c r="E29" s="18" t="n">
        <f aca="false">Assumptions!$C$6*Assumptions!$C$44*12*(1+Assumptions!$C$62)^(E$4-1)</f>
        <v>45634.827735</v>
      </c>
      <c r="F29" s="18" t="n">
        <f aca="false">Assumptions!$C$6*Assumptions!$C$44*12*(1+Assumptions!$C$62)^(F$4-1)</f>
        <v>47232.046705725</v>
      </c>
      <c r="G29" s="18" t="n">
        <f aca="false">Assumptions!$C$6*Assumptions!$C$44*12*(1+Assumptions!$C$62)^(G$4-1)</f>
        <v>48885.1683404254</v>
      </c>
      <c r="H29" s="18" t="n">
        <f aca="false">Assumptions!$C$6*Assumptions!$C$44*12*(1+Assumptions!$C$62)^(H$4-1)</f>
        <v>50596.1492323402</v>
      </c>
      <c r="I29" s="18" t="n">
        <f aca="false">Assumptions!$C$6*Assumptions!$C$44*12*(1+Assumptions!$C$62)^(I$4-1)</f>
        <v>52367.0144554721</v>
      </c>
      <c r="J29" s="18" t="n">
        <f aca="false">Assumptions!$C$6*Assumptions!$C$44*12*(1+Assumptions!$C$62)^(J$4-1)</f>
        <v>54199.8599614137</v>
      </c>
      <c r="K29" s="18" t="n">
        <f aca="false">Assumptions!$C$6*Assumptions!$C$44*12*(1+Assumptions!$C$62)^(K$4-1)</f>
        <v>56096.8550600631</v>
      </c>
    </row>
    <row r="30" customFormat="false" ht="15" hidden="false" customHeight="false" outlineLevel="0" collapsed="false">
      <c r="A30" s="16" t="s">
        <v>189</v>
      </c>
      <c r="B30" s="10" t="n">
        <f aca="false">SUM(B25:B29)</f>
        <v>1938865.4682</v>
      </c>
      <c r="C30" s="10" t="n">
        <f aca="false">SUM(C25:C29)</f>
        <v>1976622.411366</v>
      </c>
      <c r="D30" s="10" t="n">
        <f aca="false">SUM(D25:D29)</f>
        <v>2020922.42370788</v>
      </c>
      <c r="E30" s="10" t="n">
        <f aca="false">SUM(E25:E29)</f>
        <v>2072454.89653562</v>
      </c>
      <c r="F30" s="10" t="n">
        <f aca="false">SUM(F25:F29)</f>
        <v>2128102.8655287</v>
      </c>
      <c r="G30" s="10" t="n">
        <f aca="false">SUM(G25:G29)</f>
        <v>2187285.56899789</v>
      </c>
      <c r="H30" s="10" t="n">
        <f aca="false">SUM(H25:H29)</f>
        <v>2249598.56843013</v>
      </c>
      <c r="I30" s="10" t="n">
        <f aca="false">SUM(I25:I29)</f>
        <v>2314765.76095664</v>
      </c>
      <c r="J30" s="10" t="n">
        <f aca="false">SUM(J25:J29)</f>
        <v>2382604.60353501</v>
      </c>
      <c r="K30" s="10" t="n">
        <f aca="false">SUM(K25:K29)</f>
        <v>2453000.91608197</v>
      </c>
    </row>
    <row r="32" customFormat="false" ht="15" hidden="false" customHeight="false" outlineLevel="0" collapsed="false">
      <c r="A32" s="3" t="s">
        <v>190</v>
      </c>
      <c r="B32" s="3"/>
      <c r="C32" s="3"/>
      <c r="D32" s="3"/>
      <c r="E32" s="3"/>
      <c r="F32" s="3"/>
      <c r="G32" s="3"/>
      <c r="H32" s="3"/>
      <c r="I32" s="3"/>
      <c r="J32" s="3"/>
      <c r="K32" s="3"/>
    </row>
    <row r="33" customFormat="false" ht="15" hidden="false" customHeight="false" outlineLevel="0" collapsed="false">
      <c r="A33" s="0" t="s">
        <v>191</v>
      </c>
      <c r="B33" s="18" t="n">
        <f aca="false">-Assumptions!$C$6*Assumptions!$C$66*(1+Assumptions!$C$62)^(B$4-1)</f>
        <v>-137200</v>
      </c>
      <c r="C33" s="18" t="n">
        <f aca="false">-Assumptions!$C$6*Assumptions!$C$66*(1+Assumptions!$C$62)^(C$4-1)</f>
        <v>-142002</v>
      </c>
      <c r="D33" s="18" t="n">
        <f aca="false">-Assumptions!$C$6*Assumptions!$C$66*(1+Assumptions!$C$62)^(D$4-1)</f>
        <v>-146972.07</v>
      </c>
      <c r="E33" s="18" t="n">
        <f aca="false">-Assumptions!$C$6*Assumptions!$C$66*(1+Assumptions!$C$62)^(E$4-1)</f>
        <v>-152116.09245</v>
      </c>
      <c r="F33" s="18" t="n">
        <f aca="false">-Assumptions!$C$6*Assumptions!$C$66*(1+Assumptions!$C$62)^(F$4-1)</f>
        <v>-157440.15568575</v>
      </c>
      <c r="G33" s="18" t="n">
        <f aca="false">-Assumptions!$C$6*Assumptions!$C$66*(1+Assumptions!$C$62)^(G$4-1)</f>
        <v>-162950.561134751</v>
      </c>
      <c r="H33" s="18" t="n">
        <f aca="false">-Assumptions!$C$6*Assumptions!$C$66*(1+Assumptions!$C$62)^(H$4-1)</f>
        <v>-168653.830774467</v>
      </c>
      <c r="I33" s="18" t="n">
        <f aca="false">-Assumptions!$C$6*Assumptions!$C$66*(1+Assumptions!$C$62)^(I$4-1)</f>
        <v>-174556.714851574</v>
      </c>
      <c r="J33" s="18" t="n">
        <f aca="false">-Assumptions!$C$6*Assumptions!$C$66*(1+Assumptions!$C$62)^(J$4-1)</f>
        <v>-180666.199871379</v>
      </c>
      <c r="K33" s="18" t="n">
        <f aca="false">-Assumptions!$C$6*Assumptions!$C$66*(1+Assumptions!$C$62)^(K$4-1)</f>
        <v>-186989.516866877</v>
      </c>
    </row>
    <row r="34" customFormat="false" ht="15" hidden="false" customHeight="false" outlineLevel="0" collapsed="false">
      <c r="A34" s="0" t="s">
        <v>80</v>
      </c>
      <c r="B34" s="18" t="n">
        <f aca="false">-Assumptions!$C$6*Assumptions!$C$67*(1+Assumptions!$C$62)^(B$4-1)</f>
        <v>-107800</v>
      </c>
      <c r="C34" s="18" t="n">
        <f aca="false">-Assumptions!$C$6*Assumptions!$C$67*(1+Assumptions!$C$62)^(C$4-1)</f>
        <v>-111573</v>
      </c>
      <c r="D34" s="18" t="n">
        <f aca="false">-Assumptions!$C$6*Assumptions!$C$67*(1+Assumptions!$C$62)^(D$4-1)</f>
        <v>-115478.055</v>
      </c>
      <c r="E34" s="18" t="n">
        <f aca="false">-Assumptions!$C$6*Assumptions!$C$67*(1+Assumptions!$C$62)^(E$4-1)</f>
        <v>-119519.786925</v>
      </c>
      <c r="F34" s="18" t="n">
        <f aca="false">-Assumptions!$C$6*Assumptions!$C$67*(1+Assumptions!$C$62)^(F$4-1)</f>
        <v>-123702.979467375</v>
      </c>
      <c r="G34" s="18" t="n">
        <f aca="false">-Assumptions!$C$6*Assumptions!$C$67*(1+Assumptions!$C$62)^(G$4-1)</f>
        <v>-128032.583748733</v>
      </c>
      <c r="H34" s="18" t="n">
        <f aca="false">-Assumptions!$C$6*Assumptions!$C$67*(1+Assumptions!$C$62)^(H$4-1)</f>
        <v>-132513.724179939</v>
      </c>
      <c r="I34" s="18" t="n">
        <f aca="false">-Assumptions!$C$6*Assumptions!$C$67*(1+Assumptions!$C$62)^(I$4-1)</f>
        <v>-137151.704526237</v>
      </c>
      <c r="J34" s="18" t="n">
        <f aca="false">-Assumptions!$C$6*Assumptions!$C$67*(1+Assumptions!$C$62)^(J$4-1)</f>
        <v>-141952.014184655</v>
      </c>
      <c r="K34" s="18" t="n">
        <f aca="false">-Assumptions!$C$6*Assumptions!$C$67*(1+Assumptions!$C$62)^(K$4-1)</f>
        <v>-146920.334681118</v>
      </c>
    </row>
    <row r="35" customFormat="false" ht="15" hidden="false" customHeight="false" outlineLevel="0" collapsed="false">
      <c r="A35" s="0" t="s">
        <v>82</v>
      </c>
      <c r="B35" s="18" t="n">
        <f aca="false">-Assumptions!$C$6*Assumptions!$C$68*(1+Assumptions!$C$62)^(B$4-1)</f>
        <v>-34300</v>
      </c>
      <c r="C35" s="18" t="n">
        <f aca="false">-Assumptions!$C$6*Assumptions!$C$68*(1+Assumptions!$C$62)^(C$4-1)</f>
        <v>-35500.5</v>
      </c>
      <c r="D35" s="18" t="n">
        <f aca="false">-Assumptions!$C$6*Assumptions!$C$68*(1+Assumptions!$C$62)^(D$4-1)</f>
        <v>-36743.0175</v>
      </c>
      <c r="E35" s="18" t="n">
        <f aca="false">-Assumptions!$C$6*Assumptions!$C$68*(1+Assumptions!$C$62)^(E$4-1)</f>
        <v>-38029.0231125</v>
      </c>
      <c r="F35" s="18" t="n">
        <f aca="false">-Assumptions!$C$6*Assumptions!$C$68*(1+Assumptions!$C$62)^(F$4-1)</f>
        <v>-39360.0389214375</v>
      </c>
      <c r="G35" s="18" t="n">
        <f aca="false">-Assumptions!$C$6*Assumptions!$C$68*(1+Assumptions!$C$62)^(G$4-1)</f>
        <v>-40737.6402836878</v>
      </c>
      <c r="H35" s="18" t="n">
        <f aca="false">-Assumptions!$C$6*Assumptions!$C$68*(1+Assumptions!$C$62)^(H$4-1)</f>
        <v>-42163.4576936169</v>
      </c>
      <c r="I35" s="18" t="n">
        <f aca="false">-Assumptions!$C$6*Assumptions!$C$68*(1+Assumptions!$C$62)^(I$4-1)</f>
        <v>-43639.1787128935</v>
      </c>
      <c r="J35" s="18" t="n">
        <f aca="false">-Assumptions!$C$6*Assumptions!$C$68*(1+Assumptions!$C$62)^(J$4-1)</f>
        <v>-45166.5499678447</v>
      </c>
      <c r="K35" s="18" t="n">
        <f aca="false">-Assumptions!$C$6*Assumptions!$C$68*(1+Assumptions!$C$62)^(K$4-1)</f>
        <v>-46747.3792167193</v>
      </c>
    </row>
    <row r="36" customFormat="false" ht="15" hidden="false" customHeight="false" outlineLevel="0" collapsed="false">
      <c r="A36" s="0" t="s">
        <v>192</v>
      </c>
      <c r="B36" s="18" t="n">
        <f aca="false">-Assumptions!$C$6*Assumptions!$C$69*(1+Assumptions!$C$62)^(B$4-1)</f>
        <v>-44100</v>
      </c>
      <c r="C36" s="18" t="n">
        <f aca="false">-Assumptions!$C$6*Assumptions!$C$69*(1+Assumptions!$C$62)^(C$4-1)</f>
        <v>-45643.5</v>
      </c>
      <c r="D36" s="18" t="n">
        <f aca="false">-Assumptions!$C$6*Assumptions!$C$69*(1+Assumptions!$C$62)^(D$4-1)</f>
        <v>-47241.0225</v>
      </c>
      <c r="E36" s="18" t="n">
        <f aca="false">-Assumptions!$C$6*Assumptions!$C$69*(1+Assumptions!$C$62)^(E$4-1)</f>
        <v>-48894.4582875</v>
      </c>
      <c r="F36" s="18" t="n">
        <f aca="false">-Assumptions!$C$6*Assumptions!$C$69*(1+Assumptions!$C$62)^(F$4-1)</f>
        <v>-50605.7643275625</v>
      </c>
      <c r="G36" s="18" t="n">
        <f aca="false">-Assumptions!$C$6*Assumptions!$C$69*(1+Assumptions!$C$62)^(G$4-1)</f>
        <v>-52376.9660790272</v>
      </c>
      <c r="H36" s="18" t="n">
        <f aca="false">-Assumptions!$C$6*Assumptions!$C$69*(1+Assumptions!$C$62)^(H$4-1)</f>
        <v>-54210.1598917931</v>
      </c>
      <c r="I36" s="18" t="n">
        <f aca="false">-Assumptions!$C$6*Assumptions!$C$69*(1+Assumptions!$C$62)^(I$4-1)</f>
        <v>-56107.5154880059</v>
      </c>
      <c r="J36" s="18" t="n">
        <f aca="false">-Assumptions!$C$6*Assumptions!$C$69*(1+Assumptions!$C$62)^(J$4-1)</f>
        <v>-58071.2785300861</v>
      </c>
      <c r="K36" s="18" t="n">
        <f aca="false">-Assumptions!$C$6*Assumptions!$C$69*(1+Assumptions!$C$62)^(K$4-1)</f>
        <v>-60103.7732786391</v>
      </c>
    </row>
    <row r="37" customFormat="false" ht="15" hidden="false" customHeight="false" outlineLevel="0" collapsed="false">
      <c r="A37" s="0" t="s">
        <v>193</v>
      </c>
      <c r="B37" s="18" t="n">
        <f aca="false">-Assumptions!$C$6*Assumptions!$C$70*(1+Assumptions!$C$62)^(B$4-1)</f>
        <v>-49000</v>
      </c>
      <c r="C37" s="18" t="n">
        <f aca="false">-Assumptions!$C$6*Assumptions!$C$70*(1+Assumptions!$C$62)^(C$4-1)</f>
        <v>-50715</v>
      </c>
      <c r="D37" s="18" t="n">
        <f aca="false">-Assumptions!$C$6*Assumptions!$C$70*(1+Assumptions!$C$62)^(D$4-1)</f>
        <v>-52490.025</v>
      </c>
      <c r="E37" s="18" t="n">
        <f aca="false">-Assumptions!$C$6*Assumptions!$C$70*(1+Assumptions!$C$62)^(E$4-1)</f>
        <v>-54327.175875</v>
      </c>
      <c r="F37" s="18" t="n">
        <f aca="false">-Assumptions!$C$6*Assumptions!$C$70*(1+Assumptions!$C$62)^(F$4-1)</f>
        <v>-56228.627030625</v>
      </c>
      <c r="G37" s="18" t="n">
        <f aca="false">-Assumptions!$C$6*Assumptions!$C$70*(1+Assumptions!$C$62)^(G$4-1)</f>
        <v>-58196.6289766969</v>
      </c>
      <c r="H37" s="18" t="n">
        <f aca="false">-Assumptions!$C$6*Assumptions!$C$70*(1+Assumptions!$C$62)^(H$4-1)</f>
        <v>-60233.5109908812</v>
      </c>
      <c r="I37" s="18" t="n">
        <f aca="false">-Assumptions!$C$6*Assumptions!$C$70*(1+Assumptions!$C$62)^(I$4-1)</f>
        <v>-62341.6838755621</v>
      </c>
      <c r="J37" s="18" t="n">
        <f aca="false">-Assumptions!$C$6*Assumptions!$C$70*(1+Assumptions!$C$62)^(J$4-1)</f>
        <v>-64523.6428112067</v>
      </c>
      <c r="K37" s="18" t="n">
        <f aca="false">-Assumptions!$C$6*Assumptions!$C$70*(1+Assumptions!$C$62)^(K$4-1)</f>
        <v>-66781.970309599</v>
      </c>
    </row>
    <row r="38" customFormat="false" ht="15" hidden="false" customHeight="false" outlineLevel="0" collapsed="false">
      <c r="A38" s="0" t="s">
        <v>194</v>
      </c>
      <c r="B38" s="18" t="n">
        <f aca="false">-Assumptions!$C$6*(IF(Assumptions!$C$79=1,Assumptions!$C$72,Assumptions!$C$71))*(1+Assumptions!$C$63)^(B$4-1)</f>
        <v>-235200</v>
      </c>
      <c r="C38" s="18" t="n">
        <f aca="false">-Assumptions!$C$6*(IF(Assumptions!$C$79=1,Assumptions!$C$72,Assumptions!$C$71))*(1+Assumptions!$C$63)^(C$4-1)</f>
        <v>-251664</v>
      </c>
      <c r="D38" s="18" t="n">
        <f aca="false">-Assumptions!$C$6*(IF(Assumptions!$C$79=1,Assumptions!$C$72,Assumptions!$C$71))*(1+Assumptions!$C$63)^(D$4-1)</f>
        <v>-269280.48</v>
      </c>
      <c r="E38" s="18" t="n">
        <f aca="false">-Assumptions!$C$6*(IF(Assumptions!$C$79=1,Assumptions!$C$72,Assumptions!$C$71))*(1+Assumptions!$C$63)^(E$4-1)</f>
        <v>-288130.1136</v>
      </c>
      <c r="F38" s="18" t="n">
        <f aca="false">-Assumptions!$C$6*(IF(Assumptions!$C$79=1,Assumptions!$C$72,Assumptions!$C$71))*(1+Assumptions!$C$63)^(F$4-1)</f>
        <v>-308299.221552</v>
      </c>
      <c r="G38" s="18" t="n">
        <f aca="false">-Assumptions!$C$6*(IF(Assumptions!$C$79=1,Assumptions!$C$72,Assumptions!$C$71))*(1+Assumptions!$C$63)^(G$4-1)</f>
        <v>-329880.16706064</v>
      </c>
      <c r="H38" s="18" t="n">
        <f aca="false">-Assumptions!$C$6*(IF(Assumptions!$C$79=1,Assumptions!$C$72,Assumptions!$C$71))*(1+Assumptions!$C$63)^(H$4-1)</f>
        <v>-352971.778754885</v>
      </c>
      <c r="I38" s="18" t="n">
        <f aca="false">-Assumptions!$C$6*(IF(Assumptions!$C$79=1,Assumptions!$C$72,Assumptions!$C$71))*(1+Assumptions!$C$63)^(I$4-1)</f>
        <v>-377679.803267727</v>
      </c>
      <c r="J38" s="18" t="n">
        <f aca="false">-Assumptions!$C$6*(IF(Assumptions!$C$79=1,Assumptions!$C$72,Assumptions!$C$71))*(1+Assumptions!$C$63)^(J$4-1)</f>
        <v>-404117.389496468</v>
      </c>
      <c r="K38" s="18" t="n">
        <f aca="false">-Assumptions!$C$6*(IF(Assumptions!$C$79=1,Assumptions!$C$72,Assumptions!$C$71))*(1+Assumptions!$C$63)^(K$4-1)</f>
        <v>-432405.606761221</v>
      </c>
    </row>
    <row r="39" customFormat="false" ht="15" hidden="false" customHeight="false" outlineLevel="0" collapsed="false">
      <c r="A39" s="0" t="s">
        <v>195</v>
      </c>
      <c r="B39" s="18" t="n">
        <f aca="false">-Assumptions!$C$20</f>
        <v>-232716.162</v>
      </c>
      <c r="C39" s="18" t="n">
        <f aca="false">B39*(1+Assumptions!$C$17)</f>
        <v>-255987.7782</v>
      </c>
      <c r="D39" s="18" t="n">
        <f aca="false">C39*(1+Assumptions!$C$17)</f>
        <v>-281586.55602</v>
      </c>
      <c r="E39" s="18" t="n">
        <f aca="false">D39*(1+Assumptions!$C$17)</f>
        <v>-309745.211622</v>
      </c>
      <c r="F39" s="18" t="n">
        <f aca="false">E39*(1+Assumptions!$C$17)</f>
        <v>-340719.7327842</v>
      </c>
      <c r="G39" s="18" t="n">
        <f aca="false">F39*(1+Assumptions!$C$17)</f>
        <v>-374791.70606262</v>
      </c>
      <c r="H39" s="18" t="n">
        <f aca="false">G39*(1+Assumptions!$C$17)</f>
        <v>-412270.876668882</v>
      </c>
      <c r="I39" s="18" t="n">
        <f aca="false">H39*(1+Assumptions!$C$17)</f>
        <v>-453497.96433577</v>
      </c>
      <c r="J39" s="18" t="n">
        <f aca="false">I39*(1+Assumptions!$C$17)</f>
        <v>-498847.760769348</v>
      </c>
      <c r="K39" s="18" t="n">
        <f aca="false">J39*(1+Assumptions!$C$17)</f>
        <v>-548732.536846282</v>
      </c>
    </row>
    <row r="40" customFormat="false" ht="15" hidden="false" customHeight="false" outlineLevel="0" collapsed="false">
      <c r="A40" s="0" t="s">
        <v>89</v>
      </c>
      <c r="B40" s="18" t="n">
        <f aca="false">-B30*Assumptions!$C$73</f>
        <v>-67860.291387</v>
      </c>
      <c r="C40" s="18" t="n">
        <f aca="false">-C30*Assumptions!$C$73</f>
        <v>-69181.78439781</v>
      </c>
      <c r="D40" s="18" t="n">
        <f aca="false">-D30*Assumptions!$C$73</f>
        <v>-70732.2848297756</v>
      </c>
      <c r="E40" s="18" t="n">
        <f aca="false">-E30*Assumptions!$C$73</f>
        <v>-72535.9213787466</v>
      </c>
      <c r="F40" s="18" t="n">
        <f aca="false">-F30*Assumptions!$C$73</f>
        <v>-74483.6002935047</v>
      </c>
      <c r="G40" s="18" t="n">
        <f aca="false">-G30*Assumptions!$C$73</f>
        <v>-76554.9949149262</v>
      </c>
      <c r="H40" s="18" t="n">
        <f aca="false">-H30*Assumptions!$C$73</f>
        <v>-78735.9498950547</v>
      </c>
      <c r="I40" s="18" t="n">
        <f aca="false">-I30*Assumptions!$C$73</f>
        <v>-81016.8016334823</v>
      </c>
      <c r="J40" s="18" t="n">
        <f aca="false">-J30*Assumptions!$C$73</f>
        <v>-83391.1611237252</v>
      </c>
      <c r="K40" s="18" t="n">
        <f aca="false">-K30*Assumptions!$C$73</f>
        <v>-85855.032062869</v>
      </c>
    </row>
    <row r="41" customFormat="false" ht="15" hidden="false" customHeight="false" outlineLevel="0" collapsed="false">
      <c r="A41" s="0" t="s">
        <v>90</v>
      </c>
      <c r="B41" s="18" t="n">
        <f aca="false">-Assumptions!$C$6*Assumptions!$C$74*(1+Assumptions!$C$62)^(B$4-1)</f>
        <v>-24500</v>
      </c>
      <c r="C41" s="18" t="n">
        <f aca="false">-Assumptions!$C$6*Assumptions!$C$74*(1+Assumptions!$C$62)^(C$4-1)</f>
        <v>-25357.5</v>
      </c>
      <c r="D41" s="18" t="n">
        <f aca="false">-Assumptions!$C$6*Assumptions!$C$74*(1+Assumptions!$C$62)^(D$4-1)</f>
        <v>-26245.0125</v>
      </c>
      <c r="E41" s="18" t="n">
        <f aca="false">-Assumptions!$C$6*Assumptions!$C$74*(1+Assumptions!$C$62)^(E$4-1)</f>
        <v>-27163.5879375</v>
      </c>
      <c r="F41" s="18" t="n">
        <f aca="false">-Assumptions!$C$6*Assumptions!$C$74*(1+Assumptions!$C$62)^(F$4-1)</f>
        <v>-28114.3135153125</v>
      </c>
      <c r="G41" s="18" t="n">
        <f aca="false">-Assumptions!$C$6*Assumptions!$C$74*(1+Assumptions!$C$62)^(G$4-1)</f>
        <v>-29098.3144883484</v>
      </c>
      <c r="H41" s="18" t="n">
        <f aca="false">-Assumptions!$C$6*Assumptions!$C$74*(1+Assumptions!$C$62)^(H$4-1)</f>
        <v>-30116.7554954406</v>
      </c>
      <c r="I41" s="18" t="n">
        <f aca="false">-Assumptions!$C$6*Assumptions!$C$74*(1+Assumptions!$C$62)^(I$4-1)</f>
        <v>-31170.841937781</v>
      </c>
      <c r="J41" s="18" t="n">
        <f aca="false">-Assumptions!$C$6*Assumptions!$C$74*(1+Assumptions!$C$62)^(J$4-1)</f>
        <v>-32261.8214056034</v>
      </c>
      <c r="K41" s="18" t="n">
        <f aca="false">-Assumptions!$C$6*Assumptions!$C$74*(1+Assumptions!$C$62)^(K$4-1)</f>
        <v>-33390.9851547995</v>
      </c>
    </row>
    <row r="42" customFormat="false" ht="15" hidden="false" customHeight="false" outlineLevel="0" collapsed="false">
      <c r="A42" s="0" t="s">
        <v>91</v>
      </c>
      <c r="B42" s="18" t="n">
        <f aca="false">-Assumptions!$C$6*Assumptions!$C$75*(1+Assumptions!$C$62)^(B$4-1)</f>
        <v>-14700</v>
      </c>
      <c r="C42" s="18" t="n">
        <f aca="false">-Assumptions!$C$6*Assumptions!$C$75*(1+Assumptions!$C$62)^(C$4-1)</f>
        <v>-15214.5</v>
      </c>
      <c r="D42" s="18" t="n">
        <f aca="false">-Assumptions!$C$6*Assumptions!$C$75*(1+Assumptions!$C$62)^(D$4-1)</f>
        <v>-15747.0075</v>
      </c>
      <c r="E42" s="18" t="n">
        <f aca="false">-Assumptions!$C$6*Assumptions!$C$75*(1+Assumptions!$C$62)^(E$4-1)</f>
        <v>-16298.1527625</v>
      </c>
      <c r="F42" s="18" t="n">
        <f aca="false">-Assumptions!$C$6*Assumptions!$C$75*(1+Assumptions!$C$62)^(F$4-1)</f>
        <v>-16868.5881091875</v>
      </c>
      <c r="G42" s="18" t="n">
        <f aca="false">-Assumptions!$C$6*Assumptions!$C$75*(1+Assumptions!$C$62)^(G$4-1)</f>
        <v>-17458.9886930091</v>
      </c>
      <c r="H42" s="18" t="n">
        <f aca="false">-Assumptions!$C$6*Assumptions!$C$75*(1+Assumptions!$C$62)^(H$4-1)</f>
        <v>-18070.0532972644</v>
      </c>
      <c r="I42" s="18" t="n">
        <f aca="false">-Assumptions!$C$6*Assumptions!$C$75*(1+Assumptions!$C$62)^(I$4-1)</f>
        <v>-18702.5051626686</v>
      </c>
      <c r="J42" s="18" t="n">
        <f aca="false">-Assumptions!$C$6*Assumptions!$C$75*(1+Assumptions!$C$62)^(J$4-1)</f>
        <v>-19357.092843362</v>
      </c>
      <c r="K42" s="18" t="n">
        <f aca="false">-Assumptions!$C$6*Assumptions!$C$75*(1+Assumptions!$C$62)^(K$4-1)</f>
        <v>-20034.5910928797</v>
      </c>
    </row>
    <row r="43" customFormat="false" ht="15" hidden="false" customHeight="false" outlineLevel="0" collapsed="false">
      <c r="A43" s="16" t="s">
        <v>196</v>
      </c>
      <c r="B43" s="10" t="n">
        <f aca="false">SUM(B33:B42)</f>
        <v>-947376.453387</v>
      </c>
      <c r="C43" s="10" t="n">
        <f aca="false">SUM(C33:C42)</f>
        <v>-1002839.56259781</v>
      </c>
      <c r="D43" s="10" t="n">
        <f aca="false">SUM(D33:D42)</f>
        <v>-1062515.53084978</v>
      </c>
      <c r="E43" s="10" t="n">
        <f aca="false">SUM(E33:E42)</f>
        <v>-1126759.52395075</v>
      </c>
      <c r="F43" s="10" t="n">
        <f aca="false">SUM(F33:F42)</f>
        <v>-1195823.02168695</v>
      </c>
      <c r="G43" s="10" t="n">
        <f aca="false">SUM(G33:G42)</f>
        <v>-1270078.55144244</v>
      </c>
      <c r="H43" s="10" t="n">
        <f aca="false">SUM(H33:H42)</f>
        <v>-1349940.09764222</v>
      </c>
      <c r="I43" s="10" t="n">
        <f aca="false">SUM(I33:I42)</f>
        <v>-1435864.7137917</v>
      </c>
      <c r="J43" s="10" t="n">
        <f aca="false">SUM(J33:J42)</f>
        <v>-1528354.91100368</v>
      </c>
      <c r="K43" s="10" t="n">
        <f aca="false">SUM(K33:K42)</f>
        <v>-1627961.726271</v>
      </c>
    </row>
    <row r="45" customFormat="false" ht="15" hidden="false" customHeight="false" outlineLevel="0" collapsed="false">
      <c r="A45" s="16" t="s">
        <v>197</v>
      </c>
      <c r="B45" s="10" t="n">
        <f aca="false">B30+B43</f>
        <v>991489.014813</v>
      </c>
      <c r="C45" s="10" t="n">
        <f aca="false">C30+C43</f>
        <v>973782.84876819</v>
      </c>
      <c r="D45" s="10" t="n">
        <f aca="false">D30+D43</f>
        <v>958406.8928581</v>
      </c>
      <c r="E45" s="10" t="n">
        <f aca="false">E30+E43</f>
        <v>945695.372584871</v>
      </c>
      <c r="F45" s="10" t="n">
        <f aca="false">F30+F43</f>
        <v>932279.84384175</v>
      </c>
      <c r="G45" s="10" t="n">
        <f aca="false">G30+G43</f>
        <v>917207.017555452</v>
      </c>
      <c r="H45" s="10" t="n">
        <f aca="false">H30+H43</f>
        <v>899658.47078791</v>
      </c>
      <c r="I45" s="10" t="n">
        <f aca="false">I30+I43</f>
        <v>878901.047164936</v>
      </c>
      <c r="J45" s="10" t="n">
        <f aca="false">J30+J43</f>
        <v>854249.692531329</v>
      </c>
      <c r="K45" s="10" t="n">
        <f aca="false">K30+K43</f>
        <v>825039.189810969</v>
      </c>
    </row>
    <row r="46" customFormat="false" ht="15" hidden="false" customHeight="false" outlineLevel="0" collapsed="false">
      <c r="A46" s="0" t="s">
        <v>198</v>
      </c>
      <c r="B46" s="18" t="n">
        <f aca="false">B45-B39</f>
        <v>1224205.176813</v>
      </c>
      <c r="C46" s="18" t="n">
        <f aca="false">C45-C39</f>
        <v>1229770.62696819</v>
      </c>
      <c r="D46" s="18" t="n">
        <f aca="false">D45-D39</f>
        <v>1239993.4488781</v>
      </c>
      <c r="E46" s="18" t="n">
        <f aca="false">E45-E39</f>
        <v>1255440.58420687</v>
      </c>
      <c r="F46" s="18" t="n">
        <f aca="false">F45-F39</f>
        <v>1272999.57662595</v>
      </c>
      <c r="G46" s="18" t="n">
        <f aca="false">G45-G39</f>
        <v>1291998.72361807</v>
      </c>
      <c r="H46" s="18" t="n">
        <f aca="false">H45-H39</f>
        <v>1311929.34745679</v>
      </c>
      <c r="I46" s="18" t="n">
        <f aca="false">I45-I39</f>
        <v>1332399.01150071</v>
      </c>
      <c r="J46" s="18" t="n">
        <f aca="false">J45-J39</f>
        <v>1353097.45330068</v>
      </c>
      <c r="K46" s="18" t="n">
        <f aca="false">K45-K39</f>
        <v>1373771.72665725</v>
      </c>
    </row>
    <row r="48" customFormat="false" ht="15" hidden="false" customHeight="false" outlineLevel="0" collapsed="false">
      <c r="A48" s="3" t="s">
        <v>199</v>
      </c>
      <c r="B48" s="3"/>
      <c r="C48" s="3"/>
      <c r="D48" s="3"/>
      <c r="E48" s="3"/>
      <c r="F48" s="3"/>
      <c r="G48" s="3"/>
      <c r="H48" s="3"/>
      <c r="I48" s="3"/>
      <c r="J48" s="3"/>
      <c r="K48" s="3"/>
    </row>
    <row r="49" customFormat="false" ht="15" hidden="false" customHeight="false" outlineLevel="0" collapsed="false">
      <c r="A49" s="0" t="s">
        <v>200</v>
      </c>
      <c r="B49" s="18" t="n">
        <f aca="false">-Assumptions!$C$6*Assumptions!$C$76*(1+Assumptions!$C$62)^(B$4-1)</f>
        <v>-29400</v>
      </c>
      <c r="C49" s="18" t="n">
        <f aca="false">-Assumptions!$C$6*Assumptions!$C$76*(1+Assumptions!$C$62)^(C$4-1)</f>
        <v>-30429</v>
      </c>
      <c r="D49" s="18" t="n">
        <f aca="false">-Assumptions!$C$6*Assumptions!$C$76*(1+Assumptions!$C$62)^(D$4-1)</f>
        <v>-31494.015</v>
      </c>
      <c r="E49" s="18" t="n">
        <f aca="false">-Assumptions!$C$6*Assumptions!$C$76*(1+Assumptions!$C$62)^(E$4-1)</f>
        <v>-32596.305525</v>
      </c>
      <c r="F49" s="18" t="n">
        <f aca="false">-Assumptions!$C$6*Assumptions!$C$76*(1+Assumptions!$C$62)^(F$4-1)</f>
        <v>-33737.176218375</v>
      </c>
      <c r="G49" s="18" t="n">
        <f aca="false">-Assumptions!$C$6*Assumptions!$C$76*(1+Assumptions!$C$62)^(G$4-1)</f>
        <v>-34917.9773860181</v>
      </c>
      <c r="H49" s="18" t="n">
        <f aca="false">-Assumptions!$C$6*Assumptions!$C$76*(1+Assumptions!$C$62)^(H$4-1)</f>
        <v>-36140.1065945287</v>
      </c>
      <c r="I49" s="18" t="n">
        <f aca="false">-Assumptions!$C$6*Assumptions!$C$76*(1+Assumptions!$C$62)^(I$4-1)</f>
        <v>-37405.0103253372</v>
      </c>
      <c r="J49" s="18" t="n">
        <f aca="false">-Assumptions!$C$6*Assumptions!$C$76*(1+Assumptions!$C$62)^(J$4-1)</f>
        <v>-38714.185686724</v>
      </c>
      <c r="K49" s="18" t="n">
        <f aca="false">-Assumptions!$C$6*Assumptions!$C$76*(1+Assumptions!$C$62)^(K$4-1)</f>
        <v>-40069.1821857594</v>
      </c>
    </row>
    <row r="50" customFormat="false" ht="15" hidden="false" customHeight="false" outlineLevel="0" collapsed="false">
      <c r="A50" s="0" t="s">
        <v>201</v>
      </c>
      <c r="B50" s="18" t="n">
        <f aca="false">-IF(B$4=1,Assumptions!$C$79*Assumptions!$C$80,0)-IF(B$4=Assumptions!$C$81,Assumptions!$C$82+Assumptions!$C$83,0)</f>
        <v>-0</v>
      </c>
      <c r="C50" s="18" t="n">
        <f aca="false">-IF(C$4=1,Assumptions!$C$79*Assumptions!$C$80,0)-IF(C$4=Assumptions!$C$81,Assumptions!$C$82+Assumptions!$C$83,0)</f>
        <v>-160000</v>
      </c>
      <c r="D50" s="18" t="n">
        <f aca="false">-IF(D$4=1,Assumptions!$C$79*Assumptions!$C$80,0)-IF(D$4=Assumptions!$C$81,Assumptions!$C$82+Assumptions!$C$83,0)</f>
        <v>-0</v>
      </c>
      <c r="E50" s="18" t="n">
        <f aca="false">-IF(E$4=1,Assumptions!$C$79*Assumptions!$C$80,0)-IF(E$4=Assumptions!$C$81,Assumptions!$C$82+Assumptions!$C$83,0)</f>
        <v>-0</v>
      </c>
      <c r="F50" s="18" t="n">
        <f aca="false">-IF(F$4=1,Assumptions!$C$79*Assumptions!$C$80,0)-IF(F$4=Assumptions!$C$81,Assumptions!$C$82+Assumptions!$C$83,0)</f>
        <v>-0</v>
      </c>
      <c r="G50" s="18" t="n">
        <f aca="false">-IF(G$4=1,Assumptions!$C$79*Assumptions!$C$80,0)-IF(G$4=Assumptions!$C$81,Assumptions!$C$82+Assumptions!$C$83,0)</f>
        <v>-0</v>
      </c>
      <c r="H50" s="18" t="n">
        <f aca="false">-IF(H$4=1,Assumptions!$C$79*Assumptions!$C$80,0)-IF(H$4=Assumptions!$C$81,Assumptions!$C$82+Assumptions!$C$83,0)</f>
        <v>-0</v>
      </c>
      <c r="I50" s="18" t="n">
        <f aca="false">-IF(I$4=1,Assumptions!$C$79*Assumptions!$C$80,0)-IF(I$4=Assumptions!$C$81,Assumptions!$C$82+Assumptions!$C$83,0)</f>
        <v>-0</v>
      </c>
      <c r="J50" s="18" t="n">
        <f aca="false">-IF(J$4=1,Assumptions!$C$79*Assumptions!$C$80,0)-IF(J$4=Assumptions!$C$81,Assumptions!$C$82+Assumptions!$C$83,0)</f>
        <v>-0</v>
      </c>
      <c r="K50" s="18" t="n">
        <f aca="false">-IF(K$4=1,Assumptions!$C$79*Assumptions!$C$80,0)-IF(K$4=Assumptions!$C$81,Assumptions!$C$82+Assumptions!$C$83,0)</f>
        <v>-0</v>
      </c>
    </row>
    <row r="51" customFormat="false" ht="15" hidden="false" customHeight="false" outlineLevel="0" collapsed="false">
      <c r="A51" s="16" t="s">
        <v>202</v>
      </c>
      <c r="B51" s="10" t="n">
        <f aca="false">B45+B49+B50</f>
        <v>962089.014813</v>
      </c>
      <c r="C51" s="10" t="n">
        <f aca="false">C45+C49+C50</f>
        <v>783353.84876819</v>
      </c>
      <c r="D51" s="10" t="n">
        <f aca="false">D45+D49+D50</f>
        <v>926912.8778581</v>
      </c>
      <c r="E51" s="10" t="n">
        <f aca="false">E45+E49+E50</f>
        <v>913099.067059871</v>
      </c>
      <c r="F51" s="10" t="n">
        <f aca="false">F45+F49+F50</f>
        <v>898542.667623375</v>
      </c>
      <c r="G51" s="10" t="n">
        <f aca="false">G45+G49+G50</f>
        <v>882289.040169433</v>
      </c>
      <c r="H51" s="10" t="n">
        <f aca="false">H45+H49+H50</f>
        <v>863518.364193381</v>
      </c>
      <c r="I51" s="10" t="n">
        <f aca="false">I45+I49+I50</f>
        <v>841496.036839599</v>
      </c>
      <c r="J51" s="10" t="n">
        <f aca="false">J45+J49+J50</f>
        <v>815535.506844605</v>
      </c>
      <c r="K51" s="10" t="n">
        <f aca="false">K45+K49+K50</f>
        <v>784970.00762521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6" min="2" style="0" width="13"/>
  </cols>
  <sheetData>
    <row r="1" customFormat="false" ht="17.35" hidden="false" customHeight="false" outlineLevel="0" collapsed="false">
      <c r="A1" s="1" t="s">
        <v>203</v>
      </c>
    </row>
    <row r="4" customFormat="false" ht="15" hidden="false" customHeight="false" outlineLevel="0" collapsed="false">
      <c r="A4" s="3" t="s">
        <v>204</v>
      </c>
      <c r="B4" s="3"/>
      <c r="C4" s="3"/>
    </row>
    <row r="5" customFormat="false" ht="15" hidden="false" customHeight="false" outlineLevel="0" collapsed="false">
      <c r="A5" s="0" t="s">
        <v>205</v>
      </c>
      <c r="C5" s="18" t="n">
        <f aca="false">'Operating Model'!$B$45</f>
        <v>991489.014813</v>
      </c>
    </row>
    <row r="6" customFormat="false" ht="15" hidden="false" customHeight="false" outlineLevel="0" collapsed="false">
      <c r="A6" s="0" t="s">
        <v>206</v>
      </c>
      <c r="C6" s="18" t="n">
        <f aca="false">Assumptions!$C$7*Assumptions!$C$89</f>
        <v>8970000</v>
      </c>
    </row>
    <row r="7" customFormat="false" ht="15" hidden="false" customHeight="false" outlineLevel="0" collapsed="false">
      <c r="A7" s="0" t="s">
        <v>207</v>
      </c>
      <c r="C7" s="18" t="n">
        <f aca="false">Debt!$C$5/Assumptions!$C$91</f>
        <v>12393612.6851625</v>
      </c>
    </row>
    <row r="8" customFormat="false" ht="15" hidden="false" customHeight="false" outlineLevel="0" collapsed="false">
      <c r="A8" s="0" t="s">
        <v>208</v>
      </c>
      <c r="C8" s="18" t="n">
        <f aca="false">Debt!$C$5/(Assumptions!$C$90*Assumptions!$C$88)</f>
        <v>11171707.2091606</v>
      </c>
    </row>
    <row r="9" customFormat="false" ht="15" hidden="false" customHeight="false" outlineLevel="0" collapsed="false">
      <c r="A9" s="16" t="s">
        <v>209</v>
      </c>
      <c r="C9" s="10" t="n">
        <f aca="false">MIN(C6,C7,C8)</f>
        <v>8970000</v>
      </c>
    </row>
    <row r="10" customFormat="false" ht="15" hidden="false" customHeight="false" outlineLevel="0" collapsed="false">
      <c r="A10" s="0" t="s">
        <v>210</v>
      </c>
      <c r="C10" s="0" t="str">
        <f aca="false">IF(C9=C6,"LTV",IF(C9=C7,"Debt Yield","DSCR"))</f>
        <v>LTV</v>
      </c>
    </row>
    <row r="11" customFormat="false" ht="15" hidden="false" customHeight="false" outlineLevel="0" collapsed="false">
      <c r="A11" s="0" t="s">
        <v>211</v>
      </c>
      <c r="C11" s="19" t="n">
        <f aca="false">Debt!$C$9/Assumptions!$C$7</f>
        <v>0.65</v>
      </c>
    </row>
    <row r="12" customFormat="false" ht="15" hidden="false" customHeight="false" outlineLevel="0" collapsed="false">
      <c r="A12" s="0" t="s">
        <v>212</v>
      </c>
      <c r="C12" s="19" t="n">
        <f aca="false">Debt!$C$5/Debt!$C$9</f>
        <v>0.110533892398328</v>
      </c>
    </row>
    <row r="13" customFormat="false" ht="15" hidden="false" customHeight="false" outlineLevel="0" collapsed="false">
      <c r="A13" s="0" t="s">
        <v>213</v>
      </c>
      <c r="C13" s="20" t="n">
        <f aca="false">Debt!$C$5/(Debt!$C$9*Assumptions!$C$88)</f>
        <v>1.55681538589194</v>
      </c>
    </row>
    <row r="15" customFormat="false" ht="15" hidden="false" customHeight="false" outlineLevel="0" collapsed="false">
      <c r="A15" s="3" t="s">
        <v>214</v>
      </c>
      <c r="B15" s="3"/>
      <c r="C15" s="3"/>
      <c r="D15" s="3"/>
      <c r="E15" s="3"/>
      <c r="F15" s="3"/>
    </row>
    <row r="16" customFormat="false" ht="15" hidden="false" customHeight="false" outlineLevel="0" collapsed="false">
      <c r="A16" s="16" t="s">
        <v>165</v>
      </c>
      <c r="B16" s="16" t="s">
        <v>215</v>
      </c>
      <c r="C16" s="16" t="s">
        <v>216</v>
      </c>
      <c r="D16" s="16" t="s">
        <v>217</v>
      </c>
      <c r="E16" s="16" t="s">
        <v>218</v>
      </c>
      <c r="F16" s="16" t="s">
        <v>219</v>
      </c>
    </row>
    <row r="17" customFormat="false" ht="15" hidden="false" customHeight="false" outlineLevel="0" collapsed="false">
      <c r="A17" s="0" t="s">
        <v>220</v>
      </c>
      <c r="B17" s="18" t="n">
        <f aca="false">-PMT(Assumptions!$C$88,Assumptions!$C$93,Debt!$C$9)</f>
        <v>730135.085654623</v>
      </c>
    </row>
    <row r="18" customFormat="false" ht="15" hidden="false" customHeight="false" outlineLevel="0" collapsed="false">
      <c r="A18" s="17" t="n">
        <v>1</v>
      </c>
      <c r="B18" s="18" t="n">
        <f aca="false">Debt!$C$9</f>
        <v>8970000</v>
      </c>
      <c r="C18" s="18" t="n">
        <f aca="false">B18*Assumptions!$C$88</f>
        <v>636870</v>
      </c>
      <c r="D18" s="18" t="n">
        <f aca="false">IF(A18&lt;=Assumptions!$C$92,0,Debt!$B$17-C18)</f>
        <v>0</v>
      </c>
      <c r="E18" s="18" t="n">
        <f aca="false">C18+D18</f>
        <v>636870</v>
      </c>
      <c r="F18" s="18" t="n">
        <f aca="false">B18-D18</f>
        <v>8970000</v>
      </c>
    </row>
    <row r="19" customFormat="false" ht="15" hidden="false" customHeight="false" outlineLevel="0" collapsed="false">
      <c r="A19" s="17" t="n">
        <v>2</v>
      </c>
      <c r="B19" s="18" t="n">
        <f aca="false">F18</f>
        <v>8970000</v>
      </c>
      <c r="C19" s="18" t="n">
        <f aca="false">B19*Assumptions!$C$88</f>
        <v>636870</v>
      </c>
      <c r="D19" s="18" t="n">
        <f aca="false">IF(A19&lt;=Assumptions!$C$92,0,Debt!$B$17-C19)</f>
        <v>0</v>
      </c>
      <c r="E19" s="18" t="n">
        <f aca="false">C19+D19</f>
        <v>636870</v>
      </c>
      <c r="F19" s="18" t="n">
        <f aca="false">B19-D19</f>
        <v>8970000</v>
      </c>
    </row>
    <row r="20" customFormat="false" ht="15" hidden="false" customHeight="false" outlineLevel="0" collapsed="false">
      <c r="A20" s="17" t="n">
        <v>3</v>
      </c>
      <c r="B20" s="18" t="n">
        <f aca="false">F19</f>
        <v>8970000</v>
      </c>
      <c r="C20" s="18" t="n">
        <f aca="false">B20*Assumptions!$C$88</f>
        <v>636870</v>
      </c>
      <c r="D20" s="18" t="n">
        <f aca="false">IF(A20&lt;=Assumptions!$C$92,0,Debt!$B$17-C20)</f>
        <v>93265.0856546231</v>
      </c>
      <c r="E20" s="18" t="n">
        <f aca="false">C20+D20</f>
        <v>730135.085654623</v>
      </c>
      <c r="F20" s="18" t="n">
        <f aca="false">B20-D20</f>
        <v>8876734.91434538</v>
      </c>
    </row>
    <row r="21" customFormat="false" ht="15" hidden="false" customHeight="false" outlineLevel="0" collapsed="false">
      <c r="A21" s="17" t="n">
        <v>4</v>
      </c>
      <c r="B21" s="18" t="n">
        <f aca="false">F20</f>
        <v>8876734.91434538</v>
      </c>
      <c r="C21" s="18" t="n">
        <f aca="false">B21*Assumptions!$C$88</f>
        <v>630248.178918522</v>
      </c>
      <c r="D21" s="18" t="n">
        <f aca="false">IF(A21&lt;=Assumptions!$C$92,0,Debt!$B$17-C21)</f>
        <v>99886.9067361015</v>
      </c>
      <c r="E21" s="18" t="n">
        <f aca="false">C21+D21</f>
        <v>730135.085654623</v>
      </c>
      <c r="F21" s="18" t="n">
        <f aca="false">B21-D21</f>
        <v>8776848.00760927</v>
      </c>
    </row>
    <row r="22" customFormat="false" ht="15" hidden="false" customHeight="false" outlineLevel="0" collapsed="false">
      <c r="A22" s="17" t="n">
        <v>5</v>
      </c>
      <c r="B22" s="18" t="n">
        <f aca="false">F21</f>
        <v>8776848.00760927</v>
      </c>
      <c r="C22" s="18" t="n">
        <f aca="false">B22*Assumptions!$C$88</f>
        <v>623156.208540259</v>
      </c>
      <c r="D22" s="18" t="n">
        <f aca="false">IF(A22&lt;=Assumptions!$C$92,0,Debt!$B$17-C22)</f>
        <v>106978.877114365</v>
      </c>
      <c r="E22" s="18" t="n">
        <f aca="false">C22+D22</f>
        <v>730135.085654623</v>
      </c>
      <c r="F22" s="18" t="n">
        <f aca="false">B22-D22</f>
        <v>8669869.13049491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3" min="2" style="0" width="15"/>
  </cols>
  <sheetData>
    <row r="1" customFormat="false" ht="17.35" hidden="false" customHeight="false" outlineLevel="0" collapsed="false">
      <c r="A1" s="1" t="s">
        <v>221</v>
      </c>
    </row>
    <row r="4" customFormat="false" ht="15" hidden="false" customHeight="false" outlineLevel="0" collapsed="false">
      <c r="A4" s="3" t="s">
        <v>222</v>
      </c>
      <c r="B4" s="3"/>
    </row>
    <row r="5" customFormat="false" ht="15" hidden="false" customHeight="false" outlineLevel="0" collapsed="false">
      <c r="A5" s="0" t="s">
        <v>223</v>
      </c>
      <c r="B5" s="18" t="n">
        <f aca="false">Assumptions!$C$7</f>
        <v>13800000</v>
      </c>
    </row>
    <row r="6" customFormat="false" ht="15" hidden="false" customHeight="false" outlineLevel="0" collapsed="false">
      <c r="A6" s="0" t="s">
        <v>224</v>
      </c>
      <c r="B6" s="18" t="n">
        <f aca="false">Assumptions!$C$11</f>
        <v>207000</v>
      </c>
    </row>
    <row r="7" customFormat="false" ht="15" hidden="false" customHeight="false" outlineLevel="0" collapsed="false">
      <c r="A7" s="0" t="s">
        <v>225</v>
      </c>
      <c r="B7" s="18" t="n">
        <f aca="false">'Unit Mix'!$D$18</f>
        <v>491040</v>
      </c>
    </row>
    <row r="8" customFormat="false" ht="15" hidden="false" customHeight="false" outlineLevel="0" collapsed="false">
      <c r="A8" s="16" t="s">
        <v>226</v>
      </c>
      <c r="B8" s="10" t="n">
        <f aca="false">SUM(B5:B7)</f>
        <v>14498040</v>
      </c>
    </row>
    <row r="10" customFormat="false" ht="15" hidden="false" customHeight="false" outlineLevel="0" collapsed="false">
      <c r="A10" s="3" t="s">
        <v>227</v>
      </c>
      <c r="B10" s="3"/>
    </row>
    <row r="11" customFormat="false" ht="15" hidden="false" customHeight="false" outlineLevel="0" collapsed="false">
      <c r="A11" s="0" t="s">
        <v>228</v>
      </c>
      <c r="B11" s="18" t="n">
        <f aca="false">Debt!$C$9</f>
        <v>8970000</v>
      </c>
    </row>
    <row r="12" customFormat="false" ht="15" hidden="false" customHeight="false" outlineLevel="0" collapsed="false">
      <c r="A12" s="0" t="s">
        <v>229</v>
      </c>
      <c r="B12" s="18" t="n">
        <f aca="false">Capital!$B$8-B11</f>
        <v>5528040</v>
      </c>
    </row>
    <row r="13" customFormat="false" ht="15" hidden="false" customHeight="false" outlineLevel="0" collapsed="false">
      <c r="A13" s="16" t="s">
        <v>230</v>
      </c>
      <c r="B13" s="10" t="n">
        <f aca="false">SUM(B11:B12)</f>
        <v>14498040</v>
      </c>
    </row>
    <row r="15" customFormat="false" ht="15" hidden="false" customHeight="false" outlineLevel="0" collapsed="false">
      <c r="A15" s="3" t="s">
        <v>231</v>
      </c>
      <c r="B15" s="3"/>
    </row>
    <row r="16" customFormat="false" ht="15" hidden="false" customHeight="false" outlineLevel="0" collapsed="false">
      <c r="A16" s="0" t="s">
        <v>232</v>
      </c>
      <c r="B16" s="18" t="n">
        <f aca="false">Capital!$B$12*(1-Assumptions!$C$118)</f>
        <v>4975236</v>
      </c>
    </row>
    <row r="17" customFormat="false" ht="15" hidden="false" customHeight="false" outlineLevel="0" collapsed="false">
      <c r="A17" s="0" t="s">
        <v>233</v>
      </c>
      <c r="B17" s="18" t="n">
        <f aca="false">Capital!$B$12*Assumptions!$C$118</f>
        <v>552804</v>
      </c>
    </row>
    <row r="19" customFormat="false" ht="15" hidden="false" customHeight="false" outlineLevel="0" collapsed="false">
      <c r="A19" s="0" t="s">
        <v>234</v>
      </c>
      <c r="B19" s="18" t="n">
        <f aca="false">Capital!$B$13-Capital!$B$8</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7" min="2" style="0" width="13"/>
  </cols>
  <sheetData>
    <row r="1" customFormat="false" ht="17.35" hidden="false" customHeight="false" outlineLevel="0" collapsed="false">
      <c r="A1" s="1" t="s">
        <v>235</v>
      </c>
    </row>
    <row r="4" customFormat="false" ht="15" hidden="false" customHeight="false" outlineLevel="0" collapsed="false">
      <c r="A4" s="3" t="s">
        <v>236</v>
      </c>
      <c r="B4" s="3"/>
    </row>
    <row r="5" customFormat="false" ht="15" hidden="false" customHeight="false" outlineLevel="0" collapsed="false">
      <c r="A5" s="2" t="s">
        <v>237</v>
      </c>
    </row>
    <row r="6" customFormat="false" ht="15" hidden="false" customHeight="false" outlineLevel="0" collapsed="false">
      <c r="A6" s="0" t="s">
        <v>238</v>
      </c>
      <c r="B6" s="18" t="n">
        <f aca="false">(SUMPRODUCT('Unit Mix'!$C$6:$C$9,'Unit Mix'!$F$6:$F$9)+SUMPRODUCT('Unit Mix'!$D$6:$D$9,'Unit Mix'!$G$6:$G$9))*12</f>
        <v>1958601</v>
      </c>
    </row>
    <row r="7" customFormat="false" ht="15" hidden="false" customHeight="false" outlineLevel="0" collapsed="false">
      <c r="A7" s="0" t="s">
        <v>185</v>
      </c>
      <c r="B7" s="18" t="n">
        <f aca="false">-Returns!$B$6*Assumptions!$C$41</f>
        <v>-127309.065</v>
      </c>
    </row>
    <row r="8" customFormat="false" ht="15" hidden="false" customHeight="false" outlineLevel="0" collapsed="false">
      <c r="A8" s="0" t="s">
        <v>186</v>
      </c>
      <c r="B8" s="18" t="n">
        <f aca="false">-Returns!$B$6*Assumptions!$C$42</f>
        <v>-19586.01</v>
      </c>
    </row>
    <row r="9" customFormat="false" ht="15" hidden="false" customHeight="false" outlineLevel="0" collapsed="false">
      <c r="A9" s="0" t="s">
        <v>187</v>
      </c>
      <c r="B9" s="18" t="n">
        <f aca="false">-Returns!$B$6*Assumptions!$C$43</f>
        <v>-9793.005</v>
      </c>
    </row>
    <row r="10" customFormat="false" ht="15" hidden="false" customHeight="false" outlineLevel="0" collapsed="false">
      <c r="A10" s="0" t="s">
        <v>188</v>
      </c>
      <c r="B10" s="18" t="n">
        <f aca="false">Assumptions!$C$6*Assumptions!$C$44*12</f>
        <v>41160</v>
      </c>
    </row>
    <row r="11" customFormat="false" ht="15" hidden="false" customHeight="false" outlineLevel="0" collapsed="false">
      <c r="A11" s="16" t="s">
        <v>239</v>
      </c>
      <c r="B11" s="10" t="n">
        <f aca="false">SUM(B6:B10)</f>
        <v>1843072.92</v>
      </c>
    </row>
    <row r="12" customFormat="false" ht="15" hidden="false" customHeight="false" outlineLevel="0" collapsed="false">
      <c r="A12" s="0" t="s">
        <v>240</v>
      </c>
      <c r="B12" s="18" t="n">
        <f aca="false">'Operating Model'!$B$33+'Operating Model'!$B$34+'Operating Model'!$B$35+'Operating Model'!$B$36+'Operating Model'!$B$37+'Operating Model'!$B$38+'Operating Model'!$B$39+'Operating Model'!$B$41+'Operating Model'!$B$42</f>
        <v>-879516.162</v>
      </c>
    </row>
    <row r="13" customFormat="false" ht="15" hidden="false" customHeight="false" outlineLevel="0" collapsed="false">
      <c r="A13" s="0" t="s">
        <v>241</v>
      </c>
      <c r="B13" s="18" t="n">
        <f aca="false">-Returns!$B$11*Assumptions!$C$73</f>
        <v>-64507.5522</v>
      </c>
    </row>
    <row r="14" customFormat="false" ht="15" hidden="false" customHeight="false" outlineLevel="0" collapsed="false">
      <c r="A14" s="16" t="s">
        <v>242</v>
      </c>
      <c r="B14" s="10" t="n">
        <f aca="false">Returns!$B$11+B12+B13</f>
        <v>899049.2058</v>
      </c>
    </row>
    <row r="16" customFormat="false" ht="15" hidden="false" customHeight="false" outlineLevel="0" collapsed="false">
      <c r="A16" s="3" t="s">
        <v>243</v>
      </c>
      <c r="B16" s="3"/>
    </row>
    <row r="17" customFormat="false" ht="15" hidden="false" customHeight="false" outlineLevel="0" collapsed="false">
      <c r="A17" s="2" t="s">
        <v>244</v>
      </c>
    </row>
    <row r="18" customFormat="false" ht="15" hidden="false" customHeight="false" outlineLevel="0" collapsed="false">
      <c r="A18" s="0" t="s">
        <v>245</v>
      </c>
      <c r="B18" s="18" t="n">
        <f aca="false">(SUMPRODUCT('Unit Mix'!$C$6:$C$9,'Unit Mix'!$F$6:$F$9)+'Unit Mix'!$D$6*('Unit Mix'!$G$6+Assumptions!$C$46*Assumptions!$C$45*('Operating Model'!$B$9-'Unit Mix'!$G$6))+'Unit Mix'!$D$7*('Unit Mix'!$G$7+Assumptions!$C$46*Assumptions!$C$45*('Operating Model'!$B$12-'Unit Mix'!$G$7))+'Unit Mix'!$D$8*('Unit Mix'!$G$8+Assumptions!$C$46*Assumptions!$C$45*('Operating Model'!$B$15-'Unit Mix'!$G$8))+'Unit Mix'!$D$9*('Unit Mix'!$G$9+Assumptions!$C$46*Assumptions!$C$45*('Operating Model'!$B$18-'Unit Mix'!$G$9)))*12</f>
        <v>1989973.935</v>
      </c>
    </row>
    <row r="19" customFormat="false" ht="15" hidden="false" customHeight="false" outlineLevel="0" collapsed="false">
      <c r="A19" s="0" t="s">
        <v>246</v>
      </c>
      <c r="B19" s="18" t="n">
        <f aca="false">Returns!$B$18*(1-Assumptions!$C$41-Assumptions!$C$42-Assumptions!$C$43)+Assumptions!$C$6*Assumptions!$C$44*12</f>
        <v>1871936.0202</v>
      </c>
    </row>
    <row r="20" customFormat="false" ht="15" hidden="false" customHeight="false" outlineLevel="0" collapsed="false">
      <c r="A20" s="0" t="s">
        <v>247</v>
      </c>
      <c r="B20" s="18" t="n">
        <f aca="false">Returns!$B$19+B12-Returns!$B$19*Assumptions!$C$73</f>
        <v>926902.097493</v>
      </c>
    </row>
    <row r="22" customFormat="false" ht="15" hidden="false" customHeight="false" outlineLevel="0" collapsed="false">
      <c r="A22" s="0" t="s">
        <v>248</v>
      </c>
      <c r="B22" s="18" t="n">
        <f aca="false">Returns!$B$14</f>
        <v>899049.2058</v>
      </c>
    </row>
    <row r="23" customFormat="false" ht="15" hidden="false" customHeight="false" outlineLevel="0" collapsed="false">
      <c r="A23" s="0" t="s">
        <v>249</v>
      </c>
      <c r="B23" s="18" t="n">
        <f aca="false">Returns!$B$20-Returns!$B$14</f>
        <v>27852.8916930002</v>
      </c>
    </row>
    <row r="24" customFormat="false" ht="15" hidden="false" customHeight="false" outlineLevel="0" collapsed="false">
      <c r="A24" s="0" t="s">
        <v>250</v>
      </c>
      <c r="B24" s="18" t="n">
        <f aca="false">'Operating Model'!$B$45-Returns!$B$20</f>
        <v>64586.9173199999</v>
      </c>
    </row>
    <row r="25" customFormat="false" ht="15" hidden="false" customHeight="false" outlineLevel="0" collapsed="false">
      <c r="A25" s="16" t="s">
        <v>251</v>
      </c>
      <c r="B25" s="10" t="n">
        <f aca="false">B22+B23+B24</f>
        <v>991489.014813</v>
      </c>
    </row>
    <row r="27" customFormat="false" ht="15" hidden="false" customHeight="false" outlineLevel="0" collapsed="false">
      <c r="A27" s="3" t="s">
        <v>252</v>
      </c>
      <c r="B27" s="3"/>
    </row>
    <row r="28" customFormat="false" ht="15" hidden="false" customHeight="false" outlineLevel="0" collapsed="false">
      <c r="A28" s="0" t="s">
        <v>253</v>
      </c>
      <c r="B28" s="19" t="n">
        <f aca="false">Assumptions!$C$8</f>
        <v>0.07</v>
      </c>
    </row>
    <row r="29" customFormat="false" ht="15" hidden="false" customHeight="false" outlineLevel="0" collapsed="false">
      <c r="A29" s="16" t="s">
        <v>254</v>
      </c>
      <c r="B29" s="12" t="n">
        <f aca="false">Returns!$B$14/Assumptions!$C$7</f>
        <v>0.065148493173913</v>
      </c>
    </row>
    <row r="30" customFormat="false" ht="15" hidden="false" customHeight="false" outlineLevel="0" collapsed="false">
      <c r="A30" s="0" t="s">
        <v>255</v>
      </c>
      <c r="B30" s="19" t="n">
        <f aca="false">'Operating Model'!$B$45/Assumptions!$C$7</f>
        <v>0.0718470300589131</v>
      </c>
    </row>
    <row r="32" customFormat="false" ht="15" hidden="false" customHeight="false" outlineLevel="0" collapsed="false">
      <c r="A32" s="3" t="s">
        <v>256</v>
      </c>
      <c r="B32" s="3"/>
    </row>
    <row r="33" customFormat="false" ht="15" hidden="false" customHeight="false" outlineLevel="0" collapsed="false">
      <c r="A33" s="0" t="s">
        <v>257</v>
      </c>
      <c r="B33" s="12" t="n">
        <f aca="false">Returns!$B$29</f>
        <v>0.065148493173913</v>
      </c>
    </row>
    <row r="34" customFormat="false" ht="15" hidden="false" customHeight="false" outlineLevel="0" collapsed="false">
      <c r="A34" s="0" t="s">
        <v>258</v>
      </c>
      <c r="B34" s="19" t="n">
        <f aca="false">Returns!$B$33+Assumptions!$C$107</f>
        <v>0.070148493173913</v>
      </c>
    </row>
    <row r="35" customFormat="false" ht="15" hidden="false" customHeight="false" outlineLevel="0" collapsed="false">
      <c r="A35" s="0" t="s">
        <v>259</v>
      </c>
      <c r="B35" s="19" t="n">
        <f aca="false">Returns!$B$33+Assumptions!$C$108</f>
        <v>0.075148493173913</v>
      </c>
    </row>
    <row r="36" customFormat="false" ht="15" hidden="false" customHeight="false" outlineLevel="0" collapsed="false">
      <c r="A36" s="0" t="s">
        <v>260</v>
      </c>
      <c r="B36" s="19" t="n">
        <f aca="false">Assumptions!$C$14*Assumptions!$C$16</f>
        <v>0.01686349</v>
      </c>
    </row>
    <row r="37" customFormat="false" ht="15" hidden="false" customHeight="false" outlineLevel="0" collapsed="false">
      <c r="A37" s="0" t="s">
        <v>261</v>
      </c>
      <c r="B37" s="18" t="n">
        <f aca="false">'Operating Model'!$G$46</f>
        <v>1291998.72361807</v>
      </c>
    </row>
    <row r="38" customFormat="false" ht="15" hidden="false" customHeight="false" outlineLevel="0" collapsed="false">
      <c r="A38" s="16" t="s">
        <v>262</v>
      </c>
      <c r="B38" s="10" t="n">
        <f aca="false">Returns!$B$37/(Returns!$B$34+Returns!$B$36)</f>
        <v>14848514.842326</v>
      </c>
    </row>
    <row r="39" customFormat="false" ht="15" hidden="false" customHeight="false" outlineLevel="0" collapsed="false">
      <c r="A39" s="0" t="s">
        <v>263</v>
      </c>
      <c r="B39" s="18" t="n">
        <f aca="false">-Returns!$B$38*Assumptions!$C$109</f>
        <v>-296970.296846521</v>
      </c>
    </row>
    <row r="40" customFormat="false" ht="15" hidden="false" customHeight="false" outlineLevel="0" collapsed="false">
      <c r="A40" s="0" t="s">
        <v>264</v>
      </c>
      <c r="B40" s="18" t="n">
        <f aca="false">-Debt!$F$22</f>
        <v>-8669869.13049491</v>
      </c>
    </row>
    <row r="41" customFormat="false" ht="15" hidden="false" customHeight="false" outlineLevel="0" collapsed="false">
      <c r="A41" s="16" t="s">
        <v>265</v>
      </c>
      <c r="B41" s="10" t="n">
        <f aca="false">Returns!$B$38+Returns!$B$39+Returns!$B$40</f>
        <v>5881675.41498461</v>
      </c>
    </row>
    <row r="42" customFormat="false" ht="15" hidden="false" customHeight="false" outlineLevel="0" collapsed="false">
      <c r="A42" s="0" t="s">
        <v>266</v>
      </c>
      <c r="B42" s="18" t="n">
        <f aca="false">Returns!$B$38+Returns!$B$39</f>
        <v>14551544.5454795</v>
      </c>
    </row>
    <row r="44" customFormat="false" ht="15" hidden="false" customHeight="false" outlineLevel="0" collapsed="false">
      <c r="A44" s="3" t="s">
        <v>267</v>
      </c>
      <c r="B44" s="3"/>
      <c r="C44" s="3"/>
      <c r="D44" s="3"/>
      <c r="E44" s="3"/>
      <c r="F44" s="3"/>
      <c r="G44" s="3"/>
    </row>
    <row r="45" customFormat="false" ht="15" hidden="false" customHeight="false" outlineLevel="0" collapsed="false">
      <c r="A45" s="16"/>
      <c r="B45" s="16" t="s">
        <v>268</v>
      </c>
      <c r="C45" s="16" t="s">
        <v>269</v>
      </c>
      <c r="D45" s="16" t="s">
        <v>270</v>
      </c>
      <c r="E45" s="16" t="s">
        <v>271</v>
      </c>
      <c r="F45" s="16" t="s">
        <v>272</v>
      </c>
      <c r="G45" s="16" t="s">
        <v>273</v>
      </c>
    </row>
    <row r="46" customFormat="false" ht="15" hidden="false" customHeight="false" outlineLevel="0" collapsed="false">
      <c r="A46" s="0" t="s">
        <v>274</v>
      </c>
      <c r="C46" s="18" t="n">
        <f aca="false">'Operating Model'!$B$51</f>
        <v>962089.014813</v>
      </c>
      <c r="D46" s="18" t="n">
        <f aca="false">'Operating Model'!$C$51</f>
        <v>783353.84876819</v>
      </c>
      <c r="E46" s="18" t="n">
        <f aca="false">'Operating Model'!$D$51</f>
        <v>926912.8778581</v>
      </c>
      <c r="F46" s="18" t="n">
        <f aca="false">'Operating Model'!$E$51</f>
        <v>913099.067059871</v>
      </c>
      <c r="G46" s="18" t="n">
        <f aca="false">'Operating Model'!$F$51</f>
        <v>898542.667623375</v>
      </c>
    </row>
    <row r="47" customFormat="false" ht="15" hidden="false" customHeight="false" outlineLevel="0" collapsed="false">
      <c r="A47" s="0" t="s">
        <v>275</v>
      </c>
      <c r="C47" s="18" t="n">
        <v>0</v>
      </c>
      <c r="D47" s="18" t="n">
        <v>0</v>
      </c>
      <c r="E47" s="18" t="n">
        <v>0</v>
      </c>
      <c r="F47" s="18" t="n">
        <v>0</v>
      </c>
      <c r="G47" s="18" t="n">
        <f aca="false">Returns!$B$42</f>
        <v>14551544.5454795</v>
      </c>
    </row>
    <row r="48" customFormat="false" ht="15" hidden="false" customHeight="false" outlineLevel="0" collapsed="false">
      <c r="A48" s="16" t="s">
        <v>276</v>
      </c>
      <c r="B48" s="10" t="n">
        <f aca="false">-B56</f>
        <v>-14498040</v>
      </c>
      <c r="C48" s="10" t="n">
        <f aca="false">C46+C47</f>
        <v>962089.014813</v>
      </c>
      <c r="D48" s="10" t="n">
        <f aca="false">D46+D47</f>
        <v>783353.84876819</v>
      </c>
      <c r="E48" s="10" t="n">
        <f aca="false">E46+E47</f>
        <v>926912.8778581</v>
      </c>
      <c r="F48" s="10" t="n">
        <f aca="false">F46+F47</f>
        <v>913099.067059871</v>
      </c>
      <c r="G48" s="10" t="n">
        <f aca="false">G46+G47</f>
        <v>15450087.2131029</v>
      </c>
    </row>
    <row r="49" customFormat="false" ht="15" hidden="false" customHeight="false" outlineLevel="0" collapsed="false">
      <c r="A49" s="0" t="s">
        <v>277</v>
      </c>
      <c r="C49" s="18" t="n">
        <f aca="false">-Debt!$E$18</f>
        <v>-636870</v>
      </c>
      <c r="D49" s="18" t="n">
        <f aca="false">-Debt!$E$19</f>
        <v>-636870</v>
      </c>
      <c r="E49" s="18" t="n">
        <f aca="false">-Debt!$E$20</f>
        <v>-730135.085654623</v>
      </c>
      <c r="F49" s="18" t="n">
        <f aca="false">-Debt!$E$21</f>
        <v>-730135.085654623</v>
      </c>
      <c r="G49" s="18" t="n">
        <f aca="false">-Debt!$E$22</f>
        <v>-730135.085654623</v>
      </c>
    </row>
    <row r="50" customFormat="false" ht="15" hidden="false" customHeight="false" outlineLevel="0" collapsed="false">
      <c r="A50" s="0" t="s">
        <v>278</v>
      </c>
      <c r="C50" s="18" t="n">
        <f aca="false">C46+C49</f>
        <v>325219.014813</v>
      </c>
      <c r="D50" s="18" t="n">
        <f aca="false">D46+D49</f>
        <v>146483.84876819</v>
      </c>
      <c r="E50" s="18" t="n">
        <f aca="false">E46+E49</f>
        <v>196777.792203476</v>
      </c>
      <c r="F50" s="18" t="n">
        <f aca="false">F46+F49</f>
        <v>182963.981405248</v>
      </c>
      <c r="G50" s="18" t="n">
        <f aca="false">G46+G49</f>
        <v>168407.581968751</v>
      </c>
    </row>
    <row r="51" customFormat="false" ht="15" hidden="false" customHeight="false" outlineLevel="0" collapsed="false">
      <c r="A51" s="0" t="s">
        <v>279</v>
      </c>
      <c r="C51" s="18" t="n">
        <v>0</v>
      </c>
      <c r="D51" s="18" t="n">
        <v>0</v>
      </c>
      <c r="E51" s="18" t="n">
        <v>0</v>
      </c>
      <c r="F51" s="18" t="n">
        <v>0</v>
      </c>
      <c r="G51" s="18" t="n">
        <f aca="false">Returns!$B$41</f>
        <v>5881675.41498461</v>
      </c>
    </row>
    <row r="52" customFormat="false" ht="15" hidden="false" customHeight="false" outlineLevel="0" collapsed="false">
      <c r="A52" s="16" t="s">
        <v>280</v>
      </c>
      <c r="B52" s="10" t="n">
        <f aca="false">-B55</f>
        <v>-5528040</v>
      </c>
      <c r="C52" s="10" t="n">
        <f aca="false">C50+C51</f>
        <v>325219.014813</v>
      </c>
      <c r="D52" s="10" t="n">
        <f aca="false">D50+D51</f>
        <v>146483.84876819</v>
      </c>
      <c r="E52" s="10" t="n">
        <f aca="false">E50+E51</f>
        <v>196777.792203476</v>
      </c>
      <c r="F52" s="10" t="n">
        <f aca="false">F50+F51</f>
        <v>182963.981405248</v>
      </c>
      <c r="G52" s="10" t="n">
        <f aca="false">G50+G51</f>
        <v>6050082.99695336</v>
      </c>
    </row>
    <row r="54" customFormat="false" ht="15" hidden="false" customHeight="false" outlineLevel="0" collapsed="false">
      <c r="A54" s="3" t="s">
        <v>281</v>
      </c>
      <c r="B54" s="3"/>
    </row>
    <row r="55" customFormat="false" ht="15" hidden="false" customHeight="false" outlineLevel="0" collapsed="false">
      <c r="A55" s="0" t="s">
        <v>282</v>
      </c>
      <c r="B55" s="18" t="n">
        <f aca="false">Capital!$B$12</f>
        <v>5528040</v>
      </c>
    </row>
    <row r="56" customFormat="false" ht="15" hidden="false" customHeight="false" outlineLevel="0" collapsed="false">
      <c r="A56" s="0" t="s">
        <v>283</v>
      </c>
      <c r="B56" s="18" t="n">
        <f aca="false">Capital!$B$8</f>
        <v>14498040</v>
      </c>
    </row>
    <row r="57" customFormat="false" ht="15" hidden="false" customHeight="false" outlineLevel="0" collapsed="false">
      <c r="A57" s="0" t="s">
        <v>284</v>
      </c>
      <c r="B57" s="19" t="n">
        <f aca="false">IFERROR(IRR(B48:G48),"N/A - no sign change / undefined")</f>
        <v>0.062510315771555</v>
      </c>
    </row>
    <row r="58" customFormat="false" ht="15" hidden="false" customHeight="false" outlineLevel="0" collapsed="false">
      <c r="A58" s="0" t="s">
        <v>285</v>
      </c>
      <c r="B58" s="19" t="n">
        <f aca="false">IFERROR(IRR(B52:G52),"N/A - no sign change / undefined")</f>
        <v>0.0489881947168431</v>
      </c>
    </row>
    <row r="59" customFormat="false" ht="15" hidden="false" customHeight="false" outlineLevel="0" collapsed="false">
      <c r="A59" s="0" t="s">
        <v>286</v>
      </c>
      <c r="B59" s="20" t="n">
        <f aca="false">SUM(C48:G48)/B56</f>
        <v>1.31297347928424</v>
      </c>
    </row>
    <row r="60" customFormat="false" ht="15" hidden="false" customHeight="false" outlineLevel="0" collapsed="false">
      <c r="A60" s="0" t="s">
        <v>287</v>
      </c>
      <c r="B60" s="20" t="n">
        <f aca="false">SUM(C52:G52)/B55</f>
        <v>1.24845833860523</v>
      </c>
    </row>
    <row r="61" customFormat="false" ht="15" hidden="false" customHeight="false" outlineLevel="0" collapsed="false">
      <c r="A61" s="0" t="s">
        <v>288</v>
      </c>
      <c r="B61" s="18" t="n">
        <f aca="false">B55</f>
        <v>5528040</v>
      </c>
    </row>
    <row r="63" customFormat="false" ht="15" hidden="false" customHeight="false" outlineLevel="0" collapsed="false">
      <c r="A63" s="3" t="s">
        <v>289</v>
      </c>
      <c r="B63" s="3"/>
      <c r="C63" s="3"/>
      <c r="D63" s="3"/>
      <c r="E63" s="3"/>
      <c r="F63" s="3"/>
    </row>
    <row r="64" customFormat="false" ht="15" hidden="false" customHeight="false" outlineLevel="0" collapsed="false">
      <c r="C64" s="19" t="n">
        <f aca="false">C50/B55</f>
        <v>0.0588307998518462</v>
      </c>
      <c r="D64" s="19" t="n">
        <f aca="false">D50/B55</f>
        <v>0.0264983337255501</v>
      </c>
      <c r="E64" s="19" t="n">
        <f aca="false">E50/B55</f>
        <v>0.035596303970933</v>
      </c>
      <c r="F64" s="19" t="n">
        <f aca="false">F50/B55</f>
        <v>0.0330974416620082</v>
      </c>
      <c r="G64" s="19" t="n">
        <f aca="false">G50/B55</f>
        <v>0.0304642480822771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6"/>
    <col collapsed="false" customWidth="true" hidden="false" outlineLevel="0" max="6" min="2" style="0" width="14"/>
  </cols>
  <sheetData>
    <row r="1" customFormat="false" ht="17.35" hidden="false" customHeight="false" outlineLevel="0" collapsed="false">
      <c r="A1" s="1" t="s">
        <v>290</v>
      </c>
    </row>
    <row r="3" customFormat="false" ht="15" hidden="false" customHeight="false" outlineLevel="0" collapsed="false">
      <c r="A3" s="2" t="s">
        <v>291</v>
      </c>
    </row>
    <row r="5" customFormat="false" ht="15" hidden="false" customHeight="false" outlineLevel="0" collapsed="false">
      <c r="A5" s="16"/>
      <c r="B5" s="16" t="s">
        <v>269</v>
      </c>
      <c r="C5" s="16" t="s">
        <v>270</v>
      </c>
      <c r="D5" s="16" t="s">
        <v>271</v>
      </c>
      <c r="E5" s="16" t="s">
        <v>272</v>
      </c>
      <c r="F5" s="16" t="s">
        <v>273</v>
      </c>
    </row>
    <row r="6" customFormat="false" ht="15" hidden="false" customHeight="false" outlineLevel="0" collapsed="false">
      <c r="A6" s="3" t="s">
        <v>292</v>
      </c>
      <c r="B6" s="3"/>
      <c r="C6" s="3"/>
      <c r="D6" s="3"/>
      <c r="E6" s="3"/>
      <c r="F6" s="3"/>
    </row>
    <row r="7" customFormat="false" ht="15" hidden="false" customHeight="false" outlineLevel="0" collapsed="false">
      <c r="A7" s="0" t="s">
        <v>293</v>
      </c>
      <c r="B7" s="18" t="n">
        <f aca="false">Assumptions!$C$96</f>
        <v>5887000</v>
      </c>
      <c r="C7" s="18" t="n">
        <f aca="false">IF('Operating Model'!$C$4&lt;=Assumptions!$C$98,IF('Operating Model'!$B$4&lt;=Assumptions!$C$98,B10,Assumptions!$C$96),0)</f>
        <v>5887000</v>
      </c>
      <c r="D7" s="18" t="n">
        <f aca="false">IF('Operating Model'!$D$4&lt;=Assumptions!$C$98,IF('Operating Model'!$C$4&lt;=Assumptions!$C$98,C10,Assumptions!$C$96),0)</f>
        <v>5887000</v>
      </c>
      <c r="E7" s="18" t="n">
        <f aca="false">IF('Operating Model'!$E$4&lt;=Assumptions!$C$98,IF('Operating Model'!$D$4&lt;=Assumptions!$C$98,D10,Assumptions!$C$96),0)</f>
        <v>0</v>
      </c>
      <c r="F7" s="18" t="n">
        <f aca="false">IF('Operating Model'!$F$4&lt;=Assumptions!$C$98,IF('Operating Model'!$E$4&lt;=Assumptions!$C$98,E10,Assumptions!$C$96),0)</f>
        <v>0</v>
      </c>
    </row>
    <row r="8" customFormat="false" ht="15" hidden="false" customHeight="false" outlineLevel="0" collapsed="false">
      <c r="A8" s="0" t="s">
        <v>216</v>
      </c>
      <c r="B8" s="18" t="n">
        <f aca="false">IF('Operating Model'!$B$4&lt;=Assumptions!$C$98,B7*Assumptions!$C$97,0)</f>
        <v>176610</v>
      </c>
      <c r="C8" s="18" t="n">
        <f aca="false">IF('Operating Model'!$C$4&lt;=Assumptions!$C$98,C7*Assumptions!$C$97,0)</f>
        <v>176610</v>
      </c>
      <c r="D8" s="18" t="n">
        <f aca="false">IF('Operating Model'!$D$4&lt;=Assumptions!$C$98,D7*Assumptions!$C$97,0)</f>
        <v>176610</v>
      </c>
      <c r="E8" s="18" t="n">
        <f aca="false">IF('Operating Model'!$E$4&lt;=Assumptions!$C$98,E7*Assumptions!$C$97,0)</f>
        <v>0</v>
      </c>
      <c r="F8" s="18" t="n">
        <f aca="false">IF('Operating Model'!$F$4&lt;=Assumptions!$C$98,F7*Assumptions!$C$97,0)</f>
        <v>0</v>
      </c>
    </row>
    <row r="9" customFormat="false" ht="15" hidden="false" customHeight="false" outlineLevel="0" collapsed="false">
      <c r="A9" s="0" t="s">
        <v>294</v>
      </c>
      <c r="B9" s="18" t="n">
        <f aca="false">IF('Operating Model'!$B$4&lt;=Assumptions!$C$98,IF(Assumptions!$C$102=1,0,(-PMT(Assumptions!$C$97,Assumptions!$C$93,Assumptions!$C$96)-B8)),0)</f>
        <v>0</v>
      </c>
      <c r="C9" s="18" t="n">
        <f aca="false">IF('Operating Model'!$C$4&lt;=Assumptions!$C$98,IF(Assumptions!$C$102=1,0,(-PMT(Assumptions!$C$97,Assumptions!$C$93,Assumptions!$C$96)-C8)),0)</f>
        <v>0</v>
      </c>
      <c r="D9" s="18" t="n">
        <f aca="false">IF('Operating Model'!$D$4&lt;=Assumptions!$C$98,IF(Assumptions!$C$102=1,0,(-PMT(Assumptions!$C$97,Assumptions!$C$93,Assumptions!$C$96)-D8)),0)</f>
        <v>0</v>
      </c>
      <c r="E9" s="18" t="n">
        <f aca="false">IF('Operating Model'!$E$4&lt;=Assumptions!$C$98,IF(Assumptions!$C$102=1,0,(-PMT(Assumptions!$C$97,Assumptions!$C$93,Assumptions!$C$96)-E8)),0)</f>
        <v>0</v>
      </c>
      <c r="F9" s="18" t="n">
        <f aca="false">IF('Operating Model'!$F$4&lt;=Assumptions!$C$98,IF(Assumptions!$C$102=1,0,(-PMT(Assumptions!$C$97,Assumptions!$C$93,Assumptions!$C$96)-F8)),0)</f>
        <v>0</v>
      </c>
    </row>
    <row r="10" customFormat="false" ht="15" hidden="false" customHeight="false" outlineLevel="0" collapsed="false">
      <c r="A10" s="0" t="s">
        <v>295</v>
      </c>
      <c r="B10" s="18" t="n">
        <f aca="false">IF('Operating Model'!$B$4&lt;=Assumptions!$C$98,B7-B9,0)</f>
        <v>5887000</v>
      </c>
      <c r="C10" s="18" t="n">
        <f aca="false">IF('Operating Model'!$C$4&lt;=Assumptions!$C$98,C7-C9,0)</f>
        <v>5887000</v>
      </c>
      <c r="D10" s="18" t="n">
        <f aca="false">IF('Operating Model'!$D$4&lt;=Assumptions!$C$98,D7-D9,0)</f>
        <v>5887000</v>
      </c>
      <c r="E10" s="18" t="n">
        <f aca="false">IF('Operating Model'!$E$4&lt;=Assumptions!$C$98,E7-E9,0)</f>
        <v>0</v>
      </c>
      <c r="F10" s="18" t="n">
        <f aca="false">IF('Operating Model'!$F$4&lt;=Assumptions!$C$98,F7-F9,0)</f>
        <v>0</v>
      </c>
    </row>
    <row r="12" customFormat="false" ht="15" hidden="false" customHeight="false" outlineLevel="0" collapsed="false">
      <c r="A12" s="3" t="s">
        <v>296</v>
      </c>
      <c r="B12" s="3"/>
      <c r="C12" s="3"/>
      <c r="D12" s="3"/>
      <c r="E12" s="3"/>
      <c r="F12" s="3"/>
    </row>
    <row r="13" customFormat="false" ht="15" hidden="false" customHeight="false" outlineLevel="0" collapsed="false">
      <c r="A13" s="0" t="s">
        <v>293</v>
      </c>
      <c r="B13" s="18" t="n">
        <f aca="false">Assumptions!$C$99</f>
        <v>3563000</v>
      </c>
      <c r="C13" s="18" t="n">
        <f aca="false">IF('Operating Model'!$C$4&lt;=Assumptions!$C$98,IF('Operating Model'!$B$4&lt;=Assumptions!$C$98,B16,Assumptions!$C$99),0)</f>
        <v>3563000</v>
      </c>
      <c r="D13" s="18" t="n">
        <f aca="false">IF('Operating Model'!$D$4&lt;=Assumptions!$C$98,IF('Operating Model'!$C$4&lt;=Assumptions!$C$98,C16,Assumptions!$C$99),0)</f>
        <v>3563000</v>
      </c>
      <c r="E13" s="18" t="n">
        <f aca="false">IF('Operating Model'!$E$4&lt;=Assumptions!$C$98,IF('Operating Model'!$D$4&lt;=Assumptions!$C$98,D16,Assumptions!$C$99),0)</f>
        <v>0</v>
      </c>
      <c r="F13" s="18" t="n">
        <f aca="false">IF('Operating Model'!$F$4&lt;=Assumptions!$C$98,IF('Operating Model'!$E$4&lt;=Assumptions!$C$98,E16,Assumptions!$C$99),0)</f>
        <v>0</v>
      </c>
    </row>
    <row r="14" customFormat="false" ht="15" hidden="false" customHeight="false" outlineLevel="0" collapsed="false">
      <c r="A14" s="0" t="s">
        <v>216</v>
      </c>
      <c r="B14" s="18" t="n">
        <f aca="false">IF('Operating Model'!$B$4&lt;=Assumptions!$C$98,B13*Assumptions!$C$100,0)</f>
        <v>220906</v>
      </c>
      <c r="C14" s="18" t="n">
        <f aca="false">IF('Operating Model'!$C$4&lt;=Assumptions!$C$98,C13*Assumptions!$C$100,0)</f>
        <v>220906</v>
      </c>
      <c r="D14" s="18" t="n">
        <f aca="false">IF('Operating Model'!$D$4&lt;=Assumptions!$C$98,D13*Assumptions!$C$100,0)</f>
        <v>220906</v>
      </c>
      <c r="E14" s="18" t="n">
        <f aca="false">IF('Operating Model'!$E$4&lt;=Assumptions!$C$98,E13*Assumptions!$C$100,0)</f>
        <v>0</v>
      </c>
      <c r="F14" s="18" t="n">
        <f aca="false">IF('Operating Model'!$F$4&lt;=Assumptions!$C$98,F13*Assumptions!$C$100,0)</f>
        <v>0</v>
      </c>
    </row>
    <row r="15" customFormat="false" ht="15" hidden="false" customHeight="false" outlineLevel="0" collapsed="false">
      <c r="A15" s="0" t="s">
        <v>294</v>
      </c>
      <c r="B15" s="18" t="n">
        <f aca="false">IF('Operating Model'!$B$4&lt;=Assumptions!$C$98,IF(Assumptions!$C$102=1,0,(-PMT(Assumptions!$C$100,Assumptions!$C$93,Assumptions!$C$99)-B14)),0)</f>
        <v>0</v>
      </c>
      <c r="C15" s="18" t="n">
        <f aca="false">IF('Operating Model'!$C$4&lt;=Assumptions!$C$98,IF(Assumptions!$C$102=1,0,(-PMT(Assumptions!$C$100,Assumptions!$C$93,Assumptions!$C$99)-C14)),0)</f>
        <v>0</v>
      </c>
      <c r="D15" s="18" t="n">
        <f aca="false">IF('Operating Model'!$D$4&lt;=Assumptions!$C$98,IF(Assumptions!$C$102=1,0,(-PMT(Assumptions!$C$100,Assumptions!$C$93,Assumptions!$C$99)-D14)),0)</f>
        <v>0</v>
      </c>
      <c r="E15" s="18" t="n">
        <f aca="false">IF('Operating Model'!$E$4&lt;=Assumptions!$C$98,IF(Assumptions!$C$102=1,0,(-PMT(Assumptions!$C$100,Assumptions!$C$93,Assumptions!$C$99)-E14)),0)</f>
        <v>0</v>
      </c>
      <c r="F15" s="18" t="n">
        <f aca="false">IF('Operating Model'!$F$4&lt;=Assumptions!$C$98,IF(Assumptions!$C$102=1,0,(-PMT(Assumptions!$C$100,Assumptions!$C$93,Assumptions!$C$99)-F14)),0)</f>
        <v>0</v>
      </c>
    </row>
    <row r="16" customFormat="false" ht="15" hidden="false" customHeight="false" outlineLevel="0" collapsed="false">
      <c r="A16" s="0" t="s">
        <v>295</v>
      </c>
      <c r="B16" s="18" t="n">
        <f aca="false">IF('Operating Model'!$B$4&lt;=Assumptions!$C$98,B13-B15,0)</f>
        <v>3563000</v>
      </c>
      <c r="C16" s="18" t="n">
        <f aca="false">IF('Operating Model'!$C$4&lt;=Assumptions!$C$98,C13-C15,0)</f>
        <v>3563000</v>
      </c>
      <c r="D16" s="18" t="n">
        <f aca="false">IF('Operating Model'!$D$4&lt;=Assumptions!$C$98,D13-D15,0)</f>
        <v>3563000</v>
      </c>
      <c r="E16" s="18" t="n">
        <f aca="false">IF('Operating Model'!$E$4&lt;=Assumptions!$C$98,E13-E15,0)</f>
        <v>0</v>
      </c>
      <c r="F16" s="18" t="n">
        <f aca="false">IF('Operating Model'!$F$4&lt;=Assumptions!$C$98,F13-F15,0)</f>
        <v>0</v>
      </c>
    </row>
    <row r="18" customFormat="false" ht="15" hidden="false" customHeight="false" outlineLevel="0" collapsed="false">
      <c r="A18" s="3" t="s">
        <v>297</v>
      </c>
      <c r="B18" s="3"/>
      <c r="C18" s="3"/>
      <c r="D18" s="3"/>
      <c r="E18" s="3"/>
      <c r="F18" s="3"/>
    </row>
    <row r="19" customFormat="false" ht="15" hidden="false" customHeight="false" outlineLevel="0" collapsed="false">
      <c r="A19" s="0" t="s">
        <v>298</v>
      </c>
      <c r="B19" s="18" t="n">
        <f aca="false">INDEX(B10:F10,Assumptions!$C$98)+INDEX(B16:F16,Assumptions!$C$98)</f>
        <v>9450000</v>
      </c>
    </row>
    <row r="20" customFormat="false" ht="15" hidden="false" customHeight="false" outlineLevel="0" collapsed="false">
      <c r="A20" s="0" t="s">
        <v>299</v>
      </c>
      <c r="B20" s="18" t="n">
        <f aca="false">INDEX('Operating Model'!$B$45:$K$45,Assumptions!$C$98+1)</f>
        <v>945695.372584871</v>
      </c>
    </row>
    <row r="21" customFormat="false" ht="15" hidden="false" customHeight="false" outlineLevel="0" collapsed="false">
      <c r="A21" s="0" t="s">
        <v>300</v>
      </c>
      <c r="B21" s="18" t="n">
        <f aca="false">Assumptions!$C$7*Assumptions!$C$89</f>
        <v>8970000</v>
      </c>
    </row>
    <row r="22" customFormat="false" ht="15" hidden="false" customHeight="false" outlineLevel="0" collapsed="false">
      <c r="A22" s="0" t="s">
        <v>301</v>
      </c>
      <c r="B22" s="18" t="n">
        <f aca="false">'Debt (Assumed)'!$B$20/Assumptions!$C$91</f>
        <v>11821192.1573109</v>
      </c>
    </row>
    <row r="23" customFormat="false" ht="15" hidden="false" customHeight="false" outlineLevel="0" collapsed="false">
      <c r="A23" s="0" t="s">
        <v>302</v>
      </c>
      <c r="B23" s="18" t="n">
        <f aca="false">'Debt (Assumed)'!$B$20/(Assumptions!$C$90*Assumptions!$C$88)</f>
        <v>10655722.5079985</v>
      </c>
    </row>
    <row r="24" customFormat="false" ht="15" hidden="false" customHeight="false" outlineLevel="0" collapsed="false">
      <c r="A24" s="16" t="s">
        <v>303</v>
      </c>
      <c r="B24" s="10" t="n">
        <f aca="false">MIN(B21:B23)</f>
        <v>8970000</v>
      </c>
    </row>
    <row r="25" customFormat="false" ht="15" hidden="false" customHeight="false" outlineLevel="0" collapsed="false">
      <c r="A25" s="0" t="s">
        <v>304</v>
      </c>
      <c r="B25" s="18" t="n">
        <f aca="false">B19-'Debt (Assumed)'!$B$24</f>
        <v>480000</v>
      </c>
    </row>
    <row r="27" customFormat="false" ht="15" hidden="false" customHeight="false" outlineLevel="0" collapsed="false">
      <c r="A27" s="3" t="s">
        <v>305</v>
      </c>
      <c r="B27" s="3"/>
      <c r="C27" s="3"/>
      <c r="D27" s="3"/>
      <c r="E27" s="3"/>
      <c r="F27" s="3"/>
    </row>
    <row r="28" customFormat="false" ht="15" hidden="false" customHeight="false" outlineLevel="0" collapsed="false">
      <c r="A28" s="0" t="s">
        <v>306</v>
      </c>
      <c r="B28" s="18" t="n">
        <f aca="false">-PMT(Assumptions!$C$88,Assumptions!$C$93,'Debt (Assumed)'!$B$24)</f>
        <v>730135.085654623</v>
      </c>
    </row>
    <row r="29" customFormat="false" ht="15" hidden="false" customHeight="false" outlineLevel="0" collapsed="false">
      <c r="A29" s="0" t="s">
        <v>293</v>
      </c>
      <c r="B29" s="18" t="n">
        <f aca="false">IF('Operating Model'!$B$4=Assumptions!$C$98+1,'Debt (Assumed)'!$B$24,IF('Operating Model'!$B$4&gt;Assumptions!$C$98+1,none32,0))</f>
        <v>0</v>
      </c>
      <c r="C29" s="18" t="n">
        <f aca="false">IF('Operating Model'!$C$4=Assumptions!$C$98+1,'Debt (Assumed)'!$B$24,IF('Operating Model'!$C$4&gt;Assumptions!$C$98+1,B32,0))</f>
        <v>0</v>
      </c>
      <c r="D29" s="18" t="n">
        <f aca="false">IF('Operating Model'!$D$4=Assumptions!$C$98+1,'Debt (Assumed)'!$B$24,IF('Operating Model'!$D$4&gt;Assumptions!$C$98+1,C32,0))</f>
        <v>0</v>
      </c>
      <c r="E29" s="18" t="n">
        <f aca="false">IF('Operating Model'!$E$4=Assumptions!$C$98+1,'Debt (Assumed)'!$B$24,IF('Operating Model'!$E$4&gt;Assumptions!$C$98+1,D32,0))</f>
        <v>8970000</v>
      </c>
      <c r="F29" s="18" t="n">
        <f aca="false">IF('Operating Model'!$F$4=Assumptions!$C$98+1,'Debt (Assumed)'!$B$24,IF('Operating Model'!$F$4&gt;Assumptions!$C$98+1,E32,0))</f>
        <v>8970000</v>
      </c>
    </row>
    <row r="30" customFormat="false" ht="15" hidden="false" customHeight="false" outlineLevel="0" collapsed="false">
      <c r="A30" s="0" t="s">
        <v>216</v>
      </c>
      <c r="B30" s="18" t="n">
        <f aca="false">IF('Operating Model'!$B$4&gt;Assumptions!$C$98,B29*Assumptions!$C$88,0)</f>
        <v>0</v>
      </c>
      <c r="C30" s="18" t="n">
        <f aca="false">IF('Operating Model'!$C$4&gt;Assumptions!$C$98,C29*Assumptions!$C$88,0)</f>
        <v>0</v>
      </c>
      <c r="D30" s="18" t="n">
        <f aca="false">IF('Operating Model'!$D$4&gt;Assumptions!$C$98,D29*Assumptions!$C$88,0)</f>
        <v>0</v>
      </c>
      <c r="E30" s="18" t="n">
        <f aca="false">IF('Operating Model'!$E$4&gt;Assumptions!$C$98,E29*Assumptions!$C$88,0)</f>
        <v>636870</v>
      </c>
      <c r="F30" s="18" t="n">
        <f aca="false">IF('Operating Model'!$F$4&gt;Assumptions!$C$98,F29*Assumptions!$C$88,0)</f>
        <v>636870</v>
      </c>
    </row>
    <row r="31" customFormat="false" ht="15" hidden="false" customHeight="false" outlineLevel="0" collapsed="false">
      <c r="A31" s="0" t="s">
        <v>307</v>
      </c>
      <c r="B31" s="18" t="n">
        <f aca="false">IF('Operating Model'!$B$4&gt;Assumptions!$C$98,IF(('Operating Model'!$B$4-Assumptions!$C$98)&lt;=Assumptions!$C$92,0,'Debt (Assumed)'!$B$28-B30),0)</f>
        <v>0</v>
      </c>
      <c r="C31" s="18" t="n">
        <f aca="false">IF('Operating Model'!$C$4&gt;Assumptions!$C$98,IF(('Operating Model'!$C$4-Assumptions!$C$98)&lt;=Assumptions!$C$92,0,'Debt (Assumed)'!$B$28-C30),0)</f>
        <v>0</v>
      </c>
      <c r="D31" s="18" t="n">
        <f aca="false">IF('Operating Model'!$D$4&gt;Assumptions!$C$98,IF(('Operating Model'!$D$4-Assumptions!$C$98)&lt;=Assumptions!$C$92,0,'Debt (Assumed)'!$B$28-D30),0)</f>
        <v>0</v>
      </c>
      <c r="E31" s="18" t="n">
        <f aca="false">IF('Operating Model'!$E$4&gt;Assumptions!$C$98,IF(('Operating Model'!$E$4-Assumptions!$C$98)&lt;=Assumptions!$C$92,0,'Debt (Assumed)'!$B$28-E30),0)</f>
        <v>0</v>
      </c>
      <c r="F31" s="18" t="n">
        <f aca="false">IF('Operating Model'!$F$4&gt;Assumptions!$C$98,IF(('Operating Model'!$F$4-Assumptions!$C$98)&lt;=Assumptions!$C$92,0,'Debt (Assumed)'!$B$28-F30),0)</f>
        <v>0</v>
      </c>
    </row>
    <row r="32" customFormat="false" ht="15" hidden="false" customHeight="false" outlineLevel="0" collapsed="false">
      <c r="A32" s="0" t="s">
        <v>295</v>
      </c>
      <c r="B32" s="18" t="n">
        <f aca="false">IF('Operating Model'!$B$4&gt;Assumptions!$C$98,B29-B31,0)</f>
        <v>0</v>
      </c>
      <c r="C32" s="18" t="n">
        <f aca="false">IF('Operating Model'!$C$4&gt;Assumptions!$C$98,C29-C31,0)</f>
        <v>0</v>
      </c>
      <c r="D32" s="18" t="n">
        <f aca="false">IF('Operating Model'!$D$4&gt;Assumptions!$C$98,D29-D31,0)</f>
        <v>0</v>
      </c>
      <c r="E32" s="18" t="n">
        <f aca="false">IF('Operating Model'!$E$4&gt;Assumptions!$C$98,E29-E31,0)</f>
        <v>8970000</v>
      </c>
      <c r="F32" s="18" t="n">
        <f aca="false">IF('Operating Model'!$F$4&gt;Assumptions!$C$98,F29-F31,0)</f>
        <v>8970000</v>
      </c>
    </row>
    <row r="34" customFormat="false" ht="15" hidden="false" customHeight="false" outlineLevel="0" collapsed="false">
      <c r="A34" s="3" t="s">
        <v>308</v>
      </c>
      <c r="B34" s="3"/>
      <c r="C34" s="3"/>
      <c r="D34" s="3"/>
      <c r="E34" s="3"/>
      <c r="F34" s="3"/>
    </row>
    <row r="35" customFormat="false" ht="15" hidden="false" customHeight="false" outlineLevel="0" collapsed="false">
      <c r="A35" s="0" t="s">
        <v>309</v>
      </c>
      <c r="B35" s="18" t="n">
        <f aca="false">B8+B14+B30</f>
        <v>397516</v>
      </c>
      <c r="C35" s="18" t="n">
        <f aca="false">C8+C14+C30</f>
        <v>397516</v>
      </c>
      <c r="D35" s="18" t="n">
        <f aca="false">D8+D14+D30</f>
        <v>397516</v>
      </c>
      <c r="E35" s="18" t="n">
        <f aca="false">E8+E14+E30</f>
        <v>636870</v>
      </c>
      <c r="F35" s="18" t="n">
        <f aca="false">F8+F14+F30</f>
        <v>636870</v>
      </c>
    </row>
    <row r="36" customFormat="false" ht="15" hidden="false" customHeight="false" outlineLevel="0" collapsed="false">
      <c r="A36" s="0" t="s">
        <v>310</v>
      </c>
      <c r="B36" s="18" t="n">
        <f aca="false">B9+B15+B31</f>
        <v>0</v>
      </c>
      <c r="C36" s="18" t="n">
        <f aca="false">C9+C15+C31</f>
        <v>0</v>
      </c>
      <c r="D36" s="18" t="n">
        <f aca="false">D9+D15+D31</f>
        <v>0</v>
      </c>
      <c r="E36" s="18" t="n">
        <f aca="false">E9+E15+E31</f>
        <v>0</v>
      </c>
      <c r="F36" s="18" t="n">
        <f aca="false">F9+F15+F31</f>
        <v>0</v>
      </c>
    </row>
    <row r="37" customFormat="false" ht="15" hidden="false" customHeight="false" outlineLevel="0" collapsed="false">
      <c r="A37" s="16" t="s">
        <v>311</v>
      </c>
      <c r="B37" s="10" t="n">
        <f aca="false">B35+B36</f>
        <v>397516</v>
      </c>
      <c r="C37" s="10" t="n">
        <f aca="false">C35+C36</f>
        <v>397516</v>
      </c>
      <c r="D37" s="10" t="n">
        <f aca="false">D35+D36</f>
        <v>397516</v>
      </c>
      <c r="E37" s="10" t="n">
        <f aca="false">E35+E36</f>
        <v>636870</v>
      </c>
      <c r="F37" s="10" t="n">
        <f aca="false">F35+F36</f>
        <v>636870</v>
      </c>
    </row>
    <row r="38" customFormat="false" ht="15" hidden="false" customHeight="false" outlineLevel="0" collapsed="false">
      <c r="A38" s="16" t="s">
        <v>312</v>
      </c>
      <c r="B38" s="10" t="n">
        <f aca="false">B10+B16+B32</f>
        <v>9450000</v>
      </c>
      <c r="C38" s="10" t="n">
        <f aca="false">C10+C16+C32</f>
        <v>9450000</v>
      </c>
      <c r="D38" s="10" t="n">
        <f aca="false">D10+D16+D32</f>
        <v>9450000</v>
      </c>
      <c r="E38" s="10" t="n">
        <f aca="false">E10+E16+E32</f>
        <v>8970000</v>
      </c>
      <c r="F38" s="10" t="n">
        <f aca="false">F10+F16+F32</f>
        <v>8970000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7" min="2" style="0" width="13"/>
  </cols>
  <sheetData>
    <row r="1" customFormat="false" ht="17.35" hidden="false" customHeight="false" outlineLevel="0" collapsed="false">
      <c r="A1" s="1" t="s">
        <v>313</v>
      </c>
    </row>
    <row r="3" customFormat="false" ht="15" hidden="false" customHeight="false" outlineLevel="0" collapsed="false">
      <c r="A3" s="2" t="s">
        <v>314</v>
      </c>
    </row>
    <row r="5" customFormat="false" ht="15" hidden="false" customHeight="false" outlineLevel="0" collapsed="false">
      <c r="A5" s="3" t="s">
        <v>315</v>
      </c>
      <c r="B5" s="3"/>
    </row>
    <row r="6" customFormat="false" ht="15" hidden="false" customHeight="false" outlineLevel="0" collapsed="false">
      <c r="A6" s="0" t="s">
        <v>316</v>
      </c>
      <c r="B6" s="18" t="n">
        <f aca="false">(Assumptions!$C$96+Assumptions!$C$99)*Assumptions!$C$103</f>
        <v>47250</v>
      </c>
    </row>
    <row r="7" customFormat="false" ht="15" hidden="false" customHeight="false" outlineLevel="0" collapsed="false">
      <c r="A7" s="0" t="s">
        <v>317</v>
      </c>
      <c r="B7" s="18" t="n">
        <f aca="false">Capital!$B$8+'Returns (Assumed)'!$B$6</f>
        <v>14545290</v>
      </c>
    </row>
    <row r="8" customFormat="false" ht="15" hidden="false" customHeight="false" outlineLevel="0" collapsed="false">
      <c r="A8" s="0" t="s">
        <v>318</v>
      </c>
      <c r="B8" s="18" t="n">
        <f aca="false">Assumptions!$C$96+Assumptions!$C$99</f>
        <v>9450000</v>
      </c>
    </row>
    <row r="9" customFormat="false" ht="15" hidden="false" customHeight="false" outlineLevel="0" collapsed="false">
      <c r="A9" s="16" t="s">
        <v>319</v>
      </c>
      <c r="B9" s="10" t="n">
        <f aca="false">'Returns (Assumed)'!$B$7-'Returns (Assumed)'!$B$8</f>
        <v>5095290</v>
      </c>
    </row>
    <row r="10" customFormat="false" ht="15" hidden="false" customHeight="false" outlineLevel="0" collapsed="false">
      <c r="A10" s="0" t="s">
        <v>320</v>
      </c>
      <c r="B10" s="18" t="n">
        <f aca="false">'Returns (Assumed)'!$B$9*(1-Assumptions!$C$118)</f>
        <v>4585761</v>
      </c>
    </row>
    <row r="11" customFormat="false" ht="15" hidden="false" customHeight="false" outlineLevel="0" collapsed="false">
      <c r="A11" s="0" t="s">
        <v>321</v>
      </c>
      <c r="B11" s="18" t="n">
        <f aca="false">'Returns (Assumed)'!$B$9*Assumptions!$C$118</f>
        <v>509529</v>
      </c>
    </row>
    <row r="12" customFormat="false" ht="15" hidden="false" customHeight="false" outlineLevel="0" collapsed="false">
      <c r="A12" s="0" t="s">
        <v>322</v>
      </c>
      <c r="B12" s="18" t="n">
        <f aca="false">Capital!$B$12</f>
        <v>5528040</v>
      </c>
    </row>
    <row r="14" customFormat="false" ht="15" hidden="false" customHeight="false" outlineLevel="0" collapsed="false">
      <c r="A14" s="3" t="s">
        <v>323</v>
      </c>
      <c r="B14" s="3"/>
    </row>
    <row r="15" customFormat="false" ht="15" hidden="false" customHeight="false" outlineLevel="0" collapsed="false">
      <c r="A15" s="0" t="s">
        <v>324</v>
      </c>
      <c r="B15" s="18" t="n">
        <f aca="false">Returns!$B$38</f>
        <v>14848514.842326</v>
      </c>
    </row>
    <row r="16" customFormat="false" ht="15" hidden="false" customHeight="false" outlineLevel="0" collapsed="false">
      <c r="A16" s="0" t="s">
        <v>263</v>
      </c>
      <c r="B16" s="18" t="n">
        <f aca="false">-B15*Assumptions!$C$109</f>
        <v>-296970.296846521</v>
      </c>
    </row>
    <row r="17" customFormat="false" ht="15" hidden="false" customHeight="false" outlineLevel="0" collapsed="false">
      <c r="A17" s="0" t="s">
        <v>325</v>
      </c>
      <c r="B17" s="18" t="n">
        <f aca="false">-'Debt (Assumed)'!F$38</f>
        <v>-8970000</v>
      </c>
    </row>
    <row r="18" customFormat="false" ht="15" hidden="false" customHeight="false" outlineLevel="0" collapsed="false">
      <c r="A18" s="16" t="s">
        <v>326</v>
      </c>
      <c r="B18" s="10" t="n">
        <f aca="false">B15+B16+B17</f>
        <v>5581544.54547952</v>
      </c>
    </row>
    <row r="20" customFormat="false" ht="15" hidden="false" customHeight="false" outlineLevel="0" collapsed="false">
      <c r="A20" s="3" t="s">
        <v>267</v>
      </c>
      <c r="B20" s="3"/>
      <c r="C20" s="3"/>
      <c r="D20" s="3"/>
      <c r="E20" s="3"/>
      <c r="F20" s="3"/>
      <c r="G20" s="3"/>
    </row>
    <row r="21" customFormat="false" ht="15" hidden="false" customHeight="false" outlineLevel="0" collapsed="false">
      <c r="B21" s="16" t="s">
        <v>268</v>
      </c>
      <c r="C21" s="16" t="s">
        <v>269</v>
      </c>
      <c r="D21" s="16" t="s">
        <v>270</v>
      </c>
      <c r="E21" s="16" t="s">
        <v>271</v>
      </c>
      <c r="F21" s="16" t="s">
        <v>272</v>
      </c>
      <c r="G21" s="16" t="s">
        <v>273</v>
      </c>
    </row>
    <row r="22" customFormat="false" ht="15" hidden="false" customHeight="false" outlineLevel="0" collapsed="false">
      <c r="A22" s="0" t="s">
        <v>327</v>
      </c>
      <c r="C22" s="18" t="n">
        <f aca="false">'Operating Model'!$B$51</f>
        <v>962089.014813</v>
      </c>
      <c r="D22" s="18" t="n">
        <f aca="false">'Operating Model'!$C$51</f>
        <v>783353.84876819</v>
      </c>
      <c r="E22" s="18" t="n">
        <f aca="false">'Operating Model'!$D$51</f>
        <v>926912.8778581</v>
      </c>
      <c r="F22" s="18" t="n">
        <f aca="false">'Operating Model'!$E$51</f>
        <v>913099.067059871</v>
      </c>
      <c r="G22" s="18" t="n">
        <f aca="false">'Operating Model'!$F$51</f>
        <v>898542.667623375</v>
      </c>
    </row>
    <row r="23" customFormat="false" ht="15" hidden="false" customHeight="false" outlineLevel="0" collapsed="false">
      <c r="A23" s="0" t="s">
        <v>328</v>
      </c>
      <c r="C23" s="18" t="n">
        <f aca="false">-'Debt (Assumed)'!B$37</f>
        <v>-397516</v>
      </c>
      <c r="D23" s="18" t="n">
        <f aca="false">-'Debt (Assumed)'!C$37</f>
        <v>-397516</v>
      </c>
      <c r="E23" s="18" t="n">
        <f aca="false">-'Debt (Assumed)'!D$37</f>
        <v>-397516</v>
      </c>
      <c r="F23" s="18" t="n">
        <f aca="false">-'Debt (Assumed)'!E$37</f>
        <v>-636870</v>
      </c>
      <c r="G23" s="18" t="n">
        <f aca="false">-'Debt (Assumed)'!F$37</f>
        <v>-636870</v>
      </c>
    </row>
    <row r="24" customFormat="false" ht="15" hidden="false" customHeight="false" outlineLevel="0" collapsed="false">
      <c r="A24" s="0" t="s">
        <v>329</v>
      </c>
      <c r="C24" s="18" t="n">
        <f aca="false">-IF(1=Assumptions!$C$98,'Debt (Assumed)'!$B$25,0)</f>
        <v>-0</v>
      </c>
      <c r="D24" s="18" t="n">
        <f aca="false">-IF(2=Assumptions!$C$98,'Debt (Assumed)'!$B$25,0)</f>
        <v>-0</v>
      </c>
      <c r="E24" s="18" t="n">
        <f aca="false">-IF(3=Assumptions!$C$98,'Debt (Assumed)'!$B$25,0)</f>
        <v>-480000</v>
      </c>
      <c r="F24" s="18" t="n">
        <f aca="false">-IF(4=Assumptions!$C$98,'Debt (Assumed)'!$B$25,0)</f>
        <v>-0</v>
      </c>
      <c r="G24" s="18" t="n">
        <f aca="false">-IF(5=Assumptions!$C$98,'Debt (Assumed)'!$B$25,0)</f>
        <v>-0</v>
      </c>
    </row>
    <row r="25" customFormat="false" ht="15" hidden="false" customHeight="false" outlineLevel="0" collapsed="false">
      <c r="A25" s="0" t="s">
        <v>330</v>
      </c>
      <c r="C25" s="18" t="n">
        <f aca="false">C22+C23+C24</f>
        <v>564573.014813</v>
      </c>
      <c r="D25" s="18" t="n">
        <f aca="false">D22+D23+D24</f>
        <v>385837.84876819</v>
      </c>
      <c r="E25" s="18" t="n">
        <f aca="false">E22+E23+E24</f>
        <v>49396.8778580996</v>
      </c>
      <c r="F25" s="18" t="n">
        <f aca="false">F22+F23+F24</f>
        <v>276229.067059871</v>
      </c>
      <c r="G25" s="18" t="n">
        <f aca="false">G22+G23+G24</f>
        <v>261672.667623374</v>
      </c>
    </row>
    <row r="26" customFormat="false" ht="15" hidden="false" customHeight="false" outlineLevel="0" collapsed="false">
      <c r="A26" s="0" t="s">
        <v>331</v>
      </c>
      <c r="C26" s="18" t="n">
        <v>0</v>
      </c>
      <c r="D26" s="18" t="n">
        <v>0</v>
      </c>
      <c r="E26" s="18" t="n">
        <v>0</v>
      </c>
      <c r="F26" s="18" t="n">
        <v>0</v>
      </c>
      <c r="G26" s="18" t="n">
        <f aca="false">'Returns (Assumed)'!$B$18</f>
        <v>5581544.54547952</v>
      </c>
    </row>
    <row r="27" customFormat="false" ht="15" hidden="false" customHeight="false" outlineLevel="0" collapsed="false">
      <c r="A27" s="16" t="s">
        <v>332</v>
      </c>
      <c r="B27" s="10" t="n">
        <f aca="false">-'Returns (Assumed)'!$B$9</f>
        <v>-5095290</v>
      </c>
      <c r="C27" s="10" t="n">
        <f aca="false">C25+C26</f>
        <v>564573.014813</v>
      </c>
      <c r="D27" s="10" t="n">
        <f aca="false">D25+D26</f>
        <v>385837.84876819</v>
      </c>
      <c r="E27" s="10" t="n">
        <f aca="false">E25+E26</f>
        <v>49396.8778580996</v>
      </c>
      <c r="F27" s="10" t="n">
        <f aca="false">F25+F26</f>
        <v>276229.067059871</v>
      </c>
      <c r="G27" s="10" t="n">
        <f aca="false">G25+G26</f>
        <v>5843217.2131029</v>
      </c>
    </row>
    <row r="29" customFormat="false" ht="15" hidden="false" customHeight="false" outlineLevel="0" collapsed="false">
      <c r="A29" s="3" t="s">
        <v>333</v>
      </c>
      <c r="B29" s="3"/>
    </row>
    <row r="30" customFormat="false" ht="15" hidden="false" customHeight="false" outlineLevel="0" collapsed="false">
      <c r="A30" s="0" t="s">
        <v>334</v>
      </c>
      <c r="B30" s="19" t="n">
        <f aca="false">IFERROR(IRR(B27:G27),"N/A - no sign change / undefined")</f>
        <v>0.0788889155150792</v>
      </c>
    </row>
    <row r="31" customFormat="false" ht="15" hidden="false" customHeight="false" outlineLevel="0" collapsed="false">
      <c r="A31" s="0" t="s">
        <v>335</v>
      </c>
      <c r="B31" s="20" t="n">
        <f aca="false">SUM(C27:G27)/'Returns (Assumed)'!$B$9</f>
        <v>1.39722253720633</v>
      </c>
    </row>
    <row r="32" customFormat="false" ht="15" hidden="false" customHeight="false" outlineLevel="0" collapsed="false">
      <c r="A32" s="0" t="s">
        <v>336</v>
      </c>
      <c r="B32" s="19" t="n">
        <f aca="false">C25/'Returns (Assumed)'!$B$9</f>
        <v>0.110802920896161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7" min="2" style="0" width="13"/>
  </cols>
  <sheetData>
    <row r="1" customFormat="false" ht="17.35" hidden="false" customHeight="false" outlineLevel="0" collapsed="false">
      <c r="A1" s="1" t="s">
        <v>337</v>
      </c>
    </row>
    <row r="3" customFormat="false" ht="15" hidden="false" customHeight="false" outlineLevel="0" collapsed="false">
      <c r="A3" s="2" t="s">
        <v>338</v>
      </c>
    </row>
    <row r="5" customFormat="false" ht="15" hidden="false" customHeight="false" outlineLevel="0" collapsed="false">
      <c r="B5" s="16" t="s">
        <v>268</v>
      </c>
      <c r="C5" s="16" t="s">
        <v>269</v>
      </c>
      <c r="D5" s="16" t="s">
        <v>270</v>
      </c>
      <c r="E5" s="16" t="s">
        <v>271</v>
      </c>
      <c r="F5" s="16" t="s">
        <v>272</v>
      </c>
      <c r="G5" s="16" t="s">
        <v>273</v>
      </c>
    </row>
    <row r="6" customFormat="false" ht="15" hidden="false" customHeight="false" outlineLevel="0" collapsed="false">
      <c r="A6" s="0" t="s">
        <v>339</v>
      </c>
      <c r="B6" s="18" t="n">
        <v>0</v>
      </c>
      <c r="C6" s="18" t="n">
        <f aca="false">'Returns (Assumed)'!C$27</f>
        <v>564573.014813</v>
      </c>
      <c r="D6" s="18" t="n">
        <f aca="false">'Returns (Assumed)'!D$27</f>
        <v>385837.84876819</v>
      </c>
      <c r="E6" s="18" t="n">
        <f aca="false">'Returns (Assumed)'!E$27</f>
        <v>49396.8778580996</v>
      </c>
      <c r="F6" s="18" t="n">
        <f aca="false">'Returns (Assumed)'!F$27</f>
        <v>276229.067059871</v>
      </c>
      <c r="G6" s="18" t="n">
        <f aca="false">'Returns (Assumed)'!G$27</f>
        <v>5843217.2131029</v>
      </c>
    </row>
    <row r="7" customFormat="false" ht="15" hidden="false" customHeight="false" outlineLevel="0" collapsed="false">
      <c r="A7" s="0" t="s">
        <v>340</v>
      </c>
      <c r="B7" s="18" t="n">
        <f aca="false">-'Returns (Assumed)'!$B$10</f>
        <v>-4585761</v>
      </c>
    </row>
    <row r="8" customFormat="false" ht="15" hidden="false" customHeight="false" outlineLevel="0" collapsed="false">
      <c r="B8" s="18" t="n">
        <f aca="false">-'Returns (Assumed)'!$B$11</f>
        <v>-509529</v>
      </c>
    </row>
    <row r="10" customFormat="false" ht="15" hidden="false" customHeight="false" outlineLevel="0" collapsed="false">
      <c r="A10" s="3" t="s">
        <v>341</v>
      </c>
      <c r="B10" s="3"/>
      <c r="C10" s="3"/>
      <c r="D10" s="3"/>
      <c r="E10" s="3"/>
      <c r="F10" s="3"/>
    </row>
    <row r="11" customFormat="false" ht="15" hidden="false" customHeight="false" outlineLevel="0" collapsed="false">
      <c r="A11" s="0" t="s">
        <v>342</v>
      </c>
      <c r="B11" s="18" t="n">
        <f aca="false">'Returns (Assumed)'!$B$10</f>
        <v>4585761</v>
      </c>
      <c r="C11" s="18" t="n">
        <f aca="false">B11*(1+Assumptions!$C$112)-C12</f>
        <v>4388048.865187</v>
      </c>
      <c r="D11" s="18" t="n">
        <f aca="false">C11*(1+Assumptions!$C$112)-D12</f>
        <v>4353254.92563377</v>
      </c>
      <c r="E11" s="18" t="n">
        <f aca="false">D11*(1+Assumptions!$C$112)-E12</f>
        <v>4652118.44182637</v>
      </c>
      <c r="F11" s="18" t="n">
        <f aca="false">E11*(1+Assumptions!$C$112)-F12</f>
        <v>4748058.85011261</v>
      </c>
      <c r="G11" s="18" t="n">
        <f aca="false">F11*(1+Assumptions!$C$112)-G12</f>
        <v>0</v>
      </c>
    </row>
    <row r="12" customFormat="false" ht="15" hidden="false" customHeight="false" outlineLevel="0" collapsed="false">
      <c r="A12" s="0" t="s">
        <v>343</v>
      </c>
      <c r="C12" s="18" t="n">
        <f aca="false">MIN(C6,B11*(1+Assumptions!$C$112))</f>
        <v>564573.014813</v>
      </c>
      <c r="D12" s="18" t="n">
        <f aca="false">MIN(D6,C11*(1+Assumptions!$C$112))</f>
        <v>385837.84876819</v>
      </c>
      <c r="E12" s="18" t="n">
        <f aca="false">MIN(E6,D11*(1+Assumptions!$C$112))</f>
        <v>49396.8778580996</v>
      </c>
      <c r="F12" s="18" t="n">
        <f aca="false">MIN(F6,E11*(1+Assumptions!$C$112))</f>
        <v>276229.067059871</v>
      </c>
      <c r="G12" s="18" t="n">
        <f aca="false">MIN(G6,F11*(1+Assumptions!$C$112))</f>
        <v>5127903.55812162</v>
      </c>
    </row>
    <row r="14" customFormat="false" ht="15" hidden="false" customHeight="false" outlineLevel="0" collapsed="false">
      <c r="A14" s="0" t="s">
        <v>344</v>
      </c>
      <c r="C14" s="18" t="n">
        <f aca="false">C6-C12</f>
        <v>0</v>
      </c>
      <c r="D14" s="18" t="n">
        <f aca="false">D6-D12</f>
        <v>0</v>
      </c>
      <c r="E14" s="18" t="n">
        <f aca="false">E6-E12</f>
        <v>0</v>
      </c>
      <c r="F14" s="18" t="n">
        <f aca="false">F6-F12</f>
        <v>0</v>
      </c>
      <c r="G14" s="18" t="n">
        <f aca="false">G6-G12</f>
        <v>715313.654981276</v>
      </c>
    </row>
    <row r="16" customFormat="false" ht="15" hidden="false" customHeight="false" outlineLevel="0" collapsed="false">
      <c r="A16" s="3" t="s">
        <v>345</v>
      </c>
      <c r="B16" s="3"/>
      <c r="C16" s="3"/>
      <c r="D16" s="3"/>
      <c r="E16" s="3"/>
      <c r="F16" s="3"/>
    </row>
    <row r="17" customFormat="false" ht="15" hidden="false" customHeight="false" outlineLevel="0" collapsed="false">
      <c r="A17" s="0" t="s">
        <v>346</v>
      </c>
      <c r="B17" s="18" t="n">
        <f aca="false">'Returns (Assumed)'!$B$10</f>
        <v>4585761</v>
      </c>
      <c r="C17" s="18" t="n">
        <f aca="false">C18-C20</f>
        <v>4571479.305187</v>
      </c>
      <c r="D17" s="18" t="n">
        <f aca="false">D18-D20</f>
        <v>4734218.97304125</v>
      </c>
      <c r="E17" s="18" t="n">
        <f aca="false">E18-E20</f>
        <v>5252928.3719481</v>
      </c>
      <c r="F17" s="18" t="n">
        <f aca="false">F18-F20</f>
        <v>5607050.709522</v>
      </c>
      <c r="G17" s="18" t="n">
        <f aca="false">G18-G20</f>
        <v>651273.678056133</v>
      </c>
    </row>
    <row r="18" customFormat="false" ht="15" hidden="false" customHeight="false" outlineLevel="0" collapsed="false">
      <c r="A18" s="0" t="s">
        <v>347</v>
      </c>
      <c r="C18" s="18" t="n">
        <f aca="false">B17*(1+Assumptions!$C$115)-C12</f>
        <v>4571479.305187</v>
      </c>
      <c r="D18" s="18" t="n">
        <f aca="false">C17*(1+Assumptions!$C$115)-D12</f>
        <v>4734218.97304125</v>
      </c>
      <c r="E18" s="18" t="n">
        <f aca="false">D17*(1+Assumptions!$C$115)-E12</f>
        <v>5252928.3719481</v>
      </c>
      <c r="F18" s="18" t="n">
        <f aca="false">E17*(1+Assumptions!$C$115)-F12</f>
        <v>5607050.709522</v>
      </c>
      <c r="G18" s="18" t="n">
        <f aca="false">F17*(1+Assumptions!$C$115)-G12</f>
        <v>1151993.23654303</v>
      </c>
    </row>
    <row r="19" customFormat="false" ht="15" hidden="false" customHeight="false" outlineLevel="0" collapsed="false">
      <c r="A19" s="0" t="s">
        <v>348</v>
      </c>
      <c r="C19" s="18" t="n">
        <f aca="false">MIN(C14,MAX(0,C18)/Assumptions!$C$113)</f>
        <v>0</v>
      </c>
      <c r="D19" s="18" t="n">
        <f aca="false">MIN(D14,MAX(0,D18)/Assumptions!$C$113)</f>
        <v>0</v>
      </c>
      <c r="E19" s="18" t="n">
        <f aca="false">MIN(E14,MAX(0,E18)/Assumptions!$C$113)</f>
        <v>0</v>
      </c>
      <c r="F19" s="18" t="n">
        <f aca="false">MIN(F14,MAX(0,F18)/Assumptions!$C$113)</f>
        <v>0</v>
      </c>
      <c r="G19" s="18" t="n">
        <f aca="false">MIN(G14,MAX(0,G18)/Assumptions!$C$113)</f>
        <v>715313.654981276</v>
      </c>
    </row>
    <row r="20" customFormat="false" ht="15" hidden="false" customHeight="false" outlineLevel="0" collapsed="false">
      <c r="A20" s="0" t="s">
        <v>349</v>
      </c>
      <c r="C20" s="18" t="n">
        <f aca="false">C19*Assumptions!$C$113</f>
        <v>0</v>
      </c>
      <c r="D20" s="18" t="n">
        <f aca="false">D19*Assumptions!$C$113</f>
        <v>0</v>
      </c>
      <c r="E20" s="18" t="n">
        <f aca="false">E19*Assumptions!$C$113</f>
        <v>0</v>
      </c>
      <c r="F20" s="18" t="n">
        <f aca="false">F19*Assumptions!$C$113</f>
        <v>0</v>
      </c>
      <c r="G20" s="18" t="n">
        <f aca="false">G19*Assumptions!$C$113</f>
        <v>500719.558486893</v>
      </c>
    </row>
    <row r="21" customFormat="false" ht="15" hidden="false" customHeight="false" outlineLevel="0" collapsed="false">
      <c r="A21" s="0" t="s">
        <v>350</v>
      </c>
      <c r="C21" s="18" t="n">
        <f aca="false">C19*Assumptions!$C$114</f>
        <v>0</v>
      </c>
      <c r="D21" s="18" t="n">
        <f aca="false">D19*Assumptions!$C$114</f>
        <v>0</v>
      </c>
      <c r="E21" s="18" t="n">
        <f aca="false">E19*Assumptions!$C$114</f>
        <v>0</v>
      </c>
      <c r="F21" s="18" t="n">
        <f aca="false">F19*Assumptions!$C$114</f>
        <v>0</v>
      </c>
      <c r="G21" s="18" t="n">
        <f aca="false">G19*Assumptions!$C$114</f>
        <v>214594.096494383</v>
      </c>
    </row>
    <row r="22" customFormat="false" ht="15" hidden="false" customHeight="false" outlineLevel="0" collapsed="false">
      <c r="A22" s="0" t="s">
        <v>351</v>
      </c>
      <c r="C22" s="18" t="n">
        <f aca="false">C14-C19</f>
        <v>0</v>
      </c>
      <c r="D22" s="18" t="n">
        <f aca="false">D14-D19</f>
        <v>0</v>
      </c>
      <c r="E22" s="18" t="n">
        <f aca="false">E14-E19</f>
        <v>0</v>
      </c>
      <c r="F22" s="18" t="n">
        <f aca="false">F14-F19</f>
        <v>0</v>
      </c>
      <c r="G22" s="18" t="n">
        <f aca="false">G14-G19</f>
        <v>0</v>
      </c>
    </row>
    <row r="24" customFormat="false" ht="15" hidden="false" customHeight="false" outlineLevel="0" collapsed="false">
      <c r="A24" s="3" t="s">
        <v>352</v>
      </c>
      <c r="B24" s="3"/>
      <c r="C24" s="3"/>
      <c r="D24" s="3"/>
      <c r="E24" s="3"/>
      <c r="F24" s="3"/>
    </row>
    <row r="25" customFormat="false" ht="15" hidden="false" customHeight="false" outlineLevel="0" collapsed="false">
      <c r="A25" s="0" t="s">
        <v>353</v>
      </c>
      <c r="C25" s="18" t="n">
        <f aca="false">C22</f>
        <v>0</v>
      </c>
      <c r="D25" s="18" t="n">
        <f aca="false">D22</f>
        <v>0</v>
      </c>
      <c r="E25" s="18" t="n">
        <f aca="false">E22</f>
        <v>0</v>
      </c>
      <c r="F25" s="18" t="n">
        <f aca="false">F22</f>
        <v>0</v>
      </c>
      <c r="G25" s="18" t="n">
        <f aca="false">G22</f>
        <v>0</v>
      </c>
    </row>
    <row r="26" customFormat="false" ht="15" hidden="false" customHeight="false" outlineLevel="0" collapsed="false">
      <c r="A26" s="0" t="s">
        <v>354</v>
      </c>
      <c r="C26" s="18" t="n">
        <f aca="false">C25*Assumptions!$C$116</f>
        <v>0</v>
      </c>
      <c r="D26" s="18" t="n">
        <f aca="false">D25*Assumptions!$C$116</f>
        <v>0</v>
      </c>
      <c r="E26" s="18" t="n">
        <f aca="false">E25*Assumptions!$C$116</f>
        <v>0</v>
      </c>
      <c r="F26" s="18" t="n">
        <f aca="false">F25*Assumptions!$C$116</f>
        <v>0</v>
      </c>
      <c r="G26" s="18" t="n">
        <f aca="false">G25*Assumptions!$C$116</f>
        <v>0</v>
      </c>
    </row>
    <row r="27" customFormat="false" ht="15" hidden="false" customHeight="false" outlineLevel="0" collapsed="false">
      <c r="A27" s="0" t="s">
        <v>355</v>
      </c>
      <c r="C27" s="18" t="n">
        <f aca="false">C25*Assumptions!$C$117</f>
        <v>0</v>
      </c>
      <c r="D27" s="18" t="n">
        <f aca="false">D25*Assumptions!$C$117</f>
        <v>0</v>
      </c>
      <c r="E27" s="18" t="n">
        <f aca="false">E25*Assumptions!$C$117</f>
        <v>0</v>
      </c>
      <c r="F27" s="18" t="n">
        <f aca="false">F25*Assumptions!$C$117</f>
        <v>0</v>
      </c>
      <c r="G27" s="18" t="n">
        <f aca="false">G25*Assumptions!$C$117</f>
        <v>0</v>
      </c>
    </row>
    <row r="29" customFormat="false" ht="15" hidden="false" customHeight="false" outlineLevel="0" collapsed="false">
      <c r="A29" s="3" t="s">
        <v>356</v>
      </c>
      <c r="B29" s="3"/>
      <c r="C29" s="3"/>
      <c r="D29" s="3"/>
      <c r="E29" s="3"/>
      <c r="F29" s="3"/>
    </row>
    <row r="30" customFormat="false" ht="15" hidden="false" customHeight="false" outlineLevel="0" collapsed="false">
      <c r="A30" s="16" t="s">
        <v>357</v>
      </c>
      <c r="B30" s="18" t="n">
        <f aca="false">-'Returns (Assumed)'!$B$10</f>
        <v>-4585761</v>
      </c>
      <c r="C30" s="10" t="n">
        <f aca="false">C12+C20+C26</f>
        <v>564573.014813</v>
      </c>
      <c r="D30" s="10" t="n">
        <f aca="false">D12+D20+D26</f>
        <v>385837.84876819</v>
      </c>
      <c r="E30" s="10" t="n">
        <f aca="false">E12+E20+E26</f>
        <v>49396.8778580996</v>
      </c>
      <c r="F30" s="10" t="n">
        <f aca="false">F12+F20+F26</f>
        <v>276229.067059871</v>
      </c>
      <c r="G30" s="10" t="n">
        <f aca="false">G12+G20+G26</f>
        <v>5628623.11660851</v>
      </c>
    </row>
    <row r="31" customFormat="false" ht="15" hidden="false" customHeight="false" outlineLevel="0" collapsed="false">
      <c r="A31" s="16" t="s">
        <v>358</v>
      </c>
      <c r="B31" s="18" t="n">
        <f aca="false">-'Returns (Assumed)'!$B$11</f>
        <v>-509529</v>
      </c>
      <c r="C31" s="10" t="n">
        <f aca="false">C21+C27</f>
        <v>0</v>
      </c>
      <c r="D31" s="10" t="n">
        <f aca="false">D21+D27</f>
        <v>0</v>
      </c>
      <c r="E31" s="10" t="n">
        <f aca="false">E21+E27</f>
        <v>0</v>
      </c>
      <c r="F31" s="10" t="n">
        <f aca="false">F21+F27</f>
        <v>0</v>
      </c>
      <c r="G31" s="10" t="n">
        <f aca="false">G21+G27</f>
        <v>214594.096494383</v>
      </c>
    </row>
    <row r="33" customFormat="false" ht="15" hidden="false" customHeight="false" outlineLevel="0" collapsed="false">
      <c r="A33" s="3" t="s">
        <v>359</v>
      </c>
      <c r="B33" s="3"/>
      <c r="C33" s="3"/>
      <c r="D33" s="3"/>
      <c r="E33" s="3"/>
      <c r="F33" s="3"/>
    </row>
    <row r="34" customFormat="false" ht="15" hidden="false" customHeight="false" outlineLevel="0" collapsed="false">
      <c r="C34" s="18" t="n">
        <f aca="false">C30+C31-C6</f>
        <v>0</v>
      </c>
      <c r="D34" s="18" t="n">
        <f aca="false">D30+D31-D6</f>
        <v>0</v>
      </c>
      <c r="E34" s="18" t="n">
        <f aca="false">E30+E31-E6</f>
        <v>0</v>
      </c>
      <c r="F34" s="18" t="n">
        <f aca="false">F30+F31-F6</f>
        <v>0</v>
      </c>
      <c r="G34" s="18" t="n">
        <f aca="false">G30+G31-G6</f>
        <v>0</v>
      </c>
    </row>
    <row r="36" customFormat="false" ht="15" hidden="false" customHeight="false" outlineLevel="0" collapsed="false">
      <c r="A36" s="3" t="s">
        <v>360</v>
      </c>
      <c r="B36" s="3"/>
    </row>
    <row r="37" customFormat="false" ht="15" hidden="false" customHeight="false" outlineLevel="0" collapsed="false">
      <c r="A37" s="0" t="s">
        <v>361</v>
      </c>
      <c r="B37" s="19" t="n">
        <f aca="false">IFERROR(IRR(B30:G30),"N/A - no sign change / undefined")</f>
        <v>0.0981508270342729</v>
      </c>
    </row>
    <row r="38" customFormat="false" ht="15" hidden="false" customHeight="false" outlineLevel="0" collapsed="false">
      <c r="A38" s="0" t="s">
        <v>362</v>
      </c>
      <c r="B38" s="19" t="n">
        <f aca="false">IFERROR(IRR(B31:G31),"N/A - GP receives $0 in this scenario, IRR undefined")</f>
        <v>-0.158818383947557</v>
      </c>
    </row>
    <row r="39" customFormat="false" ht="15" hidden="false" customHeight="false" outlineLevel="0" collapsed="false">
      <c r="A39" s="0" t="s">
        <v>363</v>
      </c>
      <c r="B39" s="20" t="n">
        <f aca="false">SUM(C30:G30)/'Returns (Assumed)'!$B$10</f>
        <v>1.50567374206978</v>
      </c>
    </row>
    <row r="40" customFormat="false" ht="15" hidden="false" customHeight="false" outlineLevel="0" collapsed="false">
      <c r="A40" s="0" t="s">
        <v>364</v>
      </c>
      <c r="B40" s="20" t="n">
        <f aca="false">SUM(C31:G31)/'Returns (Assumed)'!$B$11</f>
        <v>0.421161693435276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6" min="2" style="0" width="13"/>
  </cols>
  <sheetData>
    <row r="1" customFormat="false" ht="17.35" hidden="false" customHeight="false" outlineLevel="0" collapsed="false">
      <c r="A1" s="1" t="s">
        <v>365</v>
      </c>
    </row>
    <row r="3" customFormat="false" ht="15" hidden="false" customHeight="false" outlineLevel="0" collapsed="false">
      <c r="A3" s="2" t="s">
        <v>366</v>
      </c>
    </row>
    <row r="5" customFormat="false" ht="15" hidden="false" customHeight="false" outlineLevel="0" collapsed="false">
      <c r="A5" s="3" t="s">
        <v>367</v>
      </c>
      <c r="B5" s="3"/>
      <c r="C5" s="3"/>
      <c r="D5" s="3"/>
      <c r="E5" s="3"/>
      <c r="F5" s="3"/>
    </row>
    <row r="6" customFormat="false" ht="15" hidden="false" customHeight="false" outlineLevel="0" collapsed="false">
      <c r="A6" s="16" t="s">
        <v>368</v>
      </c>
      <c r="B6" s="12" t="n">
        <v>0.015</v>
      </c>
      <c r="C6" s="12" t="n">
        <v>0.02</v>
      </c>
      <c r="D6" s="12" t="n">
        <v>0.025</v>
      </c>
      <c r="E6" s="12" t="n">
        <v>0.03</v>
      </c>
      <c r="F6" s="12" t="n">
        <v>0.035</v>
      </c>
    </row>
    <row r="7" customFormat="false" ht="15" hidden="false" customHeight="false" outlineLevel="0" collapsed="false">
      <c r="A7" s="0" t="s">
        <v>369</v>
      </c>
      <c r="B7" s="19" t="n">
        <f aca="false">Sensitivity!$H$53</f>
        <v>0.0190562665993471</v>
      </c>
      <c r="C7" s="19" t="n">
        <f aca="false">Sensitivity!$H$54</f>
        <v>0.0363984598704015</v>
      </c>
      <c r="D7" s="19" t="n">
        <f aca="false">Sensitivity!$H$55</f>
        <v>0.05306312679559</v>
      </c>
      <c r="E7" s="19" t="n">
        <f aca="false">Sensitivity!$H$56</f>
        <v>0.0691300167375857</v>
      </c>
      <c r="F7" s="19" t="n">
        <f aca="false">Sensitivity!$H$57</f>
        <v>0.0846655810430054</v>
      </c>
    </row>
    <row r="8" customFormat="false" ht="15" hidden="false" customHeight="false" outlineLevel="0" collapsed="false">
      <c r="A8" s="0" t="s">
        <v>370</v>
      </c>
      <c r="B8" s="19" t="n">
        <f aca="false">Sensitivity!$H$58</f>
        <v>0.00389817724018235</v>
      </c>
      <c r="C8" s="19" t="n">
        <f aca="false">Sensitivity!$H$59</f>
        <v>0.0218415059133077</v>
      </c>
      <c r="D8" s="19" t="n">
        <f aca="false">Sensitivity!$H$60</f>
        <v>0.0390284314437405</v>
      </c>
      <c r="E8" s="19" t="n">
        <f aca="false">Sensitivity!$H$61</f>
        <v>0.0555526737588777</v>
      </c>
      <c r="F8" s="19" t="n">
        <f aca="false">Sensitivity!$H$62</f>
        <v>0.0714915027970177</v>
      </c>
    </row>
    <row r="9" customFormat="false" ht="15" hidden="false" customHeight="false" outlineLevel="0" collapsed="false">
      <c r="A9" s="0" t="s">
        <v>371</v>
      </c>
      <c r="B9" s="19" t="n">
        <f aca="false">Sensitivity!$H$63</f>
        <v>-0.0113464091745479</v>
      </c>
      <c r="C9" s="19" t="n">
        <f aca="false">Sensitivity!$H$64</f>
        <v>0.00725721807130849</v>
      </c>
      <c r="D9" s="19" t="n">
        <f aca="false">Sensitivity!$H$65</f>
        <v>0.0250134637638123</v>
      </c>
      <c r="E9" s="19" t="n">
        <f aca="false">Sensitivity!$H$66</f>
        <v>0.0420330531295092</v>
      </c>
      <c r="F9" s="19" t="n">
        <f aca="false">Sensitivity!$H$67</f>
        <v>0.0584062249643898</v>
      </c>
    </row>
    <row r="10" customFormat="false" ht="15" hidden="false" customHeight="false" outlineLevel="0" collapsed="false">
      <c r="A10" s="0" t="s">
        <v>372</v>
      </c>
      <c r="B10" s="19" t="n">
        <f aca="false">Sensitivity!$H$68</f>
        <v>-0.0267298470790531</v>
      </c>
      <c r="C10" s="19" t="n">
        <f aca="false">Sensitivity!$H$69</f>
        <v>-0.00739772040672395</v>
      </c>
      <c r="D10" s="19" t="n">
        <f aca="false">Sensitivity!$H$70</f>
        <v>0.0109813423125154</v>
      </c>
      <c r="E10" s="19" t="n">
        <f aca="false">Sensitivity!$H$71</f>
        <v>0.0285389452350935</v>
      </c>
      <c r="F10" s="19" t="n">
        <f aca="false">Sensitivity!$H$72</f>
        <v>0.0453809852621668</v>
      </c>
    </row>
    <row r="11" customFormat="false" ht="15" hidden="false" customHeight="false" outlineLevel="0" collapsed="false">
      <c r="A11" s="0" t="s">
        <v>373</v>
      </c>
      <c r="B11" s="19" t="n">
        <f aca="false">Sensitivity!$H$73</f>
        <v>-0.0423094654681961</v>
      </c>
      <c r="C11" s="19" t="n">
        <f aca="false">Sensitivity!$H$74</f>
        <v>-0.0221695212336297</v>
      </c>
      <c r="D11" s="19" t="n">
        <f aca="false">Sensitivity!$H$75</f>
        <v>-0.00310637444482752</v>
      </c>
      <c r="E11" s="19" t="n">
        <f aca="false">Sensitivity!$H$76</f>
        <v>0.0150374619778309</v>
      </c>
      <c r="F11" s="19" t="n">
        <f aca="false">Sensitivity!$H$77</f>
        <v>0.0323869398052978</v>
      </c>
    </row>
    <row r="12" customFormat="false" ht="15" hidden="false" customHeight="false" outlineLevel="0" collapsed="false">
      <c r="A12" s="2" t="s">
        <v>374</v>
      </c>
    </row>
    <row r="13" customFormat="false" ht="15" hidden="false" customHeight="false" outlineLevel="0" collapsed="false">
      <c r="A13" s="0" t="s">
        <v>369</v>
      </c>
      <c r="B13" s="20" t="n">
        <f aca="false">Sensitivity!$I$53</f>
        <v>1.08644181646682</v>
      </c>
      <c r="C13" s="20" t="n">
        <f aca="false">Sensitivity!$I$54</f>
        <v>1.17065799440057</v>
      </c>
      <c r="D13" s="20" t="n">
        <f aca="false">Sensitivity!$I$55</f>
        <v>1.25680168537468</v>
      </c>
      <c r="E13" s="20" t="n">
        <f aca="false">Sensitivity!$I$56</f>
        <v>1.34490934849487</v>
      </c>
      <c r="F13" s="20" t="n">
        <f aca="false">Sensitivity!$I$57</f>
        <v>1.43501796598487</v>
      </c>
    </row>
    <row r="14" customFormat="false" ht="15" hidden="false" customHeight="false" outlineLevel="0" collapsed="false">
      <c r="A14" s="0" t="s">
        <v>370</v>
      </c>
      <c r="B14" s="20" t="n">
        <f aca="false">Sensitivity!$I$58</f>
        <v>1.01711784085156</v>
      </c>
      <c r="C14" s="20" t="n">
        <f aca="false">Sensitivity!$I$59</f>
        <v>1.09925963413231</v>
      </c>
      <c r="D14" s="20" t="n">
        <f aca="false">Sensitivity!$I$60</f>
        <v>1.18327746981046</v>
      </c>
      <c r="E14" s="20" t="n">
        <f aca="false">Sensitivity!$I$61</f>
        <v>1.26920679033063</v>
      </c>
      <c r="F14" s="20" t="n">
        <f aca="false">Sensitivity!$I$62</f>
        <v>1.35708354626823</v>
      </c>
    </row>
    <row r="15" customFormat="false" ht="15" hidden="false" customHeight="false" outlineLevel="0" collapsed="false">
      <c r="A15" s="0" t="s">
        <v>371</v>
      </c>
      <c r="B15" s="20" t="n">
        <f aca="false">Sensitivity!$I$63</f>
        <v>0.951777453075968</v>
      </c>
      <c r="C15" s="20" t="n">
        <f aca="false">Sensitivity!$I$64</f>
        <v>1.03196406279403</v>
      </c>
      <c r="D15" s="20" t="n">
        <f aca="false">Sensitivity!$I$65</f>
        <v>1.11397820194208</v>
      </c>
      <c r="E15" s="20" t="n">
        <f aca="false">Sensitivity!$I$66</f>
        <v>1.19785435472439</v>
      </c>
      <c r="F15" s="20" t="n">
        <f aca="false">Sensitivity!$I$67</f>
        <v>1.28362749935003</v>
      </c>
    </row>
    <row r="16" customFormat="false" ht="15" hidden="false" customHeight="false" outlineLevel="0" collapsed="false">
      <c r="A16" s="0" t="s">
        <v>372</v>
      </c>
      <c r="B16" s="20" t="n">
        <f aca="false">Sensitivity!$I$68</f>
        <v>0.89008687761928</v>
      </c>
      <c r="C16" s="20" t="n">
        <f aca="false">Sensitivity!$I$69</f>
        <v>0.968427517284033</v>
      </c>
      <c r="D16" s="20" t="n">
        <f aca="false">Sensitivity!$I$70</f>
        <v>1.04854988327018</v>
      </c>
      <c r="E16" s="20" t="n">
        <f aca="false">Sensitivity!$I$71</f>
        <v>1.13048755506745</v>
      </c>
      <c r="F16" s="20" t="n">
        <f aca="false">Sensitivity!$I$72</f>
        <v>1.21427459283345</v>
      </c>
    </row>
    <row r="17" customFormat="false" ht="15" hidden="false" customHeight="false" outlineLevel="0" collapsed="false">
      <c r="A17" s="0" t="s">
        <v>373</v>
      </c>
      <c r="B17" s="20" t="n">
        <f aca="false">Sensitivity!$I$73</f>
        <v>0.831748614183738</v>
      </c>
      <c r="C17" s="20" t="n">
        <f aca="false">Sensitivity!$I$74</f>
        <v>0.908343595188852</v>
      </c>
      <c r="D17" s="20" t="n">
        <f aca="false">Sensitivity!$I$75</f>
        <v>0.986676988381946</v>
      </c>
      <c r="E17" s="20" t="n">
        <f aca="false">Sensitivity!$I$76</f>
        <v>1.06678151770109</v>
      </c>
      <c r="F17" s="20" t="n">
        <f aca="false">Sensitivity!$I$77</f>
        <v>1.14869037514002</v>
      </c>
    </row>
    <row r="20" customFormat="false" ht="15" hidden="false" customHeight="false" outlineLevel="0" collapsed="false">
      <c r="A20" s="3" t="s">
        <v>375</v>
      </c>
      <c r="B20" s="3"/>
      <c r="C20" s="3"/>
      <c r="D20" s="3"/>
      <c r="E20" s="3"/>
      <c r="F20" s="3"/>
    </row>
    <row r="21" customFormat="false" ht="15" hidden="false" customHeight="false" outlineLevel="0" collapsed="false">
      <c r="A21" s="16" t="s">
        <v>376</v>
      </c>
      <c r="B21" s="16" t="s">
        <v>369</v>
      </c>
      <c r="C21" s="16" t="s">
        <v>370</v>
      </c>
      <c r="D21" s="16" t="s">
        <v>371</v>
      </c>
      <c r="E21" s="16" t="s">
        <v>372</v>
      </c>
      <c r="F21" s="16" t="s">
        <v>373</v>
      </c>
    </row>
    <row r="22" customFormat="false" ht="15" hidden="false" customHeight="false" outlineLevel="0" collapsed="false">
      <c r="A22" s="0" t="s">
        <v>377</v>
      </c>
      <c r="B22" s="19" t="n">
        <f aca="false">Sensitivity!$H$78</f>
        <v>0.0842362924301178</v>
      </c>
      <c r="C22" s="19" t="n">
        <f aca="false">Sensitivity!$H$79</f>
        <v>0.0724878566541302</v>
      </c>
      <c r="D22" s="19" t="n">
        <f aca="false">Sensitivity!$H$80</f>
        <v>0.0608080819645157</v>
      </c>
      <c r="E22" s="19" t="n">
        <f aca="false">Sensitivity!$H$81</f>
        <v>0.0491756975233843</v>
      </c>
      <c r="F22" s="19" t="n">
        <f aca="false">Sensitivity!$H$82</f>
        <v>0.0375693440478066</v>
      </c>
    </row>
    <row r="23" customFormat="false" ht="15" hidden="false" customHeight="false" outlineLevel="0" collapsed="false">
      <c r="A23" s="0" t="s">
        <v>378</v>
      </c>
      <c r="B23" s="19" t="n">
        <f aca="false">Sensitivity!$H$83</f>
        <v>0.0666889223993877</v>
      </c>
      <c r="C23" s="19" t="n">
        <f aca="false">Sensitivity!$H$84</f>
        <v>0.0537918131065021</v>
      </c>
      <c r="D23" s="19" t="n">
        <f aca="false">Sensitivity!$H$85</f>
        <v>0.0409418763724166</v>
      </c>
      <c r="E23" s="19" t="n">
        <f aca="false">Sensitivity!$H$86</f>
        <v>0.0281109272271003</v>
      </c>
      <c r="F23" s="19" t="n">
        <f aca="false">Sensitivity!$H$87</f>
        <v>0.0152701413202907</v>
      </c>
    </row>
    <row r="24" customFormat="false" ht="15" hidden="false" customHeight="false" outlineLevel="0" collapsed="false">
      <c r="A24" s="0" t="s">
        <v>379</v>
      </c>
      <c r="B24" s="19" t="n">
        <f aca="false">Sensitivity!$H$88</f>
        <v>0.0499009952807631</v>
      </c>
      <c r="C24" s="19" t="n">
        <f aca="false">Sensitivity!$H$89</f>
        <v>0.0357967022609609</v>
      </c>
      <c r="D24" s="19" t="n">
        <f aca="false">Sensitivity!$H$90</f>
        <v>0.0217081322213315</v>
      </c>
      <c r="E24" s="19" t="n">
        <f aca="false">Sensitivity!$H$91</f>
        <v>0.00759787059164976</v>
      </c>
      <c r="F24" s="19" t="n">
        <f aca="false">Sensitivity!$H$92</f>
        <v>-0.00657315335123801</v>
      </c>
    </row>
    <row r="25" customFormat="false" ht="15" hidden="false" customHeight="false" outlineLevel="0" collapsed="false">
      <c r="A25" s="0" t="s">
        <v>380</v>
      </c>
      <c r="B25" s="19" t="n">
        <f aca="false">Sensitivity!$H$93</f>
        <v>0.0337247676777556</v>
      </c>
      <c r="C25" s="19" t="n">
        <f aca="false">Sensitivity!$H$94</f>
        <v>0.0183489080078369</v>
      </c>
      <c r="D25" s="19" t="n">
        <f aca="false">Sensitivity!$H$95</f>
        <v>0.0029449319566469</v>
      </c>
      <c r="E25" s="19" t="n">
        <f aca="false">Sensitivity!$H$96</f>
        <v>-0.012536950256364</v>
      </c>
      <c r="F25" s="19" t="n">
        <f aca="false">Sensitivity!$H$97</f>
        <v>-0.0281499645324777</v>
      </c>
    </row>
    <row r="26" customFormat="false" ht="15" hidden="false" customHeight="false" outlineLevel="0" collapsed="false">
      <c r="A26" s="0" t="s">
        <v>381</v>
      </c>
      <c r="B26" s="19" t="n">
        <f aca="false">Sensitivity!$H$98</f>
        <v>0.0180339583951908</v>
      </c>
      <c r="C26" s="19" t="n">
        <f aca="false">Sensitivity!$H$99</f>
        <v>0.00131514180305945</v>
      </c>
      <c r="D26" s="19" t="n">
        <f aca="false">Sensitivity!$H$100</f>
        <v>-0.0154910481266667</v>
      </c>
      <c r="E26" s="19" t="n">
        <f aca="false">Sensitivity!$H$101</f>
        <v>-0.0324510774006122</v>
      </c>
      <c r="F26" s="19" t="n">
        <f aca="false">Sensitivity!$H$102</f>
        <v>-0.0496378677039273</v>
      </c>
    </row>
    <row r="27" customFormat="false" ht="15" hidden="false" customHeight="false" outlineLevel="0" collapsed="false">
      <c r="A27" s="2" t="s">
        <v>374</v>
      </c>
    </row>
    <row r="28" customFormat="false" ht="15" hidden="false" customHeight="false" outlineLevel="0" collapsed="false">
      <c r="A28" s="0" t="s">
        <v>377</v>
      </c>
      <c r="B28" s="20" t="n">
        <f aca="false">Sensitivity!$I$78</f>
        <v>1.41677503526796</v>
      </c>
      <c r="C28" s="20" t="n">
        <f aca="false">Sensitivity!$I$79</f>
        <v>1.34953733890365</v>
      </c>
      <c r="D28" s="20" t="n">
        <f aca="false">Sensitivity!$I$80</f>
        <v>1.28579707286677</v>
      </c>
      <c r="E28" s="20" t="n">
        <f aca="false">Sensitivity!$I$81</f>
        <v>1.22528827132527</v>
      </c>
      <c r="F28" s="20" t="n">
        <f aca="false">Sensitivity!$I$82</f>
        <v>1.16777126929677</v>
      </c>
    </row>
    <row r="29" customFormat="false" ht="15" hidden="false" customHeight="false" outlineLevel="0" collapsed="false">
      <c r="A29" s="0" t="s">
        <v>378</v>
      </c>
      <c r="B29" s="20" t="n">
        <f aca="false">Sensitivity!$I$83</f>
        <v>1.32664176083754</v>
      </c>
      <c r="C29" s="20" t="n">
        <f aca="false">Sensitivity!$I$84</f>
        <v>1.25622416487013</v>
      </c>
      <c r="D29" s="20" t="n">
        <f aca="false">Sensitivity!$I$85</f>
        <v>1.18966175487945</v>
      </c>
      <c r="E29" s="20" t="n">
        <f aca="false">Sensitivity!$I$86</f>
        <v>1.1266463736999</v>
      </c>
      <c r="F29" s="20" t="n">
        <f aca="false">Sensitivity!$I$87</f>
        <v>1.06690185443616</v>
      </c>
    </row>
    <row r="30" customFormat="false" ht="15" hidden="false" customHeight="false" outlineLevel="0" collapsed="false">
      <c r="A30" s="0" t="s">
        <v>379</v>
      </c>
      <c r="B30" s="20" t="n">
        <f aca="false">Sensitivity!$I$88</f>
        <v>1.24180536875793</v>
      </c>
      <c r="C30" s="20" t="n">
        <f aca="false">Sensitivity!$I$89</f>
        <v>1.16830773947226</v>
      </c>
      <c r="D30" s="20" t="n">
        <f aca="false">Sensitivity!$I$90</f>
        <v>1.09903353014581</v>
      </c>
      <c r="E30" s="20" t="n">
        <f aca="false">Sensitivity!$I$91</f>
        <v>1.0336288702847</v>
      </c>
      <c r="F30" s="20" t="n">
        <f aca="false">Sensitivity!$I$92</f>
        <v>0.971778348569793</v>
      </c>
    </row>
    <row r="31" customFormat="false" ht="15" hidden="false" customHeight="false" outlineLevel="0" collapsed="false">
      <c r="A31" s="0" t="s">
        <v>380</v>
      </c>
      <c r="B31" s="20" t="n">
        <f aca="false">Sensitivity!$I$93</f>
        <v>1.16157344802129</v>
      </c>
      <c r="C31" s="20" t="n">
        <f aca="false">Sensitivity!$I$94</f>
        <v>1.08509575790736</v>
      </c>
      <c r="D31" s="20" t="n">
        <f aca="false">Sensitivity!$I$95</f>
        <v>1.01321924528786</v>
      </c>
      <c r="E31" s="20" t="n">
        <f aca="false">Sensitivity!$I$96</f>
        <v>0.945540800930609</v>
      </c>
      <c r="F31" s="20" t="n">
        <f aca="false">Sensitivity!$I$97</f>
        <v>0.881703068021602</v>
      </c>
    </row>
    <row r="32" customFormat="false" ht="15" hidden="false" customHeight="false" outlineLevel="0" collapsed="false">
      <c r="A32" s="0" t="s">
        <v>381</v>
      </c>
      <c r="B32" s="20" t="n">
        <f aca="false">Sensitivity!$I$98</f>
        <v>1.08536923167095</v>
      </c>
      <c r="C32" s="20" t="n">
        <f aca="false">Sensitivity!$I$99</f>
        <v>1.00601146729376</v>
      </c>
      <c r="D32" s="20" t="n">
        <f aca="false">Sensitivity!$I$100</f>
        <v>0.931641222205302</v>
      </c>
      <c r="E32" s="20" t="n">
        <f aca="false">Sensitivity!$I$101</f>
        <v>0.861802634117979</v>
      </c>
      <c r="F32" s="20" t="n">
        <f aca="false">Sensitivity!$I$102</f>
        <v>0.796093752992845</v>
      </c>
    </row>
    <row r="35" customFormat="false" ht="15" hidden="false" customHeight="false" outlineLevel="0" collapsed="false">
      <c r="A35" s="3" t="s">
        <v>382</v>
      </c>
      <c r="B35" s="3"/>
      <c r="C35" s="3"/>
      <c r="D35" s="3"/>
      <c r="E35" s="3"/>
      <c r="F35" s="3"/>
    </row>
    <row r="36" customFormat="false" ht="15" hidden="false" customHeight="false" outlineLevel="0" collapsed="false">
      <c r="A36" s="16" t="s">
        <v>383</v>
      </c>
      <c r="B36" s="16" t="s">
        <v>384</v>
      </c>
      <c r="C36" s="16" t="s">
        <v>377</v>
      </c>
      <c r="D36" s="16" t="s">
        <v>385</v>
      </c>
      <c r="E36" s="16" t="s">
        <v>381</v>
      </c>
      <c r="F36" s="16" t="s">
        <v>386</v>
      </c>
    </row>
    <row r="37" customFormat="false" ht="15" hidden="false" customHeight="false" outlineLevel="0" collapsed="false">
      <c r="A37" s="0" t="s">
        <v>387</v>
      </c>
      <c r="B37" s="19" t="n">
        <f aca="false">Sensitivity!$H$103</f>
        <v>-0.0795197870699258</v>
      </c>
      <c r="C37" s="19" t="n">
        <f aca="false">Sensitivity!$H$104</f>
        <v>-0.0814230591342138</v>
      </c>
      <c r="D37" s="19" t="n">
        <f aca="false">Sensitivity!$H$105</f>
        <v>-0.0833040660350979</v>
      </c>
      <c r="E37" s="19" t="n">
        <f aca="false">Sensitivity!$H$106</f>
        <v>-0.0851632734835075</v>
      </c>
      <c r="F37" s="19" t="n">
        <f aca="false">Sensitivity!$H$107</f>
        <v>-0.0870011332727729</v>
      </c>
    </row>
    <row r="38" customFormat="false" ht="15" hidden="false" customHeight="false" outlineLevel="0" collapsed="false">
      <c r="A38" s="0" t="s">
        <v>388</v>
      </c>
      <c r="B38" s="19" t="n">
        <f aca="false">Sensitivity!$H$108</f>
        <v>-0.0652072871508628</v>
      </c>
      <c r="C38" s="19" t="n">
        <f aca="false">Sensitivity!$H$109</f>
        <v>-0.0671431298344601</v>
      </c>
      <c r="D38" s="19" t="n">
        <f aca="false">Sensitivity!$H$110</f>
        <v>-0.0690563084443272</v>
      </c>
      <c r="E38" s="19" t="n">
        <f aca="false">Sensitivity!$H$111</f>
        <v>-0.0709472973042302</v>
      </c>
      <c r="F38" s="19" t="n">
        <f aca="false">Sensitivity!$H$112</f>
        <v>-0.0728165565565731</v>
      </c>
    </row>
    <row r="39" customFormat="false" ht="15" hidden="false" customHeight="false" outlineLevel="0" collapsed="false">
      <c r="A39" s="0" t="s">
        <v>389</v>
      </c>
      <c r="B39" s="19" t="n">
        <f aca="false">Sensitivity!$H$113</f>
        <v>-0.0516227721132915</v>
      </c>
      <c r="C39" s="19" t="n">
        <f aca="false">Sensitivity!$H$114</f>
        <v>-0.0535898198271505</v>
      </c>
      <c r="D39" s="19" t="n">
        <f aca="false">Sensitivity!$H$115</f>
        <v>-0.0555338193263678</v>
      </c>
      <c r="E39" s="19" t="n">
        <f aca="false">Sensitivity!$H$116</f>
        <v>-0.057455253259996</v>
      </c>
      <c r="F39" s="19" t="n">
        <f aca="false">Sensitivity!$H$117</f>
        <v>-0.059354589839991</v>
      </c>
    </row>
    <row r="40" customFormat="false" ht="15" hidden="false" customHeight="false" outlineLevel="0" collapsed="false">
      <c r="A40" s="0" t="s">
        <v>390</v>
      </c>
      <c r="B40" s="19" t="n">
        <f aca="false">Sensitivity!$H$118</f>
        <v>-0.0386830256549264</v>
      </c>
      <c r="C40" s="19" t="n">
        <f aca="false">Sensitivity!$H$119</f>
        <v>-0.0406800651500475</v>
      </c>
      <c r="D40" s="19" t="n">
        <f aca="false">Sensitivity!$H$120</f>
        <v>-0.0426536854307169</v>
      </c>
      <c r="E40" s="19" t="n">
        <f aca="false">Sensitivity!$H$121</f>
        <v>-0.0446043772151636</v>
      </c>
      <c r="F40" s="19" t="n">
        <f aca="false">Sensitivity!$H$122</f>
        <v>-0.046532616535939</v>
      </c>
    </row>
    <row r="41" customFormat="false" ht="15" hidden="false" customHeight="false" outlineLevel="0" collapsed="false">
      <c r="A41" s="0" t="s">
        <v>391</v>
      </c>
      <c r="B41" s="19" t="n">
        <f aca="false">Sensitivity!$H$123</f>
        <v>-0.0263188056450953</v>
      </c>
      <c r="C41" s="19" t="n">
        <f aca="false">Sensitivity!$H$124</f>
        <v>-0.0283447508879162</v>
      </c>
      <c r="D41" s="19" t="n">
        <f aca="false">Sensitivity!$H$125</f>
        <v>-0.0303469176946547</v>
      </c>
      <c r="E41" s="19" t="n">
        <f aca="false">Sensitivity!$H$126</f>
        <v>-0.032325804622977</v>
      </c>
      <c r="F41" s="19" t="n">
        <f aca="false">Sensitivity!$H$127</f>
        <v>-0.0342818953027138</v>
      </c>
    </row>
    <row r="42" customFormat="false" ht="15" hidden="false" customHeight="false" outlineLevel="0" collapsed="false">
      <c r="A42" s="2" t="s">
        <v>374</v>
      </c>
    </row>
    <row r="43" customFormat="false" ht="15" hidden="false" customHeight="false" outlineLevel="0" collapsed="false">
      <c r="A43" s="0" t="s">
        <v>387</v>
      </c>
      <c r="B43" s="20" t="n">
        <f aca="false">Sensitivity!$I$103</f>
        <v>0.701519969206773</v>
      </c>
      <c r="C43" s="20" t="n">
        <f aca="false">Sensitivity!$I$104</f>
        <v>0.695232719899986</v>
      </c>
      <c r="D43" s="20" t="n">
        <f aca="false">Sensitivity!$I$105</f>
        <v>0.689057166271943</v>
      </c>
      <c r="E43" s="20" t="n">
        <f aca="false">Sensitivity!$I$106</f>
        <v>0.68299035804669</v>
      </c>
      <c r="F43" s="20" t="n">
        <f aca="false">Sensitivity!$I$107</f>
        <v>0.677029447944341</v>
      </c>
    </row>
    <row r="44" customFormat="false" ht="15" hidden="false" customHeight="false" outlineLevel="0" collapsed="false">
      <c r="A44" s="0" t="s">
        <v>388</v>
      </c>
      <c r="B44" s="20" t="n">
        <f aca="false">Sensitivity!$I$108</f>
        <v>0.749059443017286</v>
      </c>
      <c r="C44" s="20" t="n">
        <f aca="false">Sensitivity!$I$109</f>
        <v>0.742346129540012</v>
      </c>
      <c r="D44" s="20" t="n">
        <f aca="false">Sensitivity!$I$110</f>
        <v>0.735752080954088</v>
      </c>
      <c r="E44" s="20" t="n">
        <f aca="false">Sensitivity!$I$111</f>
        <v>0.729274147054019</v>
      </c>
      <c r="F44" s="20" t="n">
        <f aca="false">Sensitivity!$I$112</f>
        <v>0.722909287610045</v>
      </c>
    </row>
    <row r="45" customFormat="false" ht="15" hidden="false" customHeight="false" outlineLevel="0" collapsed="false">
      <c r="A45" s="0" t="s">
        <v>389</v>
      </c>
      <c r="B45" s="20" t="n">
        <f aca="false">Sensitivity!$I$113</f>
        <v>0.7965989168278</v>
      </c>
      <c r="C45" s="20" t="n">
        <f aca="false">Sensitivity!$I$114</f>
        <v>0.789459539180039</v>
      </c>
      <c r="D45" s="20" t="n">
        <f aca="false">Sensitivity!$I$115</f>
        <v>0.782446995636234</v>
      </c>
      <c r="E45" s="20" t="n">
        <f aca="false">Sensitivity!$I$116</f>
        <v>0.775557936061347</v>
      </c>
      <c r="F45" s="20" t="n">
        <f aca="false">Sensitivity!$I$117</f>
        <v>0.768789127275749</v>
      </c>
    </row>
    <row r="46" customFormat="false" ht="15" hidden="false" customHeight="false" outlineLevel="0" collapsed="false">
      <c r="A46" s="0" t="s">
        <v>390</v>
      </c>
      <c r="B46" s="20" t="n">
        <f aca="false">Sensitivity!$I$118</f>
        <v>0.844138390638314</v>
      </c>
      <c r="C46" s="20" t="n">
        <f aca="false">Sensitivity!$I$119</f>
        <v>0.836572948820066</v>
      </c>
      <c r="D46" s="20" t="n">
        <f aca="false">Sensitivity!$I$120</f>
        <v>0.82914191031838</v>
      </c>
      <c r="E46" s="20" t="n">
        <f aca="false">Sensitivity!$I$121</f>
        <v>0.821841725068676</v>
      </c>
      <c r="F46" s="20" t="n">
        <f aca="false">Sensitivity!$I$122</f>
        <v>0.814668966941453</v>
      </c>
    </row>
    <row r="47" customFormat="false" ht="15" hidden="false" customHeight="false" outlineLevel="0" collapsed="false">
      <c r="A47" s="0" t="s">
        <v>391</v>
      </c>
      <c r="B47" s="20" t="n">
        <f aca="false">Sensitivity!$I$123</f>
        <v>0.891677864448826</v>
      </c>
      <c r="C47" s="20" t="n">
        <f aca="false">Sensitivity!$I$124</f>
        <v>0.883686358460091</v>
      </c>
      <c r="D47" s="20" t="n">
        <f aca="false">Sensitivity!$I$125</f>
        <v>0.875836825000525</v>
      </c>
      <c r="E47" s="20" t="n">
        <f aca="false">Sensitivity!$I$126</f>
        <v>0.868125514076004</v>
      </c>
      <c r="F47" s="20" t="n">
        <f aca="false">Sensitivity!$I$127</f>
        <v>0.860548806607156</v>
      </c>
    </row>
    <row r="51" customFormat="false" ht="15" hidden="false" customHeight="false" outlineLevel="0" collapsed="false">
      <c r="A51" s="3" t="s">
        <v>392</v>
      </c>
      <c r="B51" s="3"/>
      <c r="C51" s="3"/>
      <c r="D51" s="3"/>
      <c r="E51" s="3"/>
      <c r="F51" s="3"/>
      <c r="G51" s="3"/>
      <c r="H51" s="3"/>
      <c r="I51" s="3"/>
    </row>
    <row r="52" customFormat="false" ht="15" hidden="false" customHeight="false" outlineLevel="0" collapsed="false">
      <c r="A52" s="16" t="s">
        <v>393</v>
      </c>
      <c r="B52" s="16" t="s">
        <v>268</v>
      </c>
      <c r="C52" s="16" t="s">
        <v>269</v>
      </c>
      <c r="D52" s="16" t="s">
        <v>270</v>
      </c>
      <c r="E52" s="16" t="s">
        <v>271</v>
      </c>
      <c r="F52" s="16" t="s">
        <v>272</v>
      </c>
      <c r="G52" s="16" t="s">
        <v>273</v>
      </c>
      <c r="H52" s="16" t="s">
        <v>394</v>
      </c>
      <c r="I52" s="16" t="s">
        <v>395</v>
      </c>
    </row>
    <row r="53" customFormat="false" ht="15" hidden="false" customHeight="false" outlineLevel="0" collapsed="false">
      <c r="A53" s="2" t="s">
        <v>396</v>
      </c>
      <c r="B53" s="18" t="n">
        <f aca="false">-(Capital!$B$12)</f>
        <v>-5528040</v>
      </c>
      <c r="C53" s="18" t="n">
        <f aca="false">(('Operating Model'!$B$45*(1+0.015)^1)-(Debt!$C$9*Assumptions!$C$88))</f>
        <v>369491.350035195</v>
      </c>
      <c r="D53" s="18" t="n">
        <f aca="false">(('Operating Model'!$B$45*(1+0.015)^2)-(Debt!$C$9*Assumptions!$C$88))</f>
        <v>384586.770285723</v>
      </c>
      <c r="E53" s="18" t="n">
        <f aca="false">(('Operating Model'!$B$45*(1+0.015)^3)-(-PMT(Assumptions!$C$88,Assumptions!$C$93,Debt!$C$9)))</f>
        <v>306643.536185385</v>
      </c>
      <c r="F53" s="18" t="n">
        <f aca="false">(('Operating Model'!$B$45*(1+0.015)^4)-(-PMT(Assumptions!$C$88,Assumptions!$C$93,Debt!$C$9)))</f>
        <v>322195.215512985</v>
      </c>
      <c r="G53" s="18" t="n">
        <f aca="false">(('Operating Model'!$B$45*(1+0.015)^5)-(-PMT(Assumptions!$C$88,Assumptions!$C$93,Debt!$C$9))+((('Operating Model'!$B$45*(1+0.015)^6)/((Returns!$B$33+0)+Returns!$B$36))*(1-Assumptions!$C$109)-(Debt!$C$9+CUMPRINC(Assumptions!$C$88,Assumptions!$C$93,Debt!$C$9,1,3,0))))</f>
        <v>4622976.94708194</v>
      </c>
      <c r="H53" s="19" t="n">
        <f aca="false">IFERROR(IRR(B53:G53),"N/A")</f>
        <v>0.0190562665993471</v>
      </c>
      <c r="I53" s="20" t="n">
        <f aca="false">SUM(C53:G53)/(Capital!$B$12)</f>
        <v>1.08644181646682</v>
      </c>
    </row>
    <row r="54" customFormat="false" ht="15" hidden="false" customHeight="false" outlineLevel="0" collapsed="false">
      <c r="A54" s="2" t="s">
        <v>397</v>
      </c>
      <c r="B54" s="18" t="n">
        <f aca="false">-(Capital!$B$12)</f>
        <v>-5528040</v>
      </c>
      <c r="C54" s="18" t="n">
        <f aca="false">(('Operating Model'!$B$45*(1+0.02)^1)-(Debt!$C$9*Assumptions!$C$88))</f>
        <v>374448.79510926</v>
      </c>
      <c r="D54" s="18" t="n">
        <f aca="false">(('Operating Model'!$B$45*(1+0.02)^2)-(Debt!$C$9*Assumptions!$C$88))</f>
        <v>394675.171011445</v>
      </c>
      <c r="E54" s="18" t="n">
        <f aca="false">(('Operating Model'!$B$45*(1+0.02)^3)-(-PMT(Assumptions!$C$88,Assumptions!$C$93,Debt!$C$9)))</f>
        <v>322040.988777051</v>
      </c>
      <c r="F54" s="18" t="n">
        <f aca="false">(('Operating Model'!$B$45*(1+0.02)^4)-(-PMT(Assumptions!$C$88,Assumptions!$C$93,Debt!$C$9)))</f>
        <v>343084.510265684</v>
      </c>
      <c r="G54" s="18" t="n">
        <f aca="false">(('Operating Model'!$B$45*(1+0.02)^5)-(-PMT(Assumptions!$C$88,Assumptions!$C$93,Debt!$C$9))+((('Operating Model'!$B$45*(1+0.02)^6)/((Returns!$B$33+0)+Returns!$B$36))*(1-Assumptions!$C$109)-(Debt!$C$9+CUMPRINC(Assumptions!$C$88,Assumptions!$C$93,Debt!$C$9,1,3,0))))</f>
        <v>5037194.75420266</v>
      </c>
      <c r="H54" s="19" t="n">
        <f aca="false">IFERROR(IRR(B54:G54),"N/A")</f>
        <v>0.0363984598704015</v>
      </c>
      <c r="I54" s="20" t="n">
        <f aca="false">SUM(C54:G54)/(Capital!$B$12)</f>
        <v>1.17065799440057</v>
      </c>
    </row>
    <row r="55" customFormat="false" ht="15" hidden="false" customHeight="false" outlineLevel="0" collapsed="false">
      <c r="A55" s="2" t="s">
        <v>398</v>
      </c>
      <c r="B55" s="18" t="n">
        <f aca="false">-(Capital!$B$12)</f>
        <v>-5528040</v>
      </c>
      <c r="C55" s="18" t="n">
        <f aca="false">(('Operating Model'!$B$45*(1+0.025)^1)-(Debt!$C$9*Assumptions!$C$88))</f>
        <v>379406.240183325</v>
      </c>
      <c r="D55" s="18" t="n">
        <f aca="false">(('Operating Model'!$B$45*(1+0.025)^2)-(Debt!$C$9*Assumptions!$C$88))</f>
        <v>404813.146187908</v>
      </c>
      <c r="E55" s="18" t="n">
        <f aca="false">(('Operating Model'!$B$45*(1+0.025)^3)-(-PMT(Assumptions!$C$88,Assumptions!$C$93,Debt!$C$9)))</f>
        <v>337590.139187982</v>
      </c>
      <c r="F55" s="18" t="n">
        <f aca="false">(('Operating Model'!$B$45*(1+0.025)^4)-(-PMT(Assumptions!$C$88,Assumptions!$C$93,Debt!$C$9)))</f>
        <v>364283.269809047</v>
      </c>
      <c r="G55" s="18" t="n">
        <f aca="false">(('Operating Model'!$B$45*(1+0.025)^5)-(-PMT(Assumptions!$C$88,Assumptions!$C$93,Debt!$C$9))+((('Operating Model'!$B$45*(1+0.025)^6)/((Returns!$B$33+0)+Returns!$B$36))*(1-Assumptions!$C$109)-(Debt!$C$9+CUMPRINC(Assumptions!$C$88,Assumptions!$C$93,Debt!$C$9,1,3,0))))</f>
        <v>5461557.19345039</v>
      </c>
      <c r="H55" s="19" t="n">
        <f aca="false">IFERROR(IRR(B55:G55),"N/A")</f>
        <v>0.05306312679559</v>
      </c>
      <c r="I55" s="20" t="n">
        <f aca="false">SUM(C55:G55)/(Capital!$B$12)</f>
        <v>1.25680168537468</v>
      </c>
    </row>
    <row r="56" customFormat="false" ht="15" hidden="false" customHeight="false" outlineLevel="0" collapsed="false">
      <c r="A56" s="2" t="s">
        <v>399</v>
      </c>
      <c r="B56" s="18" t="n">
        <f aca="false">-(Capital!$B$12)</f>
        <v>-5528040</v>
      </c>
      <c r="C56" s="18" t="n">
        <f aca="false">(('Operating Model'!$B$45*(1+0.03)^1)-(Debt!$C$9*Assumptions!$C$88))</f>
        <v>384363.68525739</v>
      </c>
      <c r="D56" s="18" t="n">
        <f aca="false">(('Operating Model'!$B$45*(1+0.03)^2)-(Debt!$C$9*Assumptions!$C$88))</f>
        <v>415000.695815112</v>
      </c>
      <c r="E56" s="18" t="n">
        <f aca="false">(('Operating Model'!$B$45*(1+0.03)^3)-(-PMT(Assumptions!$C$88,Assumptions!$C$93,Debt!$C$9)))</f>
        <v>353291.731034942</v>
      </c>
      <c r="F56" s="18" t="n">
        <f aca="false">(('Operating Model'!$B$45*(1+0.03)^4)-(-PMT(Assumptions!$C$88,Assumptions!$C$93,Debt!$C$9)))</f>
        <v>385794.535535629</v>
      </c>
      <c r="G56" s="18" t="n">
        <f aca="false">(('Operating Model'!$B$45*(1+0.03)^5)-(-PMT(Assumptions!$C$88,Assumptions!$C$93,Debt!$C$9))+((('Operating Model'!$B$45*(1+0.03)^6)/((Returns!$B$33+0)+Returns!$B$36))*(1-Assumptions!$C$109)-(Debt!$C$9+CUMPRINC(Assumptions!$C$88,Assumptions!$C$93,Debt!$C$9,1,3,0))))</f>
        <v>5896262.02721053</v>
      </c>
      <c r="H56" s="19" t="n">
        <f aca="false">IFERROR(IRR(B56:G56),"N/A")</f>
        <v>0.0691300167375857</v>
      </c>
      <c r="I56" s="20" t="n">
        <f aca="false">SUM(C56:G56)/(Capital!$B$12)</f>
        <v>1.34490934849487</v>
      </c>
    </row>
    <row r="57" customFormat="false" ht="15" hidden="false" customHeight="false" outlineLevel="0" collapsed="false">
      <c r="A57" s="2" t="s">
        <v>400</v>
      </c>
      <c r="B57" s="18" t="n">
        <f aca="false">-(Capital!$B$12)</f>
        <v>-5528040</v>
      </c>
      <c r="C57" s="18" t="n">
        <f aca="false">(('Operating Model'!$B$45*(1+0.035)^1)-(Debt!$C$9*Assumptions!$C$88))</f>
        <v>389321.130331455</v>
      </c>
      <c r="D57" s="18" t="n">
        <f aca="false">(('Operating Model'!$B$45*(1+0.035)^2)-(Debt!$C$9*Assumptions!$C$88))</f>
        <v>425237.819893056</v>
      </c>
      <c r="E57" s="18" t="n">
        <f aca="false">(('Operating Model'!$B$45*(1+0.035)^3)-(-PMT(Assumptions!$C$88,Assumptions!$C$93,Debt!$C$9)))</f>
        <v>369146.507934689</v>
      </c>
      <c r="F57" s="18" t="n">
        <f aca="false">(('Operating Model'!$B$45*(1+0.035)^4)-(-PMT(Assumptions!$C$88,Assumptions!$C$93,Debt!$C$9)))</f>
        <v>407621.363710315</v>
      </c>
      <c r="G57" s="18" t="n">
        <f aca="false">(('Operating Model'!$B$45*(1+0.035)^5)-(-PMT(Assumptions!$C$88,Assumptions!$C$93,Debt!$C$9))+((('Operating Model'!$B$45*(1+0.035)^6)/((Returns!$B$33+0)+Returns!$B$36))*(1-Assumptions!$C$109)-(Debt!$C$9+CUMPRINC(Assumptions!$C$88,Assumptions!$C$93,Debt!$C$9,1,3,0))))</f>
        <v>6341509.89481346</v>
      </c>
      <c r="H57" s="19" t="n">
        <f aca="false">IFERROR(IRR(B57:G57),"N/A")</f>
        <v>0.0846655810430054</v>
      </c>
      <c r="I57" s="20" t="n">
        <f aca="false">SUM(C57:G57)/(Capital!$B$12)</f>
        <v>1.43501796598487</v>
      </c>
    </row>
    <row r="58" customFormat="false" ht="15" hidden="false" customHeight="false" outlineLevel="0" collapsed="false">
      <c r="A58" s="2" t="s">
        <v>401</v>
      </c>
      <c r="B58" s="18" t="n">
        <f aca="false">-(Capital!$B$12)</f>
        <v>-5528040</v>
      </c>
      <c r="C58" s="18" t="n">
        <f aca="false">(('Operating Model'!$B$45*(1+0.015)^1)-(Debt!$C$9*Assumptions!$C$88))</f>
        <v>369491.350035195</v>
      </c>
      <c r="D58" s="18" t="n">
        <f aca="false">(('Operating Model'!$B$45*(1+0.015)^2)-(Debt!$C$9*Assumptions!$C$88))</f>
        <v>384586.770285723</v>
      </c>
      <c r="E58" s="18" t="n">
        <f aca="false">(('Operating Model'!$B$45*(1+0.015)^3)-(-PMT(Assumptions!$C$88,Assumptions!$C$93,Debt!$C$9)))</f>
        <v>306643.536185385</v>
      </c>
      <c r="F58" s="18" t="n">
        <f aca="false">(('Operating Model'!$B$45*(1+0.015)^4)-(-PMT(Assumptions!$C$88,Assumptions!$C$93,Debt!$C$9)))</f>
        <v>322195.215512985</v>
      </c>
      <c r="G58" s="18" t="n">
        <f aca="false">(('Operating Model'!$B$45*(1+0.015)^5)-(-PMT(Assumptions!$C$88,Assumptions!$C$93,Debt!$C$9))+((('Operating Model'!$B$45*(1+0.015)^6)/((Returns!$B$33+0.0025)+Returns!$B$36))*(1-Assumptions!$C$109)-(Debt!$C$9+CUMPRINC(Assumptions!$C$88,Assumptions!$C$93,Debt!$C$9,1,3,0))))</f>
        <v>4239751.23692179</v>
      </c>
      <c r="H58" s="19" t="n">
        <f aca="false">IFERROR(IRR(B58:G58),"N/A")</f>
        <v>0.00389817724018235</v>
      </c>
      <c r="I58" s="20" t="n">
        <f aca="false">SUM(C58:G58)/(Capital!$B$12)</f>
        <v>1.01711784085156</v>
      </c>
    </row>
    <row r="59" customFormat="false" ht="15" hidden="false" customHeight="false" outlineLevel="0" collapsed="false">
      <c r="A59" s="2" t="s">
        <v>402</v>
      </c>
      <c r="B59" s="18" t="n">
        <f aca="false">-(Capital!$B$12)</f>
        <v>-5528040</v>
      </c>
      <c r="C59" s="18" t="n">
        <f aca="false">(('Operating Model'!$B$45*(1+0.02)^1)-(Debt!$C$9*Assumptions!$C$88))</f>
        <v>374448.79510926</v>
      </c>
      <c r="D59" s="18" t="n">
        <f aca="false">(('Operating Model'!$B$45*(1+0.02)^2)-(Debt!$C$9*Assumptions!$C$88))</f>
        <v>394675.171011445</v>
      </c>
      <c r="E59" s="18" t="n">
        <f aca="false">(('Operating Model'!$B$45*(1+0.02)^3)-(-PMT(Assumptions!$C$88,Assumptions!$C$93,Debt!$C$9)))</f>
        <v>322040.988777051</v>
      </c>
      <c r="F59" s="18" t="n">
        <f aca="false">(('Operating Model'!$B$45*(1+0.02)^4)-(-PMT(Assumptions!$C$88,Assumptions!$C$93,Debt!$C$9)))</f>
        <v>343084.510265684</v>
      </c>
      <c r="G59" s="18" t="n">
        <f aca="false">(('Operating Model'!$B$45*(1+0.02)^5)-(-PMT(Assumptions!$C$88,Assumptions!$C$93,Debt!$C$9))+((('Operating Model'!$B$45*(1+0.02)^6)/((Returns!$B$33+0.0025)+Returns!$B$36))*(1-Assumptions!$C$109)-(Debt!$C$9+CUMPRINC(Assumptions!$C$88,Assumptions!$C$93,Debt!$C$9,1,3,0))))</f>
        <v>4642501.76270533</v>
      </c>
      <c r="H59" s="19" t="n">
        <f aca="false">IFERROR(IRR(B59:G59),"N/A")</f>
        <v>0.0218415059133077</v>
      </c>
      <c r="I59" s="20" t="n">
        <f aca="false">SUM(C59:G59)/(Capital!$B$12)</f>
        <v>1.09925963413231</v>
      </c>
    </row>
    <row r="60" customFormat="false" ht="15" hidden="false" customHeight="false" outlineLevel="0" collapsed="false">
      <c r="A60" s="2" t="s">
        <v>403</v>
      </c>
      <c r="B60" s="18" t="n">
        <f aca="false">-(Capital!$B$12)</f>
        <v>-5528040</v>
      </c>
      <c r="C60" s="18" t="n">
        <f aca="false">(('Operating Model'!$B$45*(1+0.025)^1)-(Debt!$C$9*Assumptions!$C$88))</f>
        <v>379406.240183325</v>
      </c>
      <c r="D60" s="18" t="n">
        <f aca="false">(('Operating Model'!$B$45*(1+0.025)^2)-(Debt!$C$9*Assumptions!$C$88))</f>
        <v>404813.146187908</v>
      </c>
      <c r="E60" s="18" t="n">
        <f aca="false">(('Operating Model'!$B$45*(1+0.025)^3)-(-PMT(Assumptions!$C$88,Assumptions!$C$93,Debt!$C$9)))</f>
        <v>337590.139187982</v>
      </c>
      <c r="F60" s="18" t="n">
        <f aca="false">(('Operating Model'!$B$45*(1+0.025)^4)-(-PMT(Assumptions!$C$88,Assumptions!$C$93,Debt!$C$9)))</f>
        <v>364283.269809047</v>
      </c>
      <c r="G60" s="18" t="n">
        <f aca="false">(('Operating Model'!$B$45*(1+0.025)^5)-(-PMT(Assumptions!$C$88,Assumptions!$C$93,Debt!$C$9))+((('Operating Model'!$B$45*(1+0.025)^6)/((Returns!$B$33+0.0025)+Returns!$B$36))*(1-Assumptions!$C$109)-(Debt!$C$9+CUMPRINC(Assumptions!$C$88,Assumptions!$C$93,Debt!$C$9,1,3,0))))</f>
        <v>5055112.38884276</v>
      </c>
      <c r="H60" s="19" t="n">
        <f aca="false">IFERROR(IRR(B60:G60),"N/A")</f>
        <v>0.0390284314437405</v>
      </c>
      <c r="I60" s="20" t="n">
        <f aca="false">SUM(C60:G60)/(Capital!$B$12)</f>
        <v>1.18327746981046</v>
      </c>
    </row>
    <row r="61" customFormat="false" ht="15" hidden="false" customHeight="false" outlineLevel="0" collapsed="false">
      <c r="A61" s="2" t="s">
        <v>404</v>
      </c>
      <c r="B61" s="18" t="n">
        <f aca="false">-(Capital!$B$12)</f>
        <v>-5528040</v>
      </c>
      <c r="C61" s="18" t="n">
        <f aca="false">(('Operating Model'!$B$45*(1+0.03)^1)-(Debt!$C$9*Assumptions!$C$88))</f>
        <v>384363.68525739</v>
      </c>
      <c r="D61" s="18" t="n">
        <f aca="false">(('Operating Model'!$B$45*(1+0.03)^2)-(Debt!$C$9*Assumptions!$C$88))</f>
        <v>415000.695815112</v>
      </c>
      <c r="E61" s="18" t="n">
        <f aca="false">(('Operating Model'!$B$45*(1+0.03)^3)-(-PMT(Assumptions!$C$88,Assumptions!$C$93,Debt!$C$9)))</f>
        <v>353291.731034942</v>
      </c>
      <c r="F61" s="18" t="n">
        <f aca="false">(('Operating Model'!$B$45*(1+0.03)^4)-(-PMT(Assumptions!$C$88,Assumptions!$C$93,Debt!$C$9)))</f>
        <v>385794.535535629</v>
      </c>
      <c r="G61" s="18" t="n">
        <f aca="false">(('Operating Model'!$B$45*(1+0.03)^5)-(-PMT(Assumptions!$C$88,Assumptions!$C$93,Debt!$C$9))+((('Operating Model'!$B$45*(1+0.03)^6)/((Returns!$B$33+0.0025)+Returns!$B$36))*(1-Assumptions!$C$109)-(Debt!$C$9+CUMPRINC(Assumptions!$C$88,Assumptions!$C$93,Debt!$C$9,1,3,0))))</f>
        <v>5477775.25757628</v>
      </c>
      <c r="H61" s="19" t="n">
        <f aca="false">IFERROR(IRR(B61:G61),"N/A")</f>
        <v>0.0555526737588777</v>
      </c>
      <c r="I61" s="20" t="n">
        <f aca="false">SUM(C61:G61)/(Capital!$B$12)</f>
        <v>1.26920679033063</v>
      </c>
    </row>
    <row r="62" customFormat="false" ht="15" hidden="false" customHeight="false" outlineLevel="0" collapsed="false">
      <c r="A62" s="2" t="s">
        <v>405</v>
      </c>
      <c r="B62" s="18" t="n">
        <f aca="false">-(Capital!$B$12)</f>
        <v>-5528040</v>
      </c>
      <c r="C62" s="18" t="n">
        <f aca="false">(('Operating Model'!$B$45*(1+0.035)^1)-(Debt!$C$9*Assumptions!$C$88))</f>
        <v>389321.130331455</v>
      </c>
      <c r="D62" s="18" t="n">
        <f aca="false">(('Operating Model'!$B$45*(1+0.035)^2)-(Debt!$C$9*Assumptions!$C$88))</f>
        <v>425237.819893056</v>
      </c>
      <c r="E62" s="18" t="n">
        <f aca="false">(('Operating Model'!$B$45*(1+0.035)^3)-(-PMT(Assumptions!$C$88,Assumptions!$C$93,Debt!$C$9)))</f>
        <v>369146.507934689</v>
      </c>
      <c r="F62" s="18" t="n">
        <f aca="false">(('Operating Model'!$B$45*(1+0.035)^4)-(-PMT(Assumptions!$C$88,Assumptions!$C$93,Debt!$C$9)))</f>
        <v>407621.363710315</v>
      </c>
      <c r="G62" s="18" t="n">
        <f aca="false">(('Operating Model'!$B$45*(1+0.035)^5)-(-PMT(Assumptions!$C$88,Assumptions!$C$93,Debt!$C$9))+((('Operating Model'!$B$45*(1+0.035)^6)/((Returns!$B$33+0.0025)+Returns!$B$36))*(1-Assumptions!$C$109)-(Debt!$C$9+CUMPRINC(Assumptions!$C$88,Assumptions!$C$93,Debt!$C$9,1,3,0))))</f>
        <v>5910685.30524313</v>
      </c>
      <c r="H62" s="19" t="n">
        <f aca="false">IFERROR(IRR(B62:G62),"N/A")</f>
        <v>0.0714915027970177</v>
      </c>
      <c r="I62" s="20" t="n">
        <f aca="false">SUM(C62:G62)/(Capital!$B$12)</f>
        <v>1.35708354626823</v>
      </c>
    </row>
    <row r="63" customFormat="false" ht="15" hidden="false" customHeight="false" outlineLevel="0" collapsed="false">
      <c r="A63" s="2" t="s">
        <v>406</v>
      </c>
      <c r="B63" s="18" t="n">
        <f aca="false">-(Capital!$B$12)</f>
        <v>-5528040</v>
      </c>
      <c r="C63" s="18" t="n">
        <f aca="false">(('Operating Model'!$B$45*(1+0.015)^1)-(Debt!$C$9*Assumptions!$C$88))</f>
        <v>369491.350035195</v>
      </c>
      <c r="D63" s="18" t="n">
        <f aca="false">(('Operating Model'!$B$45*(1+0.015)^2)-(Debt!$C$9*Assumptions!$C$88))</f>
        <v>384586.770285723</v>
      </c>
      <c r="E63" s="18" t="n">
        <f aca="false">(('Operating Model'!$B$45*(1+0.015)^3)-(-PMT(Assumptions!$C$88,Assumptions!$C$93,Debt!$C$9)))</f>
        <v>306643.536185385</v>
      </c>
      <c r="F63" s="18" t="n">
        <f aca="false">(('Operating Model'!$B$45*(1+0.015)^4)-(-PMT(Assumptions!$C$88,Assumptions!$C$93,Debt!$C$9)))</f>
        <v>322195.215512985</v>
      </c>
      <c r="G63" s="18" t="n">
        <f aca="false">(('Operating Model'!$B$45*(1+0.015)^5)-(-PMT(Assumptions!$C$88,Assumptions!$C$93,Debt!$C$9))+((('Operating Model'!$B$45*(1+0.015)^6)/((Returns!$B$33+0.005)+Returns!$B$36))*(1-Assumptions!$C$109)-(Debt!$C$9+CUMPRINC(Assumptions!$C$88,Assumptions!$C$93,Debt!$C$9,1,3,0))))</f>
        <v>3878546.95968279</v>
      </c>
      <c r="H63" s="19" t="n">
        <f aca="false">IFERROR(IRR(B63:G63),"N/A")</f>
        <v>-0.0113464091745479</v>
      </c>
      <c r="I63" s="20" t="n">
        <f aca="false">SUM(C63:G63)/(Capital!$B$12)</f>
        <v>0.951777453075968</v>
      </c>
    </row>
    <row r="64" customFormat="false" ht="15" hidden="false" customHeight="false" outlineLevel="0" collapsed="false">
      <c r="A64" s="2" t="s">
        <v>407</v>
      </c>
      <c r="B64" s="18" t="n">
        <f aca="false">-(Capital!$B$12)</f>
        <v>-5528040</v>
      </c>
      <c r="C64" s="18" t="n">
        <f aca="false">(('Operating Model'!$B$45*(1+0.02)^1)-(Debt!$C$9*Assumptions!$C$88))</f>
        <v>374448.79510926</v>
      </c>
      <c r="D64" s="18" t="n">
        <f aca="false">(('Operating Model'!$B$45*(1+0.02)^2)-(Debt!$C$9*Assumptions!$C$88))</f>
        <v>394675.171011445</v>
      </c>
      <c r="E64" s="18" t="n">
        <f aca="false">(('Operating Model'!$B$45*(1+0.02)^3)-(-PMT(Assumptions!$C$88,Assumptions!$C$93,Debt!$C$9)))</f>
        <v>322040.988777051</v>
      </c>
      <c r="F64" s="18" t="n">
        <f aca="false">(('Operating Model'!$B$45*(1+0.02)^4)-(-PMT(Assumptions!$C$88,Assumptions!$C$93,Debt!$C$9)))</f>
        <v>343084.510265684</v>
      </c>
      <c r="G64" s="18" t="n">
        <f aca="false">(('Operating Model'!$B$45*(1+0.02)^5)-(-PMT(Assumptions!$C$88,Assumptions!$C$93,Debt!$C$9))+((('Operating Model'!$B$45*(1+0.02)^6)/((Returns!$B$33+0.005)+Returns!$B$36))*(1-Assumptions!$C$109)-(Debt!$C$9+CUMPRINC(Assumptions!$C$88,Assumptions!$C$93,Debt!$C$9,1,3,0))))</f>
        <v>4270489.15252447</v>
      </c>
      <c r="H64" s="19" t="n">
        <f aca="false">IFERROR(IRR(B64:G64),"N/A")</f>
        <v>0.00725721807130849</v>
      </c>
      <c r="I64" s="20" t="n">
        <f aca="false">SUM(C64:G64)/(Capital!$B$12)</f>
        <v>1.03196406279403</v>
      </c>
    </row>
    <row r="65" customFormat="false" ht="15" hidden="false" customHeight="false" outlineLevel="0" collapsed="false">
      <c r="A65" s="2" t="s">
        <v>408</v>
      </c>
      <c r="B65" s="18" t="n">
        <f aca="false">-(Capital!$B$12)</f>
        <v>-5528040</v>
      </c>
      <c r="C65" s="18" t="n">
        <f aca="false">(('Operating Model'!$B$45*(1+0.025)^1)-(Debt!$C$9*Assumptions!$C$88))</f>
        <v>379406.240183325</v>
      </c>
      <c r="D65" s="18" t="n">
        <f aca="false">(('Operating Model'!$B$45*(1+0.025)^2)-(Debt!$C$9*Assumptions!$C$88))</f>
        <v>404813.146187908</v>
      </c>
      <c r="E65" s="18" t="n">
        <f aca="false">(('Operating Model'!$B$45*(1+0.025)^3)-(-PMT(Assumptions!$C$88,Assumptions!$C$93,Debt!$C$9)))</f>
        <v>337590.139187982</v>
      </c>
      <c r="F65" s="18" t="n">
        <f aca="false">(('Operating Model'!$B$45*(1+0.025)^4)-(-PMT(Assumptions!$C$88,Assumptions!$C$93,Debt!$C$9)))</f>
        <v>364283.269809047</v>
      </c>
      <c r="G65" s="18" t="n">
        <f aca="false">(('Operating Model'!$B$45*(1+0.025)^5)-(-PMT(Assumptions!$C$88,Assumptions!$C$93,Debt!$C$9))+((('Operating Model'!$B$45*(1+0.025)^6)/((Returns!$B$33+0.005)+Returns!$B$36))*(1-Assumptions!$C$109)-(Debt!$C$9+CUMPRINC(Assumptions!$C$88,Assumptions!$C$93,Debt!$C$9,1,3,0))))</f>
        <v>4672023.26409564</v>
      </c>
      <c r="H65" s="19" t="n">
        <f aca="false">IFERROR(IRR(B65:G65),"N/A")</f>
        <v>0.0250134637638123</v>
      </c>
      <c r="I65" s="20" t="n">
        <f aca="false">SUM(C65:G65)/(Capital!$B$12)</f>
        <v>1.11397820194208</v>
      </c>
    </row>
    <row r="66" customFormat="false" ht="15" hidden="false" customHeight="false" outlineLevel="0" collapsed="false">
      <c r="A66" s="2" t="s">
        <v>409</v>
      </c>
      <c r="B66" s="18" t="n">
        <f aca="false">-(Capital!$B$12)</f>
        <v>-5528040</v>
      </c>
      <c r="C66" s="18" t="n">
        <f aca="false">(('Operating Model'!$B$45*(1+0.03)^1)-(Debt!$C$9*Assumptions!$C$88))</f>
        <v>384363.68525739</v>
      </c>
      <c r="D66" s="18" t="n">
        <f aca="false">(('Operating Model'!$B$45*(1+0.03)^2)-(Debt!$C$9*Assumptions!$C$88))</f>
        <v>415000.695815112</v>
      </c>
      <c r="E66" s="18" t="n">
        <f aca="false">(('Operating Model'!$B$45*(1+0.03)^3)-(-PMT(Assumptions!$C$88,Assumptions!$C$93,Debt!$C$9)))</f>
        <v>353291.731034942</v>
      </c>
      <c r="F66" s="18" t="n">
        <f aca="false">(('Operating Model'!$B$45*(1+0.03)^4)-(-PMT(Assumptions!$C$88,Assumptions!$C$93,Debt!$C$9)))</f>
        <v>385794.535535629</v>
      </c>
      <c r="G66" s="18" t="n">
        <f aca="false">(('Operating Model'!$B$45*(1+0.03)^5)-(-PMT(Assumptions!$C$88,Assumptions!$C$93,Debt!$C$9))+((('Operating Model'!$B$45*(1+0.03)^6)/((Returns!$B$33+0.005)+Returns!$B$36))*(1-Assumptions!$C$109)-(Debt!$C$9+CUMPRINC(Assumptions!$C$88,Assumptions!$C$93,Debt!$C$9,1,3,0))))</f>
        <v>5083336.13944755</v>
      </c>
      <c r="H66" s="19" t="n">
        <f aca="false">IFERROR(IRR(B66:G66),"N/A")</f>
        <v>0.0420330531295092</v>
      </c>
      <c r="I66" s="20" t="n">
        <f aca="false">SUM(C66:G66)/(Capital!$B$12)</f>
        <v>1.19785435472439</v>
      </c>
    </row>
    <row r="67" customFormat="false" ht="15" hidden="false" customHeight="false" outlineLevel="0" collapsed="false">
      <c r="A67" s="2" t="s">
        <v>410</v>
      </c>
      <c r="B67" s="18" t="n">
        <f aca="false">-(Capital!$B$12)</f>
        <v>-5528040</v>
      </c>
      <c r="C67" s="18" t="n">
        <f aca="false">(('Operating Model'!$B$45*(1+0.035)^1)-(Debt!$C$9*Assumptions!$C$88))</f>
        <v>389321.130331455</v>
      </c>
      <c r="D67" s="18" t="n">
        <f aca="false">(('Operating Model'!$B$45*(1+0.035)^2)-(Debt!$C$9*Assumptions!$C$88))</f>
        <v>425237.819893056</v>
      </c>
      <c r="E67" s="18" t="n">
        <f aca="false">(('Operating Model'!$B$45*(1+0.035)^3)-(-PMT(Assumptions!$C$88,Assumptions!$C$93,Debt!$C$9)))</f>
        <v>369146.507934689</v>
      </c>
      <c r="F67" s="18" t="n">
        <f aca="false">(('Operating Model'!$B$45*(1+0.035)^4)-(-PMT(Assumptions!$C$88,Assumptions!$C$93,Debt!$C$9)))</f>
        <v>407621.363710315</v>
      </c>
      <c r="G67" s="18" t="n">
        <f aca="false">(('Operating Model'!$B$45*(1+0.035)^5)-(-PMT(Assumptions!$C$88,Assumptions!$C$93,Debt!$C$9))+((('Operating Model'!$B$45*(1+0.035)^6)/((Returns!$B$33+0.005)+Returns!$B$36))*(1-Assumptions!$C$109)-(Debt!$C$9+CUMPRINC(Assumptions!$C$88,Assumptions!$C$93,Debt!$C$9,1,3,0))))</f>
        <v>5504617.33963741</v>
      </c>
      <c r="H67" s="19" t="n">
        <f aca="false">IFERROR(IRR(B67:G67),"N/A")</f>
        <v>0.0584062249643898</v>
      </c>
      <c r="I67" s="20" t="n">
        <f aca="false">SUM(C67:G67)/(Capital!$B$12)</f>
        <v>1.28362749935003</v>
      </c>
    </row>
    <row r="68" customFormat="false" ht="15" hidden="false" customHeight="false" outlineLevel="0" collapsed="false">
      <c r="A68" s="2" t="s">
        <v>411</v>
      </c>
      <c r="B68" s="18" t="n">
        <f aca="false">-(Capital!$B$12)</f>
        <v>-5528040</v>
      </c>
      <c r="C68" s="18" t="n">
        <f aca="false">(('Operating Model'!$B$45*(1+0.015)^1)-(Debt!$C$9*Assumptions!$C$88))</f>
        <v>369491.350035195</v>
      </c>
      <c r="D68" s="18" t="n">
        <f aca="false">(('Operating Model'!$B$45*(1+0.015)^2)-(Debt!$C$9*Assumptions!$C$88))</f>
        <v>384586.770285723</v>
      </c>
      <c r="E68" s="18" t="n">
        <f aca="false">(('Operating Model'!$B$45*(1+0.015)^3)-(-PMT(Assumptions!$C$88,Assumptions!$C$93,Debt!$C$9)))</f>
        <v>306643.536185385</v>
      </c>
      <c r="F68" s="18" t="n">
        <f aca="false">(('Operating Model'!$B$45*(1+0.015)^4)-(-PMT(Assumptions!$C$88,Assumptions!$C$93,Debt!$C$9)))</f>
        <v>322195.215512985</v>
      </c>
      <c r="G68" s="18" t="n">
        <f aca="false">(('Operating Model'!$B$45*(1+0.015)^5)-(-PMT(Assumptions!$C$88,Assumptions!$C$93,Debt!$C$9))+((('Operating Model'!$B$45*(1+0.015)^6)/((Returns!$B$33+0.0075)+Returns!$B$36))*(1-Assumptions!$C$109)-(Debt!$C$9+CUMPRINC(Assumptions!$C$88,Assumptions!$C$93,Debt!$C$9,1,3,0))))</f>
        <v>3537518.9909352</v>
      </c>
      <c r="H68" s="19" t="n">
        <f aca="false">IFERROR(IRR(B68:G68),"N/A")</f>
        <v>-0.0267298470790531</v>
      </c>
      <c r="I68" s="20" t="n">
        <f aca="false">SUM(C68:G68)/(Capital!$B$12)</f>
        <v>0.89008687761928</v>
      </c>
    </row>
    <row r="69" customFormat="false" ht="15" hidden="false" customHeight="false" outlineLevel="0" collapsed="false">
      <c r="A69" s="2" t="s">
        <v>412</v>
      </c>
      <c r="B69" s="18" t="n">
        <f aca="false">-(Capital!$B$12)</f>
        <v>-5528040</v>
      </c>
      <c r="C69" s="18" t="n">
        <f aca="false">(('Operating Model'!$B$45*(1+0.02)^1)-(Debt!$C$9*Assumptions!$C$88))</f>
        <v>374448.79510926</v>
      </c>
      <c r="D69" s="18" t="n">
        <f aca="false">(('Operating Model'!$B$45*(1+0.02)^2)-(Debt!$C$9*Assumptions!$C$88))</f>
        <v>394675.171011445</v>
      </c>
      <c r="E69" s="18" t="n">
        <f aca="false">(('Operating Model'!$B$45*(1+0.02)^3)-(-PMT(Assumptions!$C$88,Assumptions!$C$93,Debt!$C$9)))</f>
        <v>322040.988777051</v>
      </c>
      <c r="F69" s="18" t="n">
        <f aca="false">(('Operating Model'!$B$45*(1+0.02)^4)-(-PMT(Assumptions!$C$88,Assumptions!$C$93,Debt!$C$9)))</f>
        <v>343084.510265684</v>
      </c>
      <c r="G69" s="18" t="n">
        <f aca="false">(('Operating Model'!$B$45*(1+0.02)^5)-(-PMT(Assumptions!$C$88,Assumptions!$C$93,Debt!$C$9))+((('Operating Model'!$B$45*(1+0.02)^6)/((Returns!$B$33+0.0075)+Returns!$B$36))*(1-Assumptions!$C$109)-(Debt!$C$9+CUMPRINC(Assumptions!$C$88,Assumptions!$C$93,Debt!$C$9,1,3,0))))</f>
        <v>3919256.58748338</v>
      </c>
      <c r="H69" s="19" t="n">
        <f aca="false">IFERROR(IRR(B69:G69),"N/A")</f>
        <v>-0.00739772040672395</v>
      </c>
      <c r="I69" s="20" t="n">
        <f aca="false">SUM(C69:G69)/(Capital!$B$12)</f>
        <v>0.968427517284033</v>
      </c>
    </row>
    <row r="70" customFormat="false" ht="15" hidden="false" customHeight="false" outlineLevel="0" collapsed="false">
      <c r="A70" s="2" t="s">
        <v>413</v>
      </c>
      <c r="B70" s="18" t="n">
        <f aca="false">-(Capital!$B$12)</f>
        <v>-5528040</v>
      </c>
      <c r="C70" s="18" t="n">
        <f aca="false">(('Operating Model'!$B$45*(1+0.025)^1)-(Debt!$C$9*Assumptions!$C$88))</f>
        <v>379406.240183325</v>
      </c>
      <c r="D70" s="18" t="n">
        <f aca="false">(('Operating Model'!$B$45*(1+0.025)^2)-(Debt!$C$9*Assumptions!$C$88))</f>
        <v>404813.146187908</v>
      </c>
      <c r="E70" s="18" t="n">
        <f aca="false">(('Operating Model'!$B$45*(1+0.025)^3)-(-PMT(Assumptions!$C$88,Assumptions!$C$93,Debt!$C$9)))</f>
        <v>337590.139187982</v>
      </c>
      <c r="F70" s="18" t="n">
        <f aca="false">(('Operating Model'!$B$45*(1+0.025)^4)-(-PMT(Assumptions!$C$88,Assumptions!$C$93,Debt!$C$9)))</f>
        <v>364283.269809047</v>
      </c>
      <c r="G70" s="18" t="n">
        <f aca="false">(('Operating Model'!$B$45*(1+0.025)^5)-(-PMT(Assumptions!$C$88,Assumptions!$C$93,Debt!$C$9))+((('Operating Model'!$B$45*(1+0.025)^6)/((Returns!$B$33+0.0075)+Returns!$B$36))*(1-Assumptions!$C$109)-(Debt!$C$9+CUMPRINC(Assumptions!$C$88,Assumptions!$C$93,Debt!$C$9,1,3,0))))</f>
        <v>4310332.90134461</v>
      </c>
      <c r="H70" s="19" t="n">
        <f aca="false">IFERROR(IRR(B70:G70),"N/A")</f>
        <v>0.0109813423125154</v>
      </c>
      <c r="I70" s="20" t="n">
        <f aca="false">SUM(C70:G70)/(Capital!$B$12)</f>
        <v>1.04854988327018</v>
      </c>
    </row>
    <row r="71" customFormat="false" ht="15" hidden="false" customHeight="false" outlineLevel="0" collapsed="false">
      <c r="A71" s="2" t="s">
        <v>414</v>
      </c>
      <c r="B71" s="18" t="n">
        <f aca="false">-(Capital!$B$12)</f>
        <v>-5528040</v>
      </c>
      <c r="C71" s="18" t="n">
        <f aca="false">(('Operating Model'!$B$45*(1+0.03)^1)-(Debt!$C$9*Assumptions!$C$88))</f>
        <v>384363.68525739</v>
      </c>
      <c r="D71" s="18" t="n">
        <f aca="false">(('Operating Model'!$B$45*(1+0.03)^2)-(Debt!$C$9*Assumptions!$C$88))</f>
        <v>415000.695815112</v>
      </c>
      <c r="E71" s="18" t="n">
        <f aca="false">(('Operating Model'!$B$45*(1+0.03)^3)-(-PMT(Assumptions!$C$88,Assumptions!$C$93,Debt!$C$9)))</f>
        <v>353291.731034942</v>
      </c>
      <c r="F71" s="18" t="n">
        <f aca="false">(('Operating Model'!$B$45*(1+0.03)^4)-(-PMT(Assumptions!$C$88,Assumptions!$C$93,Debt!$C$9)))</f>
        <v>385794.535535629</v>
      </c>
      <c r="G71" s="18" t="n">
        <f aca="false">(('Operating Model'!$B$45*(1+0.03)^5)-(-PMT(Assumptions!$C$88,Assumptions!$C$93,Debt!$C$9))+((('Operating Model'!$B$45*(1+0.03)^6)/((Returns!$B$33+0.0075)+Returns!$B$36))*(1-Assumptions!$C$109)-(Debt!$C$9+CUMPRINC(Assumptions!$C$88,Assumptions!$C$93,Debt!$C$9,1,3,0))))</f>
        <v>4710929.776272</v>
      </c>
      <c r="H71" s="19" t="n">
        <f aca="false">IFERROR(IRR(B71:G71),"N/A")</f>
        <v>0.0285389452350935</v>
      </c>
      <c r="I71" s="20" t="n">
        <f aca="false">SUM(C71:G71)/(Capital!$B$12)</f>
        <v>1.13048755506745</v>
      </c>
    </row>
    <row r="72" customFormat="false" ht="15" hidden="false" customHeight="false" outlineLevel="0" collapsed="false">
      <c r="A72" s="2" t="s">
        <v>415</v>
      </c>
      <c r="B72" s="18" t="n">
        <f aca="false">-(Capital!$B$12)</f>
        <v>-5528040</v>
      </c>
      <c r="C72" s="18" t="n">
        <f aca="false">(('Operating Model'!$B$45*(1+0.035)^1)-(Debt!$C$9*Assumptions!$C$88))</f>
        <v>389321.130331455</v>
      </c>
      <c r="D72" s="18" t="n">
        <f aca="false">(('Operating Model'!$B$45*(1+0.035)^2)-(Debt!$C$9*Assumptions!$C$88))</f>
        <v>425237.819893056</v>
      </c>
      <c r="E72" s="18" t="n">
        <f aca="false">(('Operating Model'!$B$45*(1+0.035)^3)-(-PMT(Assumptions!$C$88,Assumptions!$C$93,Debt!$C$9)))</f>
        <v>369146.507934689</v>
      </c>
      <c r="F72" s="18" t="n">
        <f aca="false">(('Operating Model'!$B$45*(1+0.035)^4)-(-PMT(Assumptions!$C$88,Assumptions!$C$93,Debt!$C$9)))</f>
        <v>407621.363710315</v>
      </c>
      <c r="G72" s="18" t="n">
        <f aca="false">(('Operating Model'!$B$45*(1+0.035)^5)-(-PMT(Assumptions!$C$88,Assumptions!$C$93,Debt!$C$9))+((('Operating Model'!$B$45*(1+0.035)^6)/((Returns!$B$33+0.0075)+Returns!$B$36))*(1-Assumptions!$C$109)-(Debt!$C$9+CUMPRINC(Assumptions!$C$88,Assumptions!$C$93,Debt!$C$9,1,3,0))))</f>
        <v>5121231.69829753</v>
      </c>
      <c r="H72" s="19" t="n">
        <f aca="false">IFERROR(IRR(B72:G72),"N/A")</f>
        <v>0.0453809852621668</v>
      </c>
      <c r="I72" s="20" t="n">
        <f aca="false">SUM(C72:G72)/(Capital!$B$12)</f>
        <v>1.21427459283345</v>
      </c>
    </row>
    <row r="73" customFormat="false" ht="15" hidden="false" customHeight="false" outlineLevel="0" collapsed="false">
      <c r="A73" s="2" t="s">
        <v>416</v>
      </c>
      <c r="B73" s="18" t="n">
        <f aca="false">-(Capital!$B$12)</f>
        <v>-5528040</v>
      </c>
      <c r="C73" s="18" t="n">
        <f aca="false">(('Operating Model'!$B$45*(1+0.015)^1)-(Debt!$C$9*Assumptions!$C$88))</f>
        <v>369491.350035195</v>
      </c>
      <c r="D73" s="18" t="n">
        <f aca="false">(('Operating Model'!$B$45*(1+0.015)^2)-(Debt!$C$9*Assumptions!$C$88))</f>
        <v>384586.770285723</v>
      </c>
      <c r="E73" s="18" t="n">
        <f aca="false">(('Operating Model'!$B$45*(1+0.015)^3)-(-PMT(Assumptions!$C$88,Assumptions!$C$93,Debt!$C$9)))</f>
        <v>306643.536185385</v>
      </c>
      <c r="F73" s="18" t="n">
        <f aca="false">(('Operating Model'!$B$45*(1+0.015)^4)-(-PMT(Assumptions!$C$88,Assumptions!$C$93,Debt!$C$9)))</f>
        <v>322195.215512985</v>
      </c>
      <c r="G73" s="18" t="n">
        <f aca="false">(('Operating Model'!$B$45*(1+0.015)^5)-(-PMT(Assumptions!$C$88,Assumptions!$C$93,Debt!$C$9))+((('Operating Model'!$B$45*(1+0.015)^6)/((Returns!$B$33+0.01)+Returns!$B$36))*(1-Assumptions!$C$109)-(Debt!$C$9+CUMPRINC(Assumptions!$C$88,Assumptions!$C$93,Debt!$C$9,1,3,0))))</f>
        <v>3215022.73713299</v>
      </c>
      <c r="H73" s="19" t="n">
        <f aca="false">IFERROR(IRR(B73:G73),"N/A")</f>
        <v>-0.0423094654681961</v>
      </c>
      <c r="I73" s="20" t="n">
        <f aca="false">SUM(C73:G73)/(Capital!$B$12)</f>
        <v>0.831748614183738</v>
      </c>
    </row>
    <row r="74" customFormat="false" ht="15" hidden="false" customHeight="false" outlineLevel="0" collapsed="false">
      <c r="A74" s="2" t="s">
        <v>417</v>
      </c>
      <c r="B74" s="18" t="n">
        <f aca="false">-(Capital!$B$12)</f>
        <v>-5528040</v>
      </c>
      <c r="C74" s="18" t="n">
        <f aca="false">(('Operating Model'!$B$45*(1+0.02)^1)-(Debt!$C$9*Assumptions!$C$88))</f>
        <v>374448.79510926</v>
      </c>
      <c r="D74" s="18" t="n">
        <f aca="false">(('Operating Model'!$B$45*(1+0.02)^2)-(Debt!$C$9*Assumptions!$C$88))</f>
        <v>394675.171011445</v>
      </c>
      <c r="E74" s="18" t="n">
        <f aca="false">(('Operating Model'!$B$45*(1+0.02)^3)-(-PMT(Assumptions!$C$88,Assumptions!$C$93,Debt!$C$9)))</f>
        <v>322040.988777051</v>
      </c>
      <c r="F74" s="18" t="n">
        <f aca="false">(('Operating Model'!$B$45*(1+0.02)^4)-(-PMT(Assumptions!$C$88,Assumptions!$C$93,Debt!$C$9)))</f>
        <v>343084.510265684</v>
      </c>
      <c r="G74" s="18" t="n">
        <f aca="false">(('Operating Model'!$B$45*(1+0.02)^5)-(-PMT(Assumptions!$C$88,Assumptions!$C$93,Debt!$C$9))+((('Operating Model'!$B$45*(1+0.02)^6)/((Returns!$B$33+0.01)+Returns!$B$36))*(1-Assumptions!$C$109)-(Debt!$C$9+CUMPRINC(Assumptions!$C$88,Assumptions!$C$93,Debt!$C$9,1,3,0))))</f>
        <v>3587110.26278434</v>
      </c>
      <c r="H74" s="19" t="n">
        <f aca="false">IFERROR(IRR(B74:G74),"N/A")</f>
        <v>-0.0221695212336297</v>
      </c>
      <c r="I74" s="20" t="n">
        <f aca="false">SUM(C74:G74)/(Capital!$B$12)</f>
        <v>0.908343595188852</v>
      </c>
    </row>
    <row r="75" customFormat="false" ht="15" hidden="false" customHeight="false" outlineLevel="0" collapsed="false">
      <c r="A75" s="2" t="s">
        <v>418</v>
      </c>
      <c r="B75" s="18" t="n">
        <f aca="false">-(Capital!$B$12)</f>
        <v>-5528040</v>
      </c>
      <c r="C75" s="18" t="n">
        <f aca="false">(('Operating Model'!$B$45*(1+0.025)^1)-(Debt!$C$9*Assumptions!$C$88))</f>
        <v>379406.240183325</v>
      </c>
      <c r="D75" s="18" t="n">
        <f aca="false">(('Operating Model'!$B$45*(1+0.025)^2)-(Debt!$C$9*Assumptions!$C$88))</f>
        <v>404813.146187908</v>
      </c>
      <c r="E75" s="18" t="n">
        <f aca="false">(('Operating Model'!$B$45*(1+0.025)^3)-(-PMT(Assumptions!$C$88,Assumptions!$C$93,Debt!$C$9)))</f>
        <v>337590.139187982</v>
      </c>
      <c r="F75" s="18" t="n">
        <f aca="false">(('Operating Model'!$B$45*(1+0.025)^4)-(-PMT(Assumptions!$C$88,Assumptions!$C$93,Debt!$C$9)))</f>
        <v>364283.269809047</v>
      </c>
      <c r="G75" s="18" t="n">
        <f aca="false">(('Operating Model'!$B$45*(1+0.025)^5)-(-PMT(Assumptions!$C$88,Assumptions!$C$93,Debt!$C$9))+((('Operating Model'!$B$45*(1+0.025)^6)/((Returns!$B$33+0.01)+Returns!$B$36))*(1-Assumptions!$C$109)-(Debt!$C$9+CUMPRINC(Assumptions!$C$88,Assumptions!$C$93,Debt!$C$9,1,3,0))))</f>
        <v>3968297.06348667</v>
      </c>
      <c r="H75" s="19" t="n">
        <f aca="false">IFERROR(IRR(B75:G75),"N/A")</f>
        <v>-0.00310637444482752</v>
      </c>
      <c r="I75" s="20" t="n">
        <f aca="false">SUM(C75:G75)/(Capital!$B$12)</f>
        <v>0.986676988381946</v>
      </c>
    </row>
    <row r="76" customFormat="false" ht="15" hidden="false" customHeight="false" outlineLevel="0" collapsed="false">
      <c r="A76" s="2" t="s">
        <v>419</v>
      </c>
      <c r="B76" s="18" t="n">
        <f aca="false">-(Capital!$B$12)</f>
        <v>-5528040</v>
      </c>
      <c r="C76" s="18" t="n">
        <f aca="false">(('Operating Model'!$B$45*(1+0.03)^1)-(Debt!$C$9*Assumptions!$C$88))</f>
        <v>384363.68525739</v>
      </c>
      <c r="D76" s="18" t="n">
        <f aca="false">(('Operating Model'!$B$45*(1+0.03)^2)-(Debt!$C$9*Assumptions!$C$88))</f>
        <v>415000.695815112</v>
      </c>
      <c r="E76" s="18" t="n">
        <f aca="false">(('Operating Model'!$B$45*(1+0.03)^3)-(-PMT(Assumptions!$C$88,Assumptions!$C$93,Debt!$C$9)))</f>
        <v>353291.731034942</v>
      </c>
      <c r="F76" s="18" t="n">
        <f aca="false">(('Operating Model'!$B$45*(1+0.03)^4)-(-PMT(Assumptions!$C$88,Assumptions!$C$93,Debt!$C$9)))</f>
        <v>385794.535535629</v>
      </c>
      <c r="G76" s="18" t="n">
        <f aca="false">(('Operating Model'!$B$45*(1+0.03)^5)-(-PMT(Assumptions!$C$88,Assumptions!$C$93,Debt!$C$9))+((('Operating Model'!$B$45*(1+0.03)^6)/((Returns!$B$33+0.01)+Returns!$B$36))*(1-Assumptions!$C$109)-(Debt!$C$9+CUMPRINC(Assumptions!$C$88,Assumptions!$C$93,Debt!$C$9,1,3,0))))</f>
        <v>4358760.25346928</v>
      </c>
      <c r="H76" s="19" t="n">
        <f aca="false">IFERROR(IRR(B76:G76),"N/A")</f>
        <v>0.0150374619778309</v>
      </c>
      <c r="I76" s="20" t="n">
        <f aca="false">SUM(C76:G76)/(Capital!$B$12)</f>
        <v>1.06678151770109</v>
      </c>
    </row>
    <row r="77" customFormat="false" ht="15" hidden="false" customHeight="false" outlineLevel="0" collapsed="false">
      <c r="A77" s="2" t="s">
        <v>420</v>
      </c>
      <c r="B77" s="18" t="n">
        <f aca="false">-(Capital!$B$12)</f>
        <v>-5528040</v>
      </c>
      <c r="C77" s="18" t="n">
        <f aca="false">(('Operating Model'!$B$45*(1+0.035)^1)-(Debt!$C$9*Assumptions!$C$88))</f>
        <v>389321.130331455</v>
      </c>
      <c r="D77" s="18" t="n">
        <f aca="false">(('Operating Model'!$B$45*(1+0.035)^2)-(Debt!$C$9*Assumptions!$C$88))</f>
        <v>425237.819893056</v>
      </c>
      <c r="E77" s="18" t="n">
        <f aca="false">(('Operating Model'!$B$45*(1+0.035)^3)-(-PMT(Assumptions!$C$88,Assumptions!$C$93,Debt!$C$9)))</f>
        <v>369146.507934689</v>
      </c>
      <c r="F77" s="18" t="n">
        <f aca="false">(('Operating Model'!$B$45*(1+0.035)^4)-(-PMT(Assumptions!$C$88,Assumptions!$C$93,Debt!$C$9)))</f>
        <v>407621.363710315</v>
      </c>
      <c r="G77" s="18" t="n">
        <f aca="false">(('Operating Model'!$B$45*(1+0.035)^5)-(-PMT(Assumptions!$C$88,Assumptions!$C$93,Debt!$C$9))+((('Operating Model'!$B$45*(1+0.035)^6)/((Returns!$B$33+0.01)+Returns!$B$36))*(1-Assumptions!$C$109)-(Debt!$C$9+CUMPRINC(Assumptions!$C$88,Assumptions!$C$93,Debt!$C$9,1,3,0))))</f>
        <v>4758679.51951954</v>
      </c>
      <c r="H77" s="19" t="n">
        <f aca="false">IFERROR(IRR(B77:G77),"N/A")</f>
        <v>0.0323869398052978</v>
      </c>
      <c r="I77" s="20" t="n">
        <f aca="false">SUM(C77:G77)/(Capital!$B$12)</f>
        <v>1.14869037514002</v>
      </c>
    </row>
    <row r="78" customFormat="false" ht="15" hidden="false" customHeight="false" outlineLevel="0" collapsed="false">
      <c r="A78" s="2" t="s">
        <v>421</v>
      </c>
      <c r="B78" s="18" t="n">
        <f aca="false">-((((Assumptions!$C$7*(1+-0.1))*(1+Assumptions!$C$10)+(Capital!$B$8-Assumptions!$C$7*(1+Assumptions!$C$10)))-((Assumptions!$C$7*(1+-0.1))*Assumptions!$C$89)))</f>
        <v>-5024340</v>
      </c>
      <c r="C78" s="18" t="n">
        <f aca="false">((('Operating Model'!$B$45+Assumptions!$C$20-(((Assumptions!$C$7*(1+-0.1))*Assumptions!$C$16)*Assumptions!$C$14))*(1+Assumptions!$C$53)^0)-(((Assumptions!$C$7*(1+-0.1))*Assumptions!$C$89)*Assumptions!$C$88))</f>
        <v>441577.631013</v>
      </c>
      <c r="D78" s="18" t="n">
        <f aca="false">((('Operating Model'!$B$45+Assumptions!$C$20-(((Assumptions!$C$7*(1+-0.1))*Assumptions!$C$16)*Assumptions!$C$14))*(1+Assumptions!$C$53)^1)-(((Assumptions!$C$7*(1+-0.1))*Assumptions!$C$89)*Assumptions!$C$88))</f>
        <v>472020.44994339</v>
      </c>
      <c r="E78" s="18" t="n">
        <f aca="false">((('Operating Model'!$B$45+Assumptions!$C$20-(((Assumptions!$C$7*(1+-0.1))*Assumptions!$C$16)*Assumptions!$C$14))*(1+Assumptions!$C$53)^2)-(-PMT(Assumptions!$C$88,Assumptions!$C$93,((Assumptions!$C$7*(1+-0.1))*Assumptions!$C$89))))</f>
        <v>419437.976352531</v>
      </c>
      <c r="F78" s="18" t="n">
        <f aca="false">((('Operating Model'!$B$45+Assumptions!$C$20-(((Assumptions!$C$7*(1+-0.1))*Assumptions!$C$16)*Assumptions!$C$14))*(1+Assumptions!$C$53)^3)-(-PMT(Assumptions!$C$88,Assumptions!$C$93,((Assumptions!$C$7*(1+-0.1))*Assumptions!$C$89))))</f>
        <v>451734.762955782</v>
      </c>
      <c r="G78"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Returns!$B$36))*(1-Assumptions!$C$109)-(((Assumptions!$C$7*(1+-0.1))*Assumptions!$C$89)+CUMPRINC(Assumptions!$C$88,Assumptions!$C$93,((Assumptions!$C$7*(1+-0.1))*Assumptions!$C$89),1,3,0))))</f>
        <v>5333588.66043354</v>
      </c>
      <c r="H78" s="19" t="n">
        <f aca="false">IFERROR(IRR(B78:G78),"N/A")</f>
        <v>0.0842362924301178</v>
      </c>
      <c r="I78" s="20" t="n">
        <f aca="false">SUM(C78:G78)/((((Assumptions!$C$7*(1+-0.1))*(1+Assumptions!$C$10)+(Capital!$B$8-Assumptions!$C$7*(1+Assumptions!$C$10)))-((Assumptions!$C$7*(1+-0.1))*Assumptions!$C$89)))</f>
        <v>1.41677503526796</v>
      </c>
    </row>
    <row r="79" customFormat="false" ht="15" hidden="false" customHeight="false" outlineLevel="0" collapsed="false">
      <c r="A79" s="2" t="s">
        <v>422</v>
      </c>
      <c r="B79" s="18" t="n">
        <f aca="false">-((((Assumptions!$C$7*(1+-0.1))*(1+Assumptions!$C$10)+(Capital!$B$8-Assumptions!$C$7*(1+Assumptions!$C$10)))-((Assumptions!$C$7*(1+-0.1))*Assumptions!$C$89)))</f>
        <v>-5024340</v>
      </c>
      <c r="C79" s="18" t="n">
        <f aca="false">((('Operating Model'!$B$45+Assumptions!$C$20-(((Assumptions!$C$7*(1+-0.1))*Assumptions!$C$16)*Assumptions!$C$14))*(1+Assumptions!$C$53)^0)-(((Assumptions!$C$7*(1+-0.1))*Assumptions!$C$89)*Assumptions!$C$88))</f>
        <v>441577.631013</v>
      </c>
      <c r="D79" s="18" t="n">
        <f aca="false">((('Operating Model'!$B$45+Assumptions!$C$20-(((Assumptions!$C$7*(1+-0.1))*Assumptions!$C$16)*Assumptions!$C$14))*(1+Assumptions!$C$53)^1)-(((Assumptions!$C$7*(1+-0.1))*Assumptions!$C$89)*Assumptions!$C$88))</f>
        <v>472020.44994339</v>
      </c>
      <c r="E79" s="18" t="n">
        <f aca="false">((('Operating Model'!$B$45+Assumptions!$C$20-(((Assumptions!$C$7*(1+-0.1))*Assumptions!$C$16)*Assumptions!$C$14))*(1+Assumptions!$C$53)^2)-(-PMT(Assumptions!$C$88,Assumptions!$C$93,((Assumptions!$C$7*(1+-0.1))*Assumptions!$C$89))))</f>
        <v>419437.976352531</v>
      </c>
      <c r="F79" s="18" t="n">
        <f aca="false">((('Operating Model'!$B$45+Assumptions!$C$20-(((Assumptions!$C$7*(1+-0.1))*Assumptions!$C$16)*Assumptions!$C$14))*(1+Assumptions!$C$53)^3)-(-PMT(Assumptions!$C$88,Assumptions!$C$93,((Assumptions!$C$7*(1+-0.1))*Assumptions!$C$89))))</f>
        <v>451734.762955782</v>
      </c>
      <c r="G79"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+0.0025)+Returns!$B$36))*(1-Assumptions!$C$109)-(((Assumptions!$C$7*(1+-0.1))*Assumptions!$C$89)+CUMPRINC(Assumptions!$C$88,Assumptions!$C$93,((Assumptions!$C$7*(1+-0.1))*Assumptions!$C$89),1,3,0))))</f>
        <v>4995763.61308245</v>
      </c>
      <c r="H79" s="19" t="n">
        <f aca="false">IFERROR(IRR(B79:G79),"N/A")</f>
        <v>0.0724878566541302</v>
      </c>
      <c r="I79" s="20" t="n">
        <f aca="false">SUM(C79:G79)/((((Assumptions!$C$7*(1+-0.1))*(1+Assumptions!$C$10)+(Capital!$B$8-Assumptions!$C$7*(1+Assumptions!$C$10)))-((Assumptions!$C$7*(1+-0.1))*Assumptions!$C$89)))</f>
        <v>1.34953733890365</v>
      </c>
    </row>
    <row r="80" customFormat="false" ht="15" hidden="false" customHeight="false" outlineLevel="0" collapsed="false">
      <c r="A80" s="2" t="s">
        <v>423</v>
      </c>
      <c r="B80" s="18" t="n">
        <f aca="false">-((((Assumptions!$C$7*(1+-0.1))*(1+Assumptions!$C$10)+(Capital!$B$8-Assumptions!$C$7*(1+Assumptions!$C$10)))-((Assumptions!$C$7*(1+-0.1))*Assumptions!$C$89)))</f>
        <v>-5024340</v>
      </c>
      <c r="C80" s="18" t="n">
        <f aca="false">((('Operating Model'!$B$45+Assumptions!$C$20-(((Assumptions!$C$7*(1+-0.1))*Assumptions!$C$16)*Assumptions!$C$14))*(1+Assumptions!$C$53)^0)-(((Assumptions!$C$7*(1+-0.1))*Assumptions!$C$89)*Assumptions!$C$88))</f>
        <v>441577.631013</v>
      </c>
      <c r="D80" s="18" t="n">
        <f aca="false">((('Operating Model'!$B$45+Assumptions!$C$20-(((Assumptions!$C$7*(1+-0.1))*Assumptions!$C$16)*Assumptions!$C$14))*(1+Assumptions!$C$53)^1)-(((Assumptions!$C$7*(1+-0.1))*Assumptions!$C$89)*Assumptions!$C$88))</f>
        <v>472020.44994339</v>
      </c>
      <c r="E80" s="18" t="n">
        <f aca="false">((('Operating Model'!$B$45+Assumptions!$C$20-(((Assumptions!$C$7*(1+-0.1))*Assumptions!$C$16)*Assumptions!$C$14))*(1+Assumptions!$C$53)^2)-(-PMT(Assumptions!$C$88,Assumptions!$C$93,((Assumptions!$C$7*(1+-0.1))*Assumptions!$C$89))))</f>
        <v>419437.976352531</v>
      </c>
      <c r="F80" s="18" t="n">
        <f aca="false">((('Operating Model'!$B$45+Assumptions!$C$20-(((Assumptions!$C$7*(1+-0.1))*Assumptions!$C$16)*Assumptions!$C$14))*(1+Assumptions!$C$53)^3)-(-PMT(Assumptions!$C$88,Assumptions!$C$93,((Assumptions!$C$7*(1+-0.1))*Assumptions!$C$89))))</f>
        <v>451734.762955782</v>
      </c>
      <c r="G80"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+0.005)+Returns!$B$36))*(1-Assumptions!$C$109)-(((Assumptions!$C$7*(1+-0.1))*Assumptions!$C$89)+CUMPRINC(Assumptions!$C$88,Assumptions!$C$93,((Assumptions!$C$7*(1+-0.1))*Assumptions!$C$89),1,3,0))))</f>
        <v>4675510.84482273</v>
      </c>
      <c r="H80" s="19" t="n">
        <f aca="false">IFERROR(IRR(B80:G80),"N/A")</f>
        <v>0.0608080819645157</v>
      </c>
      <c r="I80" s="20" t="n">
        <f aca="false">SUM(C80:G80)/((((Assumptions!$C$7*(1+-0.1))*(1+Assumptions!$C$10)+(Capital!$B$8-Assumptions!$C$7*(1+Assumptions!$C$10)))-((Assumptions!$C$7*(1+-0.1))*Assumptions!$C$89)))</f>
        <v>1.28579707286677</v>
      </c>
    </row>
    <row r="81" customFormat="false" ht="15" hidden="false" customHeight="false" outlineLevel="0" collapsed="false">
      <c r="A81" s="2" t="s">
        <v>424</v>
      </c>
      <c r="B81" s="18" t="n">
        <f aca="false">-((((Assumptions!$C$7*(1+-0.1))*(1+Assumptions!$C$10)+(Capital!$B$8-Assumptions!$C$7*(1+Assumptions!$C$10)))-((Assumptions!$C$7*(1+-0.1))*Assumptions!$C$89)))</f>
        <v>-5024340</v>
      </c>
      <c r="C81" s="18" t="n">
        <f aca="false">((('Operating Model'!$B$45+Assumptions!$C$20-(((Assumptions!$C$7*(1+-0.1))*Assumptions!$C$16)*Assumptions!$C$14))*(1+Assumptions!$C$53)^0)-(((Assumptions!$C$7*(1+-0.1))*Assumptions!$C$89)*Assumptions!$C$88))</f>
        <v>441577.631013</v>
      </c>
      <c r="D81" s="18" t="n">
        <f aca="false">((('Operating Model'!$B$45+Assumptions!$C$20-(((Assumptions!$C$7*(1+-0.1))*Assumptions!$C$16)*Assumptions!$C$14))*(1+Assumptions!$C$53)^1)-(((Assumptions!$C$7*(1+-0.1))*Assumptions!$C$89)*Assumptions!$C$88))</f>
        <v>472020.44994339</v>
      </c>
      <c r="E81" s="18" t="n">
        <f aca="false">((('Operating Model'!$B$45+Assumptions!$C$20-(((Assumptions!$C$7*(1+-0.1))*Assumptions!$C$16)*Assumptions!$C$14))*(1+Assumptions!$C$53)^2)-(-PMT(Assumptions!$C$88,Assumptions!$C$93,((Assumptions!$C$7*(1+-0.1))*Assumptions!$C$89))))</f>
        <v>419437.976352531</v>
      </c>
      <c r="F81" s="18" t="n">
        <f aca="false">((('Operating Model'!$B$45+Assumptions!$C$20-(((Assumptions!$C$7*(1+-0.1))*Assumptions!$C$16)*Assumptions!$C$14))*(1+Assumptions!$C$53)^3)-(-PMT(Assumptions!$C$88,Assumptions!$C$93,((Assumptions!$C$7*(1+-0.1))*Assumptions!$C$89))))</f>
        <v>451734.762955782</v>
      </c>
      <c r="G81"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+0.0075)+Returns!$B$36))*(1-Assumptions!$C$109)-(((Assumptions!$C$7*(1+-0.1))*Assumptions!$C$89)+CUMPRINC(Assumptions!$C$88,Assumptions!$C$93,((Assumptions!$C$7*(1+-0.1))*Assumptions!$C$89),1,3,0))))</f>
        <v>4371494.05288572</v>
      </c>
      <c r="H81" s="19" t="n">
        <f aca="false">IFERROR(IRR(B81:G81),"N/A")</f>
        <v>0.0491756975233843</v>
      </c>
      <c r="I81" s="20" t="n">
        <f aca="false">SUM(C81:G81)/((((Assumptions!$C$7*(1+-0.1))*(1+Assumptions!$C$10)+(Capital!$B$8-Assumptions!$C$7*(1+Assumptions!$C$10)))-((Assumptions!$C$7*(1+-0.1))*Assumptions!$C$89)))</f>
        <v>1.22528827132527</v>
      </c>
    </row>
    <row r="82" customFormat="false" ht="15" hidden="false" customHeight="false" outlineLevel="0" collapsed="false">
      <c r="A82" s="2" t="s">
        <v>425</v>
      </c>
      <c r="B82" s="18" t="n">
        <f aca="false">-((((Assumptions!$C$7*(1+-0.1))*(1+Assumptions!$C$10)+(Capital!$B$8-Assumptions!$C$7*(1+Assumptions!$C$10)))-((Assumptions!$C$7*(1+-0.1))*Assumptions!$C$89)))</f>
        <v>-5024340</v>
      </c>
      <c r="C82" s="18" t="n">
        <f aca="false">((('Operating Model'!$B$45+Assumptions!$C$20-(((Assumptions!$C$7*(1+-0.1))*Assumptions!$C$16)*Assumptions!$C$14))*(1+Assumptions!$C$53)^0)-(((Assumptions!$C$7*(1+-0.1))*Assumptions!$C$89)*Assumptions!$C$88))</f>
        <v>441577.631013</v>
      </c>
      <c r="D82" s="18" t="n">
        <f aca="false">((('Operating Model'!$B$45+Assumptions!$C$20-(((Assumptions!$C$7*(1+-0.1))*Assumptions!$C$16)*Assumptions!$C$14))*(1+Assumptions!$C$53)^1)-(((Assumptions!$C$7*(1+-0.1))*Assumptions!$C$89)*Assumptions!$C$88))</f>
        <v>472020.44994339</v>
      </c>
      <c r="E82" s="18" t="n">
        <f aca="false">((('Operating Model'!$B$45+Assumptions!$C$20-(((Assumptions!$C$7*(1+-0.1))*Assumptions!$C$16)*Assumptions!$C$14))*(1+Assumptions!$C$53)^2)-(-PMT(Assumptions!$C$88,Assumptions!$C$93,((Assumptions!$C$7*(1+-0.1))*Assumptions!$C$89))))</f>
        <v>419437.976352531</v>
      </c>
      <c r="F82" s="18" t="n">
        <f aca="false">((('Operating Model'!$B$45+Assumptions!$C$20-(((Assumptions!$C$7*(1+-0.1))*Assumptions!$C$16)*Assumptions!$C$14))*(1+Assumptions!$C$53)^3)-(-PMT(Assumptions!$C$88,Assumptions!$C$93,((Assumptions!$C$7*(1+-0.1))*Assumptions!$C$89))))</f>
        <v>451734.762955782</v>
      </c>
      <c r="G82"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+0.01)+Returns!$B$36))*(1-Assumptions!$C$109)-(((Assumptions!$C$7*(1+-0.1))*Assumptions!$C$89)+CUMPRINC(Assumptions!$C$88,Assumptions!$C$93,((Assumptions!$C$7*(1+-0.1))*Assumptions!$C$89),1,3,0))))</f>
        <v>4082509.07891385</v>
      </c>
      <c r="H82" s="19" t="n">
        <f aca="false">IFERROR(IRR(B82:G82),"N/A")</f>
        <v>0.0375693440478066</v>
      </c>
      <c r="I82" s="20" t="n">
        <f aca="false">SUM(C82:G82)/((((Assumptions!$C$7*(1+-0.1))*(1+Assumptions!$C$10)+(Capital!$B$8-Assumptions!$C$7*(1+Assumptions!$C$10)))-((Assumptions!$C$7*(1+-0.1))*Assumptions!$C$89)))</f>
        <v>1.16777126929677</v>
      </c>
    </row>
    <row r="83" customFormat="false" ht="15" hidden="false" customHeight="false" outlineLevel="0" collapsed="false">
      <c r="A83" s="2" t="s">
        <v>426</v>
      </c>
      <c r="B83" s="18" t="n">
        <f aca="false">-((((Assumptions!$C$7*(1+-0.05))*(1+Assumptions!$C$10)+(Capital!$B$8-Assumptions!$C$7*(1+Assumptions!$C$10)))-((Assumptions!$C$7*(1+-0.05))*Assumptions!$C$89)))</f>
        <v>-5276190</v>
      </c>
      <c r="C83" s="18" t="n">
        <f aca="false">((('Operating Model'!$B$45+Assumptions!$C$20-(((Assumptions!$C$7*(1+-0.05))*Assumptions!$C$16)*Assumptions!$C$14))*(1+Assumptions!$C$53)^0)-(((Assumptions!$C$7*(1+-0.05))*Assumptions!$C$89)*Assumptions!$C$88))</f>
        <v>398098.322913</v>
      </c>
      <c r="D83" s="18" t="n">
        <f aca="false">((('Operating Model'!$B$45+Assumptions!$C$20-(((Assumptions!$C$7*(1+-0.05))*Assumptions!$C$16)*Assumptions!$C$14))*(1+Assumptions!$C$53)^1)-(((Assumptions!$C$7*(1+-0.05))*Assumptions!$C$89)*Assumptions!$C$88))</f>
        <v>428192.06760039</v>
      </c>
      <c r="E83" s="18" t="n">
        <f aca="false">((('Operating Model'!$B$45+Assumptions!$C$20-(((Assumptions!$C$7*(1+-0.05))*Assumptions!$C$16)*Assumptions!$C$14))*(1+Assumptions!$C$53)^2)-(-PMT(Assumptions!$C$88,Assumptions!$C$93,((Assumptions!$C$7*(1+-0.05))*Assumptions!$C$89))))</f>
        <v>370586.79325651</v>
      </c>
      <c r="F83" s="18" t="n">
        <f aca="false">((('Operating Model'!$B$45+Assumptions!$C$20-(((Assumptions!$C$7*(1+-0.05))*Assumptions!$C$16)*Assumptions!$C$14))*(1+Assumptions!$C$53)^3)-(-PMT(Assumptions!$C$88,Assumptions!$C$93,((Assumptions!$C$7*(1+-0.05))*Assumptions!$C$89))))</f>
        <v>402513.246995362</v>
      </c>
      <c r="G83"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Returns!$B$36))*(1-Assumptions!$C$109)-(((Assumptions!$C$7*(1+-0.05))*Assumptions!$C$89)+CUMPRINC(Assumptions!$C$88,Assumptions!$C$93,((Assumptions!$C$7*(1+-0.05))*Assumptions!$C$89),1,3,0))))</f>
        <v>5400223.56134815</v>
      </c>
      <c r="H83" s="19" t="n">
        <f aca="false">IFERROR(IRR(B83:G83),"N/A")</f>
        <v>0.0666889223993877</v>
      </c>
      <c r="I83" s="20" t="n">
        <f aca="false">SUM(C83:G83)/((((Assumptions!$C$7*(1+-0.05))*(1+Assumptions!$C$10)+(Capital!$B$8-Assumptions!$C$7*(1+Assumptions!$C$10)))-((Assumptions!$C$7*(1+-0.05))*Assumptions!$C$89)))</f>
        <v>1.32664176083754</v>
      </c>
    </row>
    <row r="84" customFormat="false" ht="15" hidden="false" customHeight="false" outlineLevel="0" collapsed="false">
      <c r="A84" s="2" t="s">
        <v>427</v>
      </c>
      <c r="B84" s="18" t="n">
        <f aca="false">-((((Assumptions!$C$7*(1+-0.05))*(1+Assumptions!$C$10)+(Capital!$B$8-Assumptions!$C$7*(1+Assumptions!$C$10)))-((Assumptions!$C$7*(1+-0.05))*Assumptions!$C$89)))</f>
        <v>-5276190</v>
      </c>
      <c r="C84" s="18" t="n">
        <f aca="false">((('Operating Model'!$B$45+Assumptions!$C$20-(((Assumptions!$C$7*(1+-0.05))*Assumptions!$C$16)*Assumptions!$C$14))*(1+Assumptions!$C$53)^0)-(((Assumptions!$C$7*(1+-0.05))*Assumptions!$C$89)*Assumptions!$C$88))</f>
        <v>398098.322913</v>
      </c>
      <c r="D84" s="18" t="n">
        <f aca="false">((('Operating Model'!$B$45+Assumptions!$C$20-(((Assumptions!$C$7*(1+-0.05))*Assumptions!$C$16)*Assumptions!$C$14))*(1+Assumptions!$C$53)^1)-(((Assumptions!$C$7*(1+-0.05))*Assumptions!$C$89)*Assumptions!$C$88))</f>
        <v>428192.06760039</v>
      </c>
      <c r="E84" s="18" t="n">
        <f aca="false">((('Operating Model'!$B$45+Assumptions!$C$20-(((Assumptions!$C$7*(1+-0.05))*Assumptions!$C$16)*Assumptions!$C$14))*(1+Assumptions!$C$53)^2)-(-PMT(Assumptions!$C$88,Assumptions!$C$93,((Assumptions!$C$7*(1+-0.05))*Assumptions!$C$89))))</f>
        <v>370586.79325651</v>
      </c>
      <c r="F84" s="18" t="n">
        <f aca="false">((('Operating Model'!$B$45+Assumptions!$C$20-(((Assumptions!$C$7*(1+-0.05))*Assumptions!$C$16)*Assumptions!$C$14))*(1+Assumptions!$C$53)^3)-(-PMT(Assumptions!$C$88,Assumptions!$C$93,((Assumptions!$C$7*(1+-0.05))*Assumptions!$C$89))))</f>
        <v>402513.246995362</v>
      </c>
      <c r="G84"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+0.0025)+Returns!$B$36))*(1-Assumptions!$C$109)-(((Assumptions!$C$7*(1+-0.05))*Assumptions!$C$89)+CUMPRINC(Assumptions!$C$88,Assumptions!$C$93,((Assumptions!$C$7*(1+-0.05))*Assumptions!$C$89),1,3,0))))</f>
        <v>5028686.94568086</v>
      </c>
      <c r="H84" s="19" t="n">
        <f aca="false">IFERROR(IRR(B84:G84),"N/A")</f>
        <v>0.0537918131065021</v>
      </c>
      <c r="I84" s="20" t="n">
        <f aca="false">SUM(C84:G84)/((((Assumptions!$C$7*(1+-0.05))*(1+Assumptions!$C$10)+(Capital!$B$8-Assumptions!$C$7*(1+Assumptions!$C$10)))-((Assumptions!$C$7*(1+-0.05))*Assumptions!$C$89)))</f>
        <v>1.25622416487013</v>
      </c>
    </row>
    <row r="85" customFormat="false" ht="15" hidden="false" customHeight="false" outlineLevel="0" collapsed="false">
      <c r="A85" s="2" t="s">
        <v>428</v>
      </c>
      <c r="B85" s="18" t="n">
        <f aca="false">-((((Assumptions!$C$7*(1+-0.05))*(1+Assumptions!$C$10)+(Capital!$B$8-Assumptions!$C$7*(1+Assumptions!$C$10)))-((Assumptions!$C$7*(1+-0.05))*Assumptions!$C$89)))</f>
        <v>-5276190</v>
      </c>
      <c r="C85" s="18" t="n">
        <f aca="false">((('Operating Model'!$B$45+Assumptions!$C$20-(((Assumptions!$C$7*(1+-0.05))*Assumptions!$C$16)*Assumptions!$C$14))*(1+Assumptions!$C$53)^0)-(((Assumptions!$C$7*(1+-0.05))*Assumptions!$C$89)*Assumptions!$C$88))</f>
        <v>398098.322913</v>
      </c>
      <c r="D85" s="18" t="n">
        <f aca="false">((('Operating Model'!$B$45+Assumptions!$C$20-(((Assumptions!$C$7*(1+-0.05))*Assumptions!$C$16)*Assumptions!$C$14))*(1+Assumptions!$C$53)^1)-(((Assumptions!$C$7*(1+-0.05))*Assumptions!$C$89)*Assumptions!$C$88))</f>
        <v>428192.06760039</v>
      </c>
      <c r="E85" s="18" t="n">
        <f aca="false">((('Operating Model'!$B$45+Assumptions!$C$20-(((Assumptions!$C$7*(1+-0.05))*Assumptions!$C$16)*Assumptions!$C$14))*(1+Assumptions!$C$53)^2)-(-PMT(Assumptions!$C$88,Assumptions!$C$93,((Assumptions!$C$7*(1+-0.05))*Assumptions!$C$89))))</f>
        <v>370586.79325651</v>
      </c>
      <c r="F85" s="18" t="n">
        <f aca="false">((('Operating Model'!$B$45+Assumptions!$C$20-(((Assumptions!$C$7*(1+-0.05))*Assumptions!$C$16)*Assumptions!$C$14))*(1+Assumptions!$C$53)^3)-(-PMT(Assumptions!$C$88,Assumptions!$C$93,((Assumptions!$C$7*(1+-0.05))*Assumptions!$C$89))))</f>
        <v>402513.246995362</v>
      </c>
      <c r="G85"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+0.005)+Returns!$B$36))*(1-Assumptions!$C$109)-(((Assumptions!$C$7*(1+-0.05))*Assumptions!$C$89)+CUMPRINC(Assumptions!$C$88,Assumptions!$C$93,((Assumptions!$C$7*(1+-0.05))*Assumptions!$C$89),1,3,0))))</f>
        <v>4677491.02371212</v>
      </c>
      <c r="H85" s="19" t="n">
        <f aca="false">IFERROR(IRR(B85:G85),"N/A")</f>
        <v>0.0409418763724166</v>
      </c>
      <c r="I85" s="20" t="n">
        <f aca="false">SUM(C85:G85)/((((Assumptions!$C$7*(1+-0.05))*(1+Assumptions!$C$10)+(Capital!$B$8-Assumptions!$C$7*(1+Assumptions!$C$10)))-((Assumptions!$C$7*(1+-0.05))*Assumptions!$C$89)))</f>
        <v>1.18966175487945</v>
      </c>
    </row>
    <row r="86" customFormat="false" ht="15" hidden="false" customHeight="false" outlineLevel="0" collapsed="false">
      <c r="A86" s="2" t="s">
        <v>429</v>
      </c>
      <c r="B86" s="18" t="n">
        <f aca="false">-((((Assumptions!$C$7*(1+-0.05))*(1+Assumptions!$C$10)+(Capital!$B$8-Assumptions!$C$7*(1+Assumptions!$C$10)))-((Assumptions!$C$7*(1+-0.05))*Assumptions!$C$89)))</f>
        <v>-5276190</v>
      </c>
      <c r="C86" s="18" t="n">
        <f aca="false">((('Operating Model'!$B$45+Assumptions!$C$20-(((Assumptions!$C$7*(1+-0.05))*Assumptions!$C$16)*Assumptions!$C$14))*(1+Assumptions!$C$53)^0)-(((Assumptions!$C$7*(1+-0.05))*Assumptions!$C$89)*Assumptions!$C$88))</f>
        <v>398098.322913</v>
      </c>
      <c r="D86" s="18" t="n">
        <f aca="false">((('Operating Model'!$B$45+Assumptions!$C$20-(((Assumptions!$C$7*(1+-0.05))*Assumptions!$C$16)*Assumptions!$C$14))*(1+Assumptions!$C$53)^1)-(((Assumptions!$C$7*(1+-0.05))*Assumptions!$C$89)*Assumptions!$C$88))</f>
        <v>428192.06760039</v>
      </c>
      <c r="E86" s="18" t="n">
        <f aca="false">((('Operating Model'!$B$45+Assumptions!$C$20-(((Assumptions!$C$7*(1+-0.05))*Assumptions!$C$16)*Assumptions!$C$14))*(1+Assumptions!$C$53)^2)-(-PMT(Assumptions!$C$88,Assumptions!$C$93,((Assumptions!$C$7*(1+-0.05))*Assumptions!$C$89))))</f>
        <v>370586.79325651</v>
      </c>
      <c r="F86" s="18" t="n">
        <f aca="false">((('Operating Model'!$B$45+Assumptions!$C$20-(((Assumptions!$C$7*(1+-0.05))*Assumptions!$C$16)*Assumptions!$C$14))*(1+Assumptions!$C$53)^3)-(-PMT(Assumptions!$C$88,Assumptions!$C$93,((Assumptions!$C$7*(1+-0.05))*Assumptions!$C$89))))</f>
        <v>402513.246995362</v>
      </c>
      <c r="G86"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+0.0075)+Returns!$B$36))*(1-Assumptions!$C$109)-(((Assumptions!$C$7*(1+-0.05))*Assumptions!$C$89)+CUMPRINC(Assumptions!$C$88,Assumptions!$C$93,((Assumptions!$C$7*(1+-0.05))*Assumptions!$C$89),1,3,0))))</f>
        <v>4345009.89968642</v>
      </c>
      <c r="H86" s="19" t="n">
        <f aca="false">IFERROR(IRR(B86:G86),"N/A")</f>
        <v>0.0281109272271003</v>
      </c>
      <c r="I86" s="20" t="n">
        <f aca="false">SUM(C86:G86)/((((Assumptions!$C$7*(1+-0.05))*(1+Assumptions!$C$10)+(Capital!$B$8-Assumptions!$C$7*(1+Assumptions!$C$10)))-((Assumptions!$C$7*(1+-0.05))*Assumptions!$C$89)))</f>
        <v>1.1266463736999</v>
      </c>
    </row>
    <row r="87" customFormat="false" ht="15" hidden="false" customHeight="false" outlineLevel="0" collapsed="false">
      <c r="A87" s="2" t="s">
        <v>430</v>
      </c>
      <c r="B87" s="18" t="n">
        <f aca="false">-((((Assumptions!$C$7*(1+-0.05))*(1+Assumptions!$C$10)+(Capital!$B$8-Assumptions!$C$7*(1+Assumptions!$C$10)))-((Assumptions!$C$7*(1+-0.05))*Assumptions!$C$89)))</f>
        <v>-5276190</v>
      </c>
      <c r="C87" s="18" t="n">
        <f aca="false">((('Operating Model'!$B$45+Assumptions!$C$20-(((Assumptions!$C$7*(1+-0.05))*Assumptions!$C$16)*Assumptions!$C$14))*(1+Assumptions!$C$53)^0)-(((Assumptions!$C$7*(1+-0.05))*Assumptions!$C$89)*Assumptions!$C$88))</f>
        <v>398098.322913</v>
      </c>
      <c r="D87" s="18" t="n">
        <f aca="false">((('Operating Model'!$B$45+Assumptions!$C$20-(((Assumptions!$C$7*(1+-0.05))*Assumptions!$C$16)*Assumptions!$C$14))*(1+Assumptions!$C$53)^1)-(((Assumptions!$C$7*(1+-0.05))*Assumptions!$C$89)*Assumptions!$C$88))</f>
        <v>428192.06760039</v>
      </c>
      <c r="E87" s="18" t="n">
        <f aca="false">((('Operating Model'!$B$45+Assumptions!$C$20-(((Assumptions!$C$7*(1+-0.05))*Assumptions!$C$16)*Assumptions!$C$14))*(1+Assumptions!$C$53)^2)-(-PMT(Assumptions!$C$88,Assumptions!$C$93,((Assumptions!$C$7*(1+-0.05))*Assumptions!$C$89))))</f>
        <v>370586.79325651</v>
      </c>
      <c r="F87" s="18" t="n">
        <f aca="false">((('Operating Model'!$B$45+Assumptions!$C$20-(((Assumptions!$C$7*(1+-0.05))*Assumptions!$C$16)*Assumptions!$C$14))*(1+Assumptions!$C$53)^3)-(-PMT(Assumptions!$C$88,Assumptions!$C$93,((Assumptions!$C$7*(1+-0.05))*Assumptions!$C$89))))</f>
        <v>402513.246995362</v>
      </c>
      <c r="G87"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+0.01)+Returns!$B$36))*(1-Assumptions!$C$109)-(((Assumptions!$C$7*(1+-0.05))*Assumptions!$C$89)+CUMPRINC(Assumptions!$C$88,Assumptions!$C$93,((Assumptions!$C$7*(1+-0.05))*Assumptions!$C$89),1,3,0))))</f>
        <v>4029786.46459224</v>
      </c>
      <c r="H87" s="19" t="n">
        <f aca="false">IFERROR(IRR(B87:G87),"N/A")</f>
        <v>0.0152701413202907</v>
      </c>
      <c r="I87" s="20" t="n">
        <f aca="false">SUM(C87:G87)/((((Assumptions!$C$7*(1+-0.05))*(1+Assumptions!$C$10)+(Capital!$B$8-Assumptions!$C$7*(1+Assumptions!$C$10)))-((Assumptions!$C$7*(1+-0.05))*Assumptions!$C$89)))</f>
        <v>1.06690185443616</v>
      </c>
    </row>
    <row r="88" customFormat="false" ht="15" hidden="false" customHeight="false" outlineLevel="0" collapsed="false">
      <c r="A88" s="2" t="s">
        <v>431</v>
      </c>
      <c r="B88" s="18" t="n">
        <f aca="false">-((((Assumptions!$C$7*(1+0))*(1+Assumptions!$C$10)+(Capital!$B$8-Assumptions!$C$7*(1+Assumptions!$C$10)))-((Assumptions!$C$7*(1+0))*Assumptions!$C$89)))</f>
        <v>-5528040</v>
      </c>
      <c r="C88" s="18" t="n">
        <f aca="false">((('Operating Model'!$B$45+Assumptions!$C$20-(((Assumptions!$C$7*(1+0))*Assumptions!$C$16)*Assumptions!$C$14))*(1+Assumptions!$C$53)^0)-(((Assumptions!$C$7*(1+0))*Assumptions!$C$89)*Assumptions!$C$88))</f>
        <v>354619.014813</v>
      </c>
      <c r="D88" s="18" t="n">
        <f aca="false">((('Operating Model'!$B$45+Assumptions!$C$20-(((Assumptions!$C$7*(1+0))*Assumptions!$C$16)*Assumptions!$C$14))*(1+Assumptions!$C$53)^1)-(((Assumptions!$C$7*(1+0))*Assumptions!$C$89)*Assumptions!$C$88))</f>
        <v>384363.68525739</v>
      </c>
      <c r="E88" s="18" t="n">
        <f aca="false">((('Operating Model'!$B$45+Assumptions!$C$20-(((Assumptions!$C$7*(1+0))*Assumptions!$C$16)*Assumptions!$C$14))*(1+Assumptions!$C$53)^2)-(-PMT(Assumptions!$C$88,Assumptions!$C$93,((Assumptions!$C$7*(1+0))*Assumptions!$C$89))))</f>
        <v>321735.610160488</v>
      </c>
      <c r="F88" s="18" t="n">
        <f aca="false">((('Operating Model'!$B$45+Assumptions!$C$20-(((Assumptions!$C$7*(1+0))*Assumptions!$C$16)*Assumptions!$C$14))*(1+Assumptions!$C$53)^3)-(-PMT(Assumptions!$C$88,Assumptions!$C$93,((Assumptions!$C$7*(1+0))*Assumptions!$C$89))))</f>
        <v>353291.731034942</v>
      </c>
      <c r="G88" s="18" t="n">
        <f aca="false">((('Operating Model'!$B$45+Assumptions!$C$20-(((Assumptions!$C$7*(1+0))*Assumptions!$C$16)*Assumptions!$C$14))*(1+Assumptions!$C$53)^4)-(-PMT(Assumptions!$C$88,Assumptions!$C$93,((Assumptions!$C$7*(1+0))*Assumptions!$C$89)))+(((('Operating Model'!$B$45+Assumptions!$C$20-(((Assumptions!$C$7*(1+0))*Assumptions!$C$16)*Assumptions!$C$14))*(1+Assumptions!$C$53)^5)/((((Returns!$B$14+Assumptions!$C$20-(((Assumptions!$C$7*(1+0))*Assumptions!$C$16)*Assumptions!$C$14))/(Assumptions!$C$7*(1+0)))+0)+Returns!$B$36))*(1-Assumptions!$C$109)-(((Assumptions!$C$7*(1+0))*Assumptions!$C$89)+CUMPRINC(Assumptions!$C$88,Assumptions!$C$93,((Assumptions!$C$7*(1+0))*Assumptions!$C$89),1,3,0))))</f>
        <v>5450739.70944276</v>
      </c>
      <c r="H88" s="19" t="n">
        <f aca="false">IFERROR(IRR(B88:G88),"N/A")</f>
        <v>0.0499009952807631</v>
      </c>
      <c r="I88" s="20" t="n">
        <f aca="false">SUM(C88:G88)/((((Assumptions!$C$7*(1+0))*(1+Assumptions!$C$10)+(Capital!$B$8-Assumptions!$C$7*(1+Assumptions!$C$10)))-((Assumptions!$C$7*(1+0))*Assumptions!$C$89)))</f>
        <v>1.24180536875793</v>
      </c>
    </row>
    <row r="89" customFormat="false" ht="15" hidden="false" customHeight="false" outlineLevel="0" collapsed="false">
      <c r="A89" s="2" t="s">
        <v>432</v>
      </c>
      <c r="B89" s="18" t="n">
        <f aca="false">-((((Assumptions!$C$7*(1+0))*(1+Assumptions!$C$10)+(Capital!$B$8-Assumptions!$C$7*(1+Assumptions!$C$10)))-((Assumptions!$C$7*(1+0))*Assumptions!$C$89)))</f>
        <v>-5528040</v>
      </c>
      <c r="C89" s="18" t="n">
        <f aca="false">((('Operating Model'!$B$45+Assumptions!$C$20-(((Assumptions!$C$7*(1+0))*Assumptions!$C$16)*Assumptions!$C$14))*(1+Assumptions!$C$53)^0)-(((Assumptions!$C$7*(1+0))*Assumptions!$C$89)*Assumptions!$C$88))</f>
        <v>354619.014813</v>
      </c>
      <c r="D89" s="18" t="n">
        <f aca="false">((('Operating Model'!$B$45+Assumptions!$C$20-(((Assumptions!$C$7*(1+0))*Assumptions!$C$16)*Assumptions!$C$14))*(1+Assumptions!$C$53)^1)-(((Assumptions!$C$7*(1+0))*Assumptions!$C$89)*Assumptions!$C$88))</f>
        <v>384363.68525739</v>
      </c>
      <c r="E89" s="18" t="n">
        <f aca="false">((('Operating Model'!$B$45+Assumptions!$C$20-(((Assumptions!$C$7*(1+0))*Assumptions!$C$16)*Assumptions!$C$14))*(1+Assumptions!$C$53)^2)-(-PMT(Assumptions!$C$88,Assumptions!$C$93,((Assumptions!$C$7*(1+0))*Assumptions!$C$89))))</f>
        <v>321735.610160488</v>
      </c>
      <c r="F89" s="18" t="n">
        <f aca="false">((('Operating Model'!$B$45+Assumptions!$C$20-(((Assumptions!$C$7*(1+0))*Assumptions!$C$16)*Assumptions!$C$14))*(1+Assumptions!$C$53)^3)-(-PMT(Assumptions!$C$88,Assumptions!$C$93,((Assumptions!$C$7*(1+0))*Assumptions!$C$89))))</f>
        <v>353291.731034942</v>
      </c>
      <c r="G89" s="18" t="n">
        <f aca="false">((('Operating Model'!$B$45+Assumptions!$C$20-(((Assumptions!$C$7*(1+0))*Assumptions!$C$16)*Assumptions!$C$14))*(1+Assumptions!$C$53)^4)-(-PMT(Assumptions!$C$88,Assumptions!$C$93,((Assumptions!$C$7*(1+0))*Assumptions!$C$89)))+(((('Operating Model'!$B$45+Assumptions!$C$20-(((Assumptions!$C$7*(1+0))*Assumptions!$C$16)*Assumptions!$C$14))*(1+Assumptions!$C$53)^5)/((((Returns!$B$14+Assumptions!$C$20-(((Assumptions!$C$7*(1+0))*Assumptions!$C$16)*Assumptions!$C$14))/(Assumptions!$C$7*(1+0)))+0.0025)+Returns!$B$36))*(1-Assumptions!$C$109)-(((Assumptions!$C$7*(1+0))*Assumptions!$C$89)+CUMPRINC(Assumptions!$C$88,Assumptions!$C$93,((Assumptions!$C$7*(1+0))*Assumptions!$C$89),1,3,0))))</f>
        <v>5044441.8748464</v>
      </c>
      <c r="H89" s="19" t="n">
        <f aca="false">IFERROR(IRR(B89:G89),"N/A")</f>
        <v>0.0357967022609609</v>
      </c>
      <c r="I89" s="20" t="n">
        <f aca="false">SUM(C89:G89)/((((Assumptions!$C$7*(1+0))*(1+Assumptions!$C$10)+(Capital!$B$8-Assumptions!$C$7*(1+Assumptions!$C$10)))-((Assumptions!$C$7*(1+0))*Assumptions!$C$89)))</f>
        <v>1.16830773947226</v>
      </c>
    </row>
    <row r="90" customFormat="false" ht="15" hidden="false" customHeight="false" outlineLevel="0" collapsed="false">
      <c r="A90" s="2" t="s">
        <v>433</v>
      </c>
      <c r="B90" s="18" t="n">
        <f aca="false">-((((Assumptions!$C$7*(1+0))*(1+Assumptions!$C$10)+(Capital!$B$8-Assumptions!$C$7*(1+Assumptions!$C$10)))-((Assumptions!$C$7*(1+0))*Assumptions!$C$89)))</f>
        <v>-5528040</v>
      </c>
      <c r="C90" s="18" t="n">
        <f aca="false">((('Operating Model'!$B$45+Assumptions!$C$20-(((Assumptions!$C$7*(1+0))*Assumptions!$C$16)*Assumptions!$C$14))*(1+Assumptions!$C$53)^0)-(((Assumptions!$C$7*(1+0))*Assumptions!$C$89)*Assumptions!$C$88))</f>
        <v>354619.014813</v>
      </c>
      <c r="D90" s="18" t="n">
        <f aca="false">((('Operating Model'!$B$45+Assumptions!$C$20-(((Assumptions!$C$7*(1+0))*Assumptions!$C$16)*Assumptions!$C$14))*(1+Assumptions!$C$53)^1)-(((Assumptions!$C$7*(1+0))*Assumptions!$C$89)*Assumptions!$C$88))</f>
        <v>384363.68525739</v>
      </c>
      <c r="E90" s="18" t="n">
        <f aca="false">((('Operating Model'!$B$45+Assumptions!$C$20-(((Assumptions!$C$7*(1+0))*Assumptions!$C$16)*Assumptions!$C$14))*(1+Assumptions!$C$53)^2)-(-PMT(Assumptions!$C$88,Assumptions!$C$93,((Assumptions!$C$7*(1+0))*Assumptions!$C$89))))</f>
        <v>321735.610160488</v>
      </c>
      <c r="F90" s="18" t="n">
        <f aca="false">((('Operating Model'!$B$45+Assumptions!$C$20-(((Assumptions!$C$7*(1+0))*Assumptions!$C$16)*Assumptions!$C$14))*(1+Assumptions!$C$53)^3)-(-PMT(Assumptions!$C$88,Assumptions!$C$93,((Assumptions!$C$7*(1+0))*Assumptions!$C$89))))</f>
        <v>353291.731034942</v>
      </c>
      <c r="G90" s="18" t="n">
        <f aca="false">((('Operating Model'!$B$45+Assumptions!$C$20-(((Assumptions!$C$7*(1+0))*Assumptions!$C$16)*Assumptions!$C$14))*(1+Assumptions!$C$53)^4)-(-PMT(Assumptions!$C$88,Assumptions!$C$93,((Assumptions!$C$7*(1+0))*Assumptions!$C$89)))+(((('Operating Model'!$B$45+Assumptions!$C$20-(((Assumptions!$C$7*(1+0))*Assumptions!$C$16)*Assumptions!$C$14))*(1+Assumptions!$C$53)^5)/((((Returns!$B$14+Assumptions!$C$20-(((Assumptions!$C$7*(1+0))*Assumptions!$C$16)*Assumptions!$C$14))/(Assumptions!$C$7*(1+0)))+0.005)+Returns!$B$36))*(1-Assumptions!$C$109)-(((Assumptions!$C$7*(1+0))*Assumptions!$C$89)+CUMPRINC(Assumptions!$C$88,Assumptions!$C$93,((Assumptions!$C$7*(1+0))*Assumptions!$C$89),1,3,0))))</f>
        <v>4661491.27472142</v>
      </c>
      <c r="H90" s="19" t="n">
        <f aca="false">IFERROR(IRR(B90:G90),"N/A")</f>
        <v>0.0217081322213315</v>
      </c>
      <c r="I90" s="20" t="n">
        <f aca="false">SUM(C90:G90)/((((Assumptions!$C$7*(1+0))*(1+Assumptions!$C$10)+(Capital!$B$8-Assumptions!$C$7*(1+Assumptions!$C$10)))-((Assumptions!$C$7*(1+0))*Assumptions!$C$89)))</f>
        <v>1.09903353014581</v>
      </c>
    </row>
    <row r="91" customFormat="false" ht="15" hidden="false" customHeight="false" outlineLevel="0" collapsed="false">
      <c r="A91" s="2" t="s">
        <v>434</v>
      </c>
      <c r="B91" s="18" t="n">
        <f aca="false">-((((Assumptions!$C$7*(1+0))*(1+Assumptions!$C$10)+(Capital!$B$8-Assumptions!$C$7*(1+Assumptions!$C$10)))-((Assumptions!$C$7*(1+0))*Assumptions!$C$89)))</f>
        <v>-5528040</v>
      </c>
      <c r="C91" s="18" t="n">
        <f aca="false">((('Operating Model'!$B$45+Assumptions!$C$20-(((Assumptions!$C$7*(1+0))*Assumptions!$C$16)*Assumptions!$C$14))*(1+Assumptions!$C$53)^0)-(((Assumptions!$C$7*(1+0))*Assumptions!$C$89)*Assumptions!$C$88))</f>
        <v>354619.014813</v>
      </c>
      <c r="D91" s="18" t="n">
        <f aca="false">((('Operating Model'!$B$45+Assumptions!$C$20-(((Assumptions!$C$7*(1+0))*Assumptions!$C$16)*Assumptions!$C$14))*(1+Assumptions!$C$53)^1)-(((Assumptions!$C$7*(1+0))*Assumptions!$C$89)*Assumptions!$C$88))</f>
        <v>384363.68525739</v>
      </c>
      <c r="E91" s="18" t="n">
        <f aca="false">((('Operating Model'!$B$45+Assumptions!$C$20-(((Assumptions!$C$7*(1+0))*Assumptions!$C$16)*Assumptions!$C$14))*(1+Assumptions!$C$53)^2)-(-PMT(Assumptions!$C$88,Assumptions!$C$93,((Assumptions!$C$7*(1+0))*Assumptions!$C$89))))</f>
        <v>321735.610160488</v>
      </c>
      <c r="F91" s="18" t="n">
        <f aca="false">((('Operating Model'!$B$45+Assumptions!$C$20-(((Assumptions!$C$7*(1+0))*Assumptions!$C$16)*Assumptions!$C$14))*(1+Assumptions!$C$53)^3)-(-PMT(Assumptions!$C$88,Assumptions!$C$93,((Assumptions!$C$7*(1+0))*Assumptions!$C$89))))</f>
        <v>353291.731034942</v>
      </c>
      <c r="G91" s="18" t="n">
        <f aca="false">((('Operating Model'!$B$45+Assumptions!$C$20-(((Assumptions!$C$7*(1+0))*Assumptions!$C$16)*Assumptions!$C$14))*(1+Assumptions!$C$53)^4)-(-PMT(Assumptions!$C$88,Assumptions!$C$93,((Assumptions!$C$7*(1+0))*Assumptions!$C$89)))+(((('Operating Model'!$B$45+Assumptions!$C$20-(((Assumptions!$C$7*(1+0))*Assumptions!$C$16)*Assumptions!$C$14))*(1+Assumptions!$C$53)^5)/((((Returns!$B$14+Assumptions!$C$20-(((Assumptions!$C$7*(1+0))*Assumptions!$C$16)*Assumptions!$C$14))/(Assumptions!$C$7*(1+0)))+0.0075)+Returns!$B$36))*(1-Assumptions!$C$109)-(((Assumptions!$C$7*(1+0))*Assumptions!$C$89)+CUMPRINC(Assumptions!$C$88,Assumptions!$C$93,((Assumptions!$C$7*(1+0))*Assumptions!$C$89),1,3,0))))</f>
        <v>4299931.69882283</v>
      </c>
      <c r="H91" s="19" t="n">
        <f aca="false">IFERROR(IRR(B91:G91),"N/A")</f>
        <v>0.00759787059164976</v>
      </c>
      <c r="I91" s="20" t="n">
        <f aca="false">SUM(C91:G91)/((((Assumptions!$C$7*(1+0))*(1+Assumptions!$C$10)+(Capital!$B$8-Assumptions!$C$7*(1+Assumptions!$C$10)))-((Assumptions!$C$7*(1+0))*Assumptions!$C$89)))</f>
        <v>1.0336288702847</v>
      </c>
    </row>
    <row r="92" customFormat="false" ht="15" hidden="false" customHeight="false" outlineLevel="0" collapsed="false">
      <c r="A92" s="2" t="s">
        <v>435</v>
      </c>
      <c r="B92" s="18" t="n">
        <f aca="false">-((((Assumptions!$C$7*(1+0))*(1+Assumptions!$C$10)+(Capital!$B$8-Assumptions!$C$7*(1+Assumptions!$C$10)))-((Assumptions!$C$7*(1+0))*Assumptions!$C$89)))</f>
        <v>-5528040</v>
      </c>
      <c r="C92" s="18" t="n">
        <f aca="false">((('Operating Model'!$B$45+Assumptions!$C$20-(((Assumptions!$C$7*(1+0))*Assumptions!$C$16)*Assumptions!$C$14))*(1+Assumptions!$C$53)^0)-(((Assumptions!$C$7*(1+0))*Assumptions!$C$89)*Assumptions!$C$88))</f>
        <v>354619.014813</v>
      </c>
      <c r="D92" s="18" t="n">
        <f aca="false">((('Operating Model'!$B$45+Assumptions!$C$20-(((Assumptions!$C$7*(1+0))*Assumptions!$C$16)*Assumptions!$C$14))*(1+Assumptions!$C$53)^1)-(((Assumptions!$C$7*(1+0))*Assumptions!$C$89)*Assumptions!$C$88))</f>
        <v>384363.68525739</v>
      </c>
      <c r="E92" s="18" t="n">
        <f aca="false">((('Operating Model'!$B$45+Assumptions!$C$20-(((Assumptions!$C$7*(1+0))*Assumptions!$C$16)*Assumptions!$C$14))*(1+Assumptions!$C$53)^2)-(-PMT(Assumptions!$C$88,Assumptions!$C$93,((Assumptions!$C$7*(1+0))*Assumptions!$C$89))))</f>
        <v>321735.610160488</v>
      </c>
      <c r="F92" s="18" t="n">
        <f aca="false">((('Operating Model'!$B$45+Assumptions!$C$20-(((Assumptions!$C$7*(1+0))*Assumptions!$C$16)*Assumptions!$C$14))*(1+Assumptions!$C$53)^3)-(-PMT(Assumptions!$C$88,Assumptions!$C$93,((Assumptions!$C$7*(1+0))*Assumptions!$C$89))))</f>
        <v>353291.731034942</v>
      </c>
      <c r="G92" s="18" t="n">
        <f aca="false">((('Operating Model'!$B$45+Assumptions!$C$20-(((Assumptions!$C$7*(1+0))*Assumptions!$C$16)*Assumptions!$C$14))*(1+Assumptions!$C$53)^4)-(-PMT(Assumptions!$C$88,Assumptions!$C$93,((Assumptions!$C$7*(1+0))*Assumptions!$C$89)))+(((('Operating Model'!$B$45+Assumptions!$C$20-(((Assumptions!$C$7*(1+0))*Assumptions!$C$16)*Assumptions!$C$14))*(1+Assumptions!$C$53)^5)/((((Returns!$B$14+Assumptions!$C$20-(((Assumptions!$C$7*(1+0))*Assumptions!$C$16)*Assumptions!$C$14))/(Assumptions!$C$7*(1+0)))+0.01)+Returns!$B$36))*(1-Assumptions!$C$109)-(((Assumptions!$C$7*(1+0))*Assumptions!$C$89)+CUMPRINC(Assumptions!$C$88,Assumptions!$C$93,((Assumptions!$C$7*(1+0))*Assumptions!$C$89),1,3,0))))</f>
        <v>3958019.54076194</v>
      </c>
      <c r="H92" s="19" t="n">
        <f aca="false">IFERROR(IRR(B92:G92),"N/A")</f>
        <v>-0.00657315335123801</v>
      </c>
      <c r="I92" s="20" t="n">
        <f aca="false">SUM(C92:G92)/((((Assumptions!$C$7*(1+0))*(1+Assumptions!$C$10)+(Capital!$B$8-Assumptions!$C$7*(1+Assumptions!$C$10)))-((Assumptions!$C$7*(1+0))*Assumptions!$C$89)))</f>
        <v>0.971778348569793</v>
      </c>
    </row>
    <row r="93" customFormat="false" ht="15" hidden="false" customHeight="false" outlineLevel="0" collapsed="false">
      <c r="A93" s="2" t="s">
        <v>436</v>
      </c>
      <c r="B93" s="18" t="n">
        <f aca="false">-((((Assumptions!$C$7*(1+0.05))*(1+Assumptions!$C$10)+(Capital!$B$8-Assumptions!$C$7*(1+Assumptions!$C$10)))-((Assumptions!$C$7*(1+0.05))*Assumptions!$C$89)))</f>
        <v>-5779890</v>
      </c>
      <c r="C93" s="18" t="n">
        <f aca="false">((('Operating Model'!$B$45+Assumptions!$C$20-(((Assumptions!$C$7*(1+0.05))*Assumptions!$C$16)*Assumptions!$C$14))*(1+Assumptions!$C$53)^0)-(((Assumptions!$C$7*(1+0.05))*Assumptions!$C$89)*Assumptions!$C$88))</f>
        <v>311139.706713</v>
      </c>
      <c r="D93" s="18" t="n">
        <f aca="false">((('Operating Model'!$B$45+Assumptions!$C$20-(((Assumptions!$C$7*(1+0.05))*Assumptions!$C$16)*Assumptions!$C$14))*(1+Assumptions!$C$53)^1)-(((Assumptions!$C$7*(1+0.05))*Assumptions!$C$89)*Assumptions!$C$88))</f>
        <v>340535.30291439</v>
      </c>
      <c r="E93" s="18" t="n">
        <f aca="false">((('Operating Model'!$B$45+Assumptions!$C$20-(((Assumptions!$C$7*(1+0.05))*Assumptions!$C$16)*Assumptions!$C$14))*(1+Assumptions!$C$53)^2)-(-PMT(Assumptions!$C$88,Assumptions!$C$93,((Assumptions!$C$7*(1+0.05))*Assumptions!$C$89))))</f>
        <v>272884.427064467</v>
      </c>
      <c r="F93" s="18" t="n">
        <f aca="false">((('Operating Model'!$B$45+Assumptions!$C$20-(((Assumptions!$C$7*(1+0.05))*Assumptions!$C$16)*Assumptions!$C$14))*(1+Assumptions!$C$53)^3)-(-PMT(Assumptions!$C$88,Assumptions!$C$93,((Assumptions!$C$7*(1+0.05))*Assumptions!$C$89))))</f>
        <v>304070.215074522</v>
      </c>
      <c r="G93"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Returns!$B$36))*(1-Assumptions!$C$109)-(((Assumptions!$C$7*(1+0.05))*Assumptions!$C$89)+CUMPRINC(Assumptions!$C$88,Assumptions!$C$93,((Assumptions!$C$7*(1+0.05))*Assumptions!$C$89),1,3,0))))</f>
        <v>5485137.10471737</v>
      </c>
      <c r="H93" s="19" t="n">
        <f aca="false">IFERROR(IRR(B93:G93),"N/A")</f>
        <v>0.0337247676777556</v>
      </c>
      <c r="I93" s="20" t="n">
        <f aca="false">SUM(C93:G93)/((((Assumptions!$C$7*(1+0.05))*(1+Assumptions!$C$10)+(Capital!$B$8-Assumptions!$C$7*(1+Assumptions!$C$10)))-((Assumptions!$C$7*(1+0.05))*Assumptions!$C$89)))</f>
        <v>1.16157344802129</v>
      </c>
    </row>
    <row r="94" customFormat="false" ht="15" hidden="false" customHeight="false" outlineLevel="0" collapsed="false">
      <c r="A94" s="2" t="s">
        <v>437</v>
      </c>
      <c r="B94" s="18" t="n">
        <f aca="false">-((((Assumptions!$C$7*(1+0.05))*(1+Assumptions!$C$10)+(Capital!$B$8-Assumptions!$C$7*(1+Assumptions!$C$10)))-((Assumptions!$C$7*(1+0.05))*Assumptions!$C$89)))</f>
        <v>-5779890</v>
      </c>
      <c r="C94" s="18" t="n">
        <f aca="false">((('Operating Model'!$B$45+Assumptions!$C$20-(((Assumptions!$C$7*(1+0.05))*Assumptions!$C$16)*Assumptions!$C$14))*(1+Assumptions!$C$53)^0)-(((Assumptions!$C$7*(1+0.05))*Assumptions!$C$89)*Assumptions!$C$88))</f>
        <v>311139.706713</v>
      </c>
      <c r="D94" s="18" t="n">
        <f aca="false">((('Operating Model'!$B$45+Assumptions!$C$20-(((Assumptions!$C$7*(1+0.05))*Assumptions!$C$16)*Assumptions!$C$14))*(1+Assumptions!$C$53)^1)-(((Assumptions!$C$7*(1+0.05))*Assumptions!$C$89)*Assumptions!$C$88))</f>
        <v>340535.30291439</v>
      </c>
      <c r="E94" s="18" t="n">
        <f aca="false">((('Operating Model'!$B$45+Assumptions!$C$20-(((Assumptions!$C$7*(1+0.05))*Assumptions!$C$16)*Assumptions!$C$14))*(1+Assumptions!$C$53)^2)-(-PMT(Assumptions!$C$88,Assumptions!$C$93,((Assumptions!$C$7*(1+0.05))*Assumptions!$C$89))))</f>
        <v>272884.427064467</v>
      </c>
      <c r="F94" s="18" t="n">
        <f aca="false">((('Operating Model'!$B$45+Assumptions!$C$20-(((Assumptions!$C$7*(1+0.05))*Assumptions!$C$16)*Assumptions!$C$14))*(1+Assumptions!$C$53)^3)-(-PMT(Assumptions!$C$88,Assumptions!$C$93,((Assumptions!$C$7*(1+0.05))*Assumptions!$C$89))))</f>
        <v>304070.215074522</v>
      </c>
      <c r="G94"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+0.0025)+Returns!$B$36))*(1-Assumptions!$C$109)-(((Assumptions!$C$7*(1+0.05))*Assumptions!$C$89)+CUMPRINC(Assumptions!$C$88,Assumptions!$C$93,((Assumptions!$C$7*(1+0.05))*Assumptions!$C$89),1,3,0))))</f>
        <v>5043104.46840481</v>
      </c>
      <c r="H94" s="19" t="n">
        <f aca="false">IFERROR(IRR(B94:G94),"N/A")</f>
        <v>0.0183489080078369</v>
      </c>
      <c r="I94" s="20" t="n">
        <f aca="false">SUM(C94:G94)/((((Assumptions!$C$7*(1+0.05))*(1+Assumptions!$C$10)+(Capital!$B$8-Assumptions!$C$7*(1+Assumptions!$C$10)))-((Assumptions!$C$7*(1+0.05))*Assumptions!$C$89)))</f>
        <v>1.08509575790736</v>
      </c>
    </row>
    <row r="95" customFormat="false" ht="15" hidden="false" customHeight="false" outlineLevel="0" collapsed="false">
      <c r="A95" s="2" t="s">
        <v>438</v>
      </c>
      <c r="B95" s="18" t="n">
        <f aca="false">-((((Assumptions!$C$7*(1+0.05))*(1+Assumptions!$C$10)+(Capital!$B$8-Assumptions!$C$7*(1+Assumptions!$C$10)))-((Assumptions!$C$7*(1+0.05))*Assumptions!$C$89)))</f>
        <v>-5779890</v>
      </c>
      <c r="C95" s="18" t="n">
        <f aca="false">((('Operating Model'!$B$45+Assumptions!$C$20-(((Assumptions!$C$7*(1+0.05))*Assumptions!$C$16)*Assumptions!$C$14))*(1+Assumptions!$C$53)^0)-(((Assumptions!$C$7*(1+0.05))*Assumptions!$C$89)*Assumptions!$C$88))</f>
        <v>311139.706713</v>
      </c>
      <c r="D95" s="18" t="n">
        <f aca="false">((('Operating Model'!$B$45+Assumptions!$C$20-(((Assumptions!$C$7*(1+0.05))*Assumptions!$C$16)*Assumptions!$C$14))*(1+Assumptions!$C$53)^1)-(((Assumptions!$C$7*(1+0.05))*Assumptions!$C$89)*Assumptions!$C$88))</f>
        <v>340535.30291439</v>
      </c>
      <c r="E95" s="18" t="n">
        <f aca="false">((('Operating Model'!$B$45+Assumptions!$C$20-(((Assumptions!$C$7*(1+0.05))*Assumptions!$C$16)*Assumptions!$C$14))*(1+Assumptions!$C$53)^2)-(-PMT(Assumptions!$C$88,Assumptions!$C$93,((Assumptions!$C$7*(1+0.05))*Assumptions!$C$89))))</f>
        <v>272884.427064467</v>
      </c>
      <c r="F95" s="18" t="n">
        <f aca="false">((('Operating Model'!$B$45+Assumptions!$C$20-(((Assumptions!$C$7*(1+0.05))*Assumptions!$C$16)*Assumptions!$C$14))*(1+Assumptions!$C$53)^3)-(-PMT(Assumptions!$C$88,Assumptions!$C$93,((Assumptions!$C$7*(1+0.05))*Assumptions!$C$89))))</f>
        <v>304070.215074522</v>
      </c>
      <c r="G95"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+0.005)+Returns!$B$36))*(1-Assumptions!$C$109)-(((Assumptions!$C$7*(1+0.05))*Assumptions!$C$89)+CUMPRINC(Assumptions!$C$88,Assumptions!$C$93,((Assumptions!$C$7*(1+0.05))*Assumptions!$C$89),1,3,0))))</f>
        <v>4627666.13188045</v>
      </c>
      <c r="H95" s="19" t="n">
        <f aca="false">IFERROR(IRR(B95:G95),"N/A")</f>
        <v>0.0029449319566469</v>
      </c>
      <c r="I95" s="20" t="n">
        <f aca="false">SUM(C95:G95)/((((Assumptions!$C$7*(1+0.05))*(1+Assumptions!$C$10)+(Capital!$B$8-Assumptions!$C$7*(1+Assumptions!$C$10)))-((Assumptions!$C$7*(1+0.05))*Assumptions!$C$89)))</f>
        <v>1.01321924528786</v>
      </c>
    </row>
    <row r="96" customFormat="false" ht="15" hidden="false" customHeight="false" outlineLevel="0" collapsed="false">
      <c r="A96" s="2" t="s">
        <v>439</v>
      </c>
      <c r="B96" s="18" t="n">
        <f aca="false">-((((Assumptions!$C$7*(1+0.05))*(1+Assumptions!$C$10)+(Capital!$B$8-Assumptions!$C$7*(1+Assumptions!$C$10)))-((Assumptions!$C$7*(1+0.05))*Assumptions!$C$89)))</f>
        <v>-5779890</v>
      </c>
      <c r="C96" s="18" t="n">
        <f aca="false">((('Operating Model'!$B$45+Assumptions!$C$20-(((Assumptions!$C$7*(1+0.05))*Assumptions!$C$16)*Assumptions!$C$14))*(1+Assumptions!$C$53)^0)-(((Assumptions!$C$7*(1+0.05))*Assumptions!$C$89)*Assumptions!$C$88))</f>
        <v>311139.706713</v>
      </c>
      <c r="D96" s="18" t="n">
        <f aca="false">((('Operating Model'!$B$45+Assumptions!$C$20-(((Assumptions!$C$7*(1+0.05))*Assumptions!$C$16)*Assumptions!$C$14))*(1+Assumptions!$C$53)^1)-(((Assumptions!$C$7*(1+0.05))*Assumptions!$C$89)*Assumptions!$C$88))</f>
        <v>340535.30291439</v>
      </c>
      <c r="E96" s="18" t="n">
        <f aca="false">((('Operating Model'!$B$45+Assumptions!$C$20-(((Assumptions!$C$7*(1+0.05))*Assumptions!$C$16)*Assumptions!$C$14))*(1+Assumptions!$C$53)^2)-(-PMT(Assumptions!$C$88,Assumptions!$C$93,((Assumptions!$C$7*(1+0.05))*Assumptions!$C$89))))</f>
        <v>272884.427064467</v>
      </c>
      <c r="F96" s="18" t="n">
        <f aca="false">((('Operating Model'!$B$45+Assumptions!$C$20-(((Assumptions!$C$7*(1+0.05))*Assumptions!$C$16)*Assumptions!$C$14))*(1+Assumptions!$C$53)^3)-(-PMT(Assumptions!$C$88,Assumptions!$C$93,((Assumptions!$C$7*(1+0.05))*Assumptions!$C$89))))</f>
        <v>304070.215074522</v>
      </c>
      <c r="G96"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+0.0075)+Returns!$B$36))*(1-Assumptions!$C$109)-(((Assumptions!$C$7*(1+0.05))*Assumptions!$C$89)+CUMPRINC(Assumptions!$C$88,Assumptions!$C$93,((Assumptions!$C$7*(1+0.05))*Assumptions!$C$89),1,3,0))))</f>
        <v>4236492.16812444</v>
      </c>
      <c r="H96" s="19" t="n">
        <f aca="false">IFERROR(IRR(B96:G96),"N/A")</f>
        <v>-0.012536950256364</v>
      </c>
      <c r="I96" s="20" t="n">
        <f aca="false">SUM(C96:G96)/((((Assumptions!$C$7*(1+0.05))*(1+Assumptions!$C$10)+(Capital!$B$8-Assumptions!$C$7*(1+Assumptions!$C$10)))-((Assumptions!$C$7*(1+0.05))*Assumptions!$C$89)))</f>
        <v>0.945540800930609</v>
      </c>
    </row>
    <row r="97" customFormat="false" ht="15" hidden="false" customHeight="false" outlineLevel="0" collapsed="false">
      <c r="A97" s="2" t="s">
        <v>440</v>
      </c>
      <c r="B97" s="18" t="n">
        <f aca="false">-((((Assumptions!$C$7*(1+0.05))*(1+Assumptions!$C$10)+(Capital!$B$8-Assumptions!$C$7*(1+Assumptions!$C$10)))-((Assumptions!$C$7*(1+0.05))*Assumptions!$C$89)))</f>
        <v>-5779890</v>
      </c>
      <c r="C97" s="18" t="n">
        <f aca="false">((('Operating Model'!$B$45+Assumptions!$C$20-(((Assumptions!$C$7*(1+0.05))*Assumptions!$C$16)*Assumptions!$C$14))*(1+Assumptions!$C$53)^0)-(((Assumptions!$C$7*(1+0.05))*Assumptions!$C$89)*Assumptions!$C$88))</f>
        <v>311139.706713</v>
      </c>
      <c r="D97" s="18" t="n">
        <f aca="false">((('Operating Model'!$B$45+Assumptions!$C$20-(((Assumptions!$C$7*(1+0.05))*Assumptions!$C$16)*Assumptions!$C$14))*(1+Assumptions!$C$53)^1)-(((Assumptions!$C$7*(1+0.05))*Assumptions!$C$89)*Assumptions!$C$88))</f>
        <v>340535.30291439</v>
      </c>
      <c r="E97" s="18" t="n">
        <f aca="false">((('Operating Model'!$B$45+Assumptions!$C$20-(((Assumptions!$C$7*(1+0.05))*Assumptions!$C$16)*Assumptions!$C$14))*(1+Assumptions!$C$53)^2)-(-PMT(Assumptions!$C$88,Assumptions!$C$93,((Assumptions!$C$7*(1+0.05))*Assumptions!$C$89))))</f>
        <v>272884.427064467</v>
      </c>
      <c r="F97" s="18" t="n">
        <f aca="false">((('Operating Model'!$B$45+Assumptions!$C$20-(((Assumptions!$C$7*(1+0.05))*Assumptions!$C$16)*Assumptions!$C$14))*(1+Assumptions!$C$53)^3)-(-PMT(Assumptions!$C$88,Assumptions!$C$93,((Assumptions!$C$7*(1+0.05))*Assumptions!$C$89))))</f>
        <v>304070.215074522</v>
      </c>
      <c r="G97" s="18" t="n">
        <f aca="false">((('Operating Model'!$B$45+Assumptions!$C$20-(((Assumptions!$C$7*(1+0.05))*Assumptions!$C$16)*Assumptions!$C$14))*(1+Assumptions!$C$53)^4)-(-PMT(Assumptions!$C$88,Assumptions!$C$93,((Assumptions!$C$7*(1+0.05))*Assumptions!$C$89)))+(((('Operating Model'!$B$45+Assumptions!$C$20-(((Assumptions!$C$7*(1+0.05))*Assumptions!$C$16)*Assumptions!$C$14))*(1+Assumptions!$C$53)^5)/((((Returns!$B$14+Assumptions!$C$20-(((Assumptions!$C$7*(1+0.05))*Assumptions!$C$16)*Assumptions!$C$14))/(Assumptions!$C$7*(1+0.05)))+0.01)+Returns!$B$36))*(1-Assumptions!$C$109)-(((Assumptions!$C$7*(1+0.05))*Assumptions!$C$89)+CUMPRINC(Assumptions!$C$88,Assumptions!$C$93,((Assumptions!$C$7*(1+0.05))*Assumptions!$C$89),1,3,0))))</f>
        <v>3867517.094061</v>
      </c>
      <c r="H97" s="19" t="n">
        <f aca="false">IFERROR(IRR(B97:G97),"N/A")</f>
        <v>-0.0281499645324777</v>
      </c>
      <c r="I97" s="20" t="n">
        <f aca="false">SUM(C97:G97)/((((Assumptions!$C$7*(1+0.05))*(1+Assumptions!$C$10)+(Capital!$B$8-Assumptions!$C$7*(1+Assumptions!$C$10)))-((Assumptions!$C$7*(1+0.05))*Assumptions!$C$89)))</f>
        <v>0.881703068021602</v>
      </c>
    </row>
    <row r="98" customFormat="false" ht="15" hidden="false" customHeight="false" outlineLevel="0" collapsed="false">
      <c r="A98" s="2" t="s">
        <v>441</v>
      </c>
      <c r="B98" s="18" t="n">
        <f aca="false">-((((Assumptions!$C$7*(1+0.1))*(1+Assumptions!$C$10)+(Capital!$B$8-Assumptions!$C$7*(1+Assumptions!$C$10)))-((Assumptions!$C$7*(1+0.1))*Assumptions!$C$89)))</f>
        <v>-6031740</v>
      </c>
      <c r="C98" s="18" t="n">
        <f aca="false">((('Operating Model'!$B$45+Assumptions!$C$20-(((Assumptions!$C$7*(1+0.1))*Assumptions!$C$16)*Assumptions!$C$14))*(1+Assumptions!$C$53)^0)-(((Assumptions!$C$7*(1+0.1))*Assumptions!$C$89)*Assumptions!$C$88))</f>
        <v>267660.398613</v>
      </c>
      <c r="D98" s="18" t="n">
        <f aca="false">((('Operating Model'!$B$45+Assumptions!$C$20-(((Assumptions!$C$7*(1+0.1))*Assumptions!$C$16)*Assumptions!$C$14))*(1+Assumptions!$C$53)^1)-(((Assumptions!$C$7*(1+0.1))*Assumptions!$C$89)*Assumptions!$C$88))</f>
        <v>296706.92057139</v>
      </c>
      <c r="E98" s="18" t="n">
        <f aca="false">((('Operating Model'!$B$45+Assumptions!$C$20-(((Assumptions!$C$7*(1+0.1))*Assumptions!$C$16)*Assumptions!$C$14))*(1+Assumptions!$C$53)^2)-(-PMT(Assumptions!$C$88,Assumptions!$C$93,((Assumptions!$C$7*(1+0.1))*Assumptions!$C$89))))</f>
        <v>224033.243968446</v>
      </c>
      <c r="F98" s="18" t="n">
        <f aca="false">((('Operating Model'!$B$45+Assumptions!$C$20-(((Assumptions!$C$7*(1+0.1))*Assumptions!$C$16)*Assumptions!$C$14))*(1+Assumptions!$C$53)^3)-(-PMT(Assumptions!$C$88,Assumptions!$C$93,((Assumptions!$C$7*(1+0.1))*Assumptions!$C$89))))</f>
        <v>254848.699114102</v>
      </c>
      <c r="G98"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Returns!$B$36))*(1-Assumptions!$C$109)-(((Assumptions!$C$7*(1+0.1))*Assumptions!$C$89)+CUMPRINC(Assumptions!$C$88,Assumptions!$C$93,((Assumptions!$C$7*(1+0.1))*Assumptions!$C$89),1,3,0))))</f>
        <v>5503415.74717198</v>
      </c>
      <c r="H98" s="19" t="n">
        <f aca="false">IFERROR(IRR(B98:G98),"N/A")</f>
        <v>0.0180339583951908</v>
      </c>
      <c r="I98" s="20" t="n">
        <f aca="false">SUM(C98:G98)/((((Assumptions!$C$7*(1+0.1))*(1+Assumptions!$C$10)+(Capital!$B$8-Assumptions!$C$7*(1+Assumptions!$C$10)))-((Assumptions!$C$7*(1+0.1))*Assumptions!$C$89)))</f>
        <v>1.08536923167095</v>
      </c>
    </row>
    <row r="99" customFormat="false" ht="15" hidden="false" customHeight="false" outlineLevel="0" collapsed="false">
      <c r="A99" s="2" t="s">
        <v>442</v>
      </c>
      <c r="B99" s="18" t="n">
        <f aca="false">-((((Assumptions!$C$7*(1+0.1))*(1+Assumptions!$C$10)+(Capital!$B$8-Assumptions!$C$7*(1+Assumptions!$C$10)))-((Assumptions!$C$7*(1+0.1))*Assumptions!$C$89)))</f>
        <v>-6031740</v>
      </c>
      <c r="C99" s="18" t="n">
        <f aca="false">((('Operating Model'!$B$45+Assumptions!$C$20-(((Assumptions!$C$7*(1+0.1))*Assumptions!$C$16)*Assumptions!$C$14))*(1+Assumptions!$C$53)^0)-(((Assumptions!$C$7*(1+0.1))*Assumptions!$C$89)*Assumptions!$C$88))</f>
        <v>267660.398613</v>
      </c>
      <c r="D99" s="18" t="n">
        <f aca="false">((('Operating Model'!$B$45+Assumptions!$C$20-(((Assumptions!$C$7*(1+0.1))*Assumptions!$C$16)*Assumptions!$C$14))*(1+Assumptions!$C$53)^1)-(((Assumptions!$C$7*(1+0.1))*Assumptions!$C$89)*Assumptions!$C$88))</f>
        <v>296706.92057139</v>
      </c>
      <c r="E99" s="18" t="n">
        <f aca="false">((('Operating Model'!$B$45+Assumptions!$C$20-(((Assumptions!$C$7*(1+0.1))*Assumptions!$C$16)*Assumptions!$C$14))*(1+Assumptions!$C$53)^2)-(-PMT(Assumptions!$C$88,Assumptions!$C$93,((Assumptions!$C$7*(1+0.1))*Assumptions!$C$89))))</f>
        <v>224033.243968446</v>
      </c>
      <c r="F99" s="18" t="n">
        <f aca="false">((('Operating Model'!$B$45+Assumptions!$C$20-(((Assumptions!$C$7*(1+0.1))*Assumptions!$C$16)*Assumptions!$C$14))*(1+Assumptions!$C$53)^3)-(-PMT(Assumptions!$C$88,Assumptions!$C$93,((Assumptions!$C$7*(1+0.1))*Assumptions!$C$89))))</f>
        <v>254848.699114102</v>
      </c>
      <c r="G99"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+0.0025)+Returns!$B$36))*(1-Assumptions!$C$109)-(((Assumptions!$C$7*(1+0.1))*Assumptions!$C$89)+CUMPRINC(Assumptions!$C$88,Assumptions!$C$93,((Assumptions!$C$7*(1+0.1))*Assumptions!$C$89),1,3,0))))</f>
        <v>5024750.34546754</v>
      </c>
      <c r="H99" s="19" t="n">
        <f aca="false">IFERROR(IRR(B99:G99),"N/A")</f>
        <v>0.00131514180305945</v>
      </c>
      <c r="I99" s="20" t="n">
        <f aca="false">SUM(C99:G99)/((((Assumptions!$C$7*(1+0.1))*(1+Assumptions!$C$10)+(Capital!$B$8-Assumptions!$C$7*(1+Assumptions!$C$10)))-((Assumptions!$C$7*(1+0.1))*Assumptions!$C$89)))</f>
        <v>1.00601146729376</v>
      </c>
    </row>
    <row r="100" customFormat="false" ht="15" hidden="false" customHeight="false" outlineLevel="0" collapsed="false">
      <c r="A100" s="2" t="s">
        <v>443</v>
      </c>
      <c r="B100" s="18" t="n">
        <f aca="false">-((((Assumptions!$C$7*(1+0.1))*(1+Assumptions!$C$10)+(Capital!$B$8-Assumptions!$C$7*(1+Assumptions!$C$10)))-((Assumptions!$C$7*(1+0.1))*Assumptions!$C$89)))</f>
        <v>-6031740</v>
      </c>
      <c r="C100" s="18" t="n">
        <f aca="false">((('Operating Model'!$B$45+Assumptions!$C$20-(((Assumptions!$C$7*(1+0.1))*Assumptions!$C$16)*Assumptions!$C$14))*(1+Assumptions!$C$53)^0)-(((Assumptions!$C$7*(1+0.1))*Assumptions!$C$89)*Assumptions!$C$88))</f>
        <v>267660.398613</v>
      </c>
      <c r="D100" s="18" t="n">
        <f aca="false">((('Operating Model'!$B$45+Assumptions!$C$20-(((Assumptions!$C$7*(1+0.1))*Assumptions!$C$16)*Assumptions!$C$14))*(1+Assumptions!$C$53)^1)-(((Assumptions!$C$7*(1+0.1))*Assumptions!$C$89)*Assumptions!$C$88))</f>
        <v>296706.92057139</v>
      </c>
      <c r="E100" s="18" t="n">
        <f aca="false">((('Operating Model'!$B$45+Assumptions!$C$20-(((Assumptions!$C$7*(1+0.1))*Assumptions!$C$16)*Assumptions!$C$14))*(1+Assumptions!$C$53)^2)-(-PMT(Assumptions!$C$88,Assumptions!$C$93,((Assumptions!$C$7*(1+0.1))*Assumptions!$C$89))))</f>
        <v>224033.243968446</v>
      </c>
      <c r="F100" s="18" t="n">
        <f aca="false">((('Operating Model'!$B$45+Assumptions!$C$20-(((Assumptions!$C$7*(1+0.1))*Assumptions!$C$16)*Assumptions!$C$14))*(1+Assumptions!$C$53)^3)-(-PMT(Assumptions!$C$88,Assumptions!$C$93,((Assumptions!$C$7*(1+0.1))*Assumptions!$C$89))))</f>
        <v>254848.699114102</v>
      </c>
      <c r="G100"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+0.005)+Returns!$B$36))*(1-Assumptions!$C$109)-(((Assumptions!$C$7*(1+0.1))*Assumptions!$C$89)+CUMPRINC(Assumptions!$C$88,Assumptions!$C$93,((Assumptions!$C$7*(1+0.1))*Assumptions!$C$89),1,3,0))))</f>
        <v>4576168.36335767</v>
      </c>
      <c r="H100" s="19" t="n">
        <f aca="false">IFERROR(IRR(B100:G100),"N/A")</f>
        <v>-0.0154910481266667</v>
      </c>
      <c r="I100" s="20" t="n">
        <f aca="false">SUM(C100:G100)/((((Assumptions!$C$7*(1+0.1))*(1+Assumptions!$C$10)+(Capital!$B$8-Assumptions!$C$7*(1+Assumptions!$C$10)))-((Assumptions!$C$7*(1+0.1))*Assumptions!$C$89)))</f>
        <v>0.931641222205302</v>
      </c>
    </row>
    <row r="101" customFormat="false" ht="15" hidden="false" customHeight="false" outlineLevel="0" collapsed="false">
      <c r="A101" s="2" t="s">
        <v>444</v>
      </c>
      <c r="B101" s="18" t="n">
        <f aca="false">-((((Assumptions!$C$7*(1+0.1))*(1+Assumptions!$C$10)+(Capital!$B$8-Assumptions!$C$7*(1+Assumptions!$C$10)))-((Assumptions!$C$7*(1+0.1))*Assumptions!$C$89)))</f>
        <v>-6031740</v>
      </c>
      <c r="C101" s="18" t="n">
        <f aca="false">((('Operating Model'!$B$45+Assumptions!$C$20-(((Assumptions!$C$7*(1+0.1))*Assumptions!$C$16)*Assumptions!$C$14))*(1+Assumptions!$C$53)^0)-(((Assumptions!$C$7*(1+0.1))*Assumptions!$C$89)*Assumptions!$C$88))</f>
        <v>267660.398613</v>
      </c>
      <c r="D101" s="18" t="n">
        <f aca="false">((('Operating Model'!$B$45+Assumptions!$C$20-(((Assumptions!$C$7*(1+0.1))*Assumptions!$C$16)*Assumptions!$C$14))*(1+Assumptions!$C$53)^1)-(((Assumptions!$C$7*(1+0.1))*Assumptions!$C$89)*Assumptions!$C$88))</f>
        <v>296706.92057139</v>
      </c>
      <c r="E101" s="18" t="n">
        <f aca="false">((('Operating Model'!$B$45+Assumptions!$C$20-(((Assumptions!$C$7*(1+0.1))*Assumptions!$C$16)*Assumptions!$C$14))*(1+Assumptions!$C$53)^2)-(-PMT(Assumptions!$C$88,Assumptions!$C$93,((Assumptions!$C$7*(1+0.1))*Assumptions!$C$89))))</f>
        <v>224033.243968446</v>
      </c>
      <c r="F101" s="18" t="n">
        <f aca="false">((('Operating Model'!$B$45+Assumptions!$C$20-(((Assumptions!$C$7*(1+0.1))*Assumptions!$C$16)*Assumptions!$C$14))*(1+Assumptions!$C$53)^3)-(-PMT(Assumptions!$C$88,Assumptions!$C$93,((Assumptions!$C$7*(1+0.1))*Assumptions!$C$89))))</f>
        <v>254848.699114102</v>
      </c>
      <c r="G101"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+0.0075)+Returns!$B$36))*(1-Assumptions!$C$109)-(((Assumptions!$C$7*(1+0.1))*Assumptions!$C$89)+CUMPRINC(Assumptions!$C$88,Assumptions!$C$93,((Assumptions!$C$7*(1+0.1))*Assumptions!$C$89),1,3,0))))</f>
        <v>4154920.15804784</v>
      </c>
      <c r="H101" s="19" t="n">
        <f aca="false">IFERROR(IRR(B101:G101),"N/A")</f>
        <v>-0.0324510774006122</v>
      </c>
      <c r="I101" s="20" t="n">
        <f aca="false">SUM(C101:G101)/((((Assumptions!$C$7*(1+0.1))*(1+Assumptions!$C$10)+(Capital!$B$8-Assumptions!$C$7*(1+Assumptions!$C$10)))-((Assumptions!$C$7*(1+0.1))*Assumptions!$C$89)))</f>
        <v>0.861802634117979</v>
      </c>
    </row>
    <row r="102" customFormat="false" ht="15" hidden="false" customHeight="false" outlineLevel="0" collapsed="false">
      <c r="A102" s="2" t="s">
        <v>445</v>
      </c>
      <c r="B102" s="18" t="n">
        <f aca="false">-((((Assumptions!$C$7*(1+0.1))*(1+Assumptions!$C$10)+(Capital!$B$8-Assumptions!$C$7*(1+Assumptions!$C$10)))-((Assumptions!$C$7*(1+0.1))*Assumptions!$C$89)))</f>
        <v>-6031740</v>
      </c>
      <c r="C102" s="18" t="n">
        <f aca="false">((('Operating Model'!$B$45+Assumptions!$C$20-(((Assumptions!$C$7*(1+0.1))*Assumptions!$C$16)*Assumptions!$C$14))*(1+Assumptions!$C$53)^0)-(((Assumptions!$C$7*(1+0.1))*Assumptions!$C$89)*Assumptions!$C$88))</f>
        <v>267660.398613</v>
      </c>
      <c r="D102" s="18" t="n">
        <f aca="false">((('Operating Model'!$B$45+Assumptions!$C$20-(((Assumptions!$C$7*(1+0.1))*Assumptions!$C$16)*Assumptions!$C$14))*(1+Assumptions!$C$53)^1)-(((Assumptions!$C$7*(1+0.1))*Assumptions!$C$89)*Assumptions!$C$88))</f>
        <v>296706.92057139</v>
      </c>
      <c r="E102" s="18" t="n">
        <f aca="false">((('Operating Model'!$B$45+Assumptions!$C$20-(((Assumptions!$C$7*(1+0.1))*Assumptions!$C$16)*Assumptions!$C$14))*(1+Assumptions!$C$53)^2)-(-PMT(Assumptions!$C$88,Assumptions!$C$93,((Assumptions!$C$7*(1+0.1))*Assumptions!$C$89))))</f>
        <v>224033.243968446</v>
      </c>
      <c r="F102" s="18" t="n">
        <f aca="false">((('Operating Model'!$B$45+Assumptions!$C$20-(((Assumptions!$C$7*(1+0.1))*Assumptions!$C$16)*Assumptions!$C$14))*(1+Assumptions!$C$53)^3)-(-PMT(Assumptions!$C$88,Assumptions!$C$93,((Assumptions!$C$7*(1+0.1))*Assumptions!$C$89))))</f>
        <v>254848.699114102</v>
      </c>
      <c r="G102" s="18" t="n">
        <f aca="false">((('Operating Model'!$B$45+Assumptions!$C$20-(((Assumptions!$C$7*(1+0.1))*Assumptions!$C$16)*Assumptions!$C$14))*(1+Assumptions!$C$53)^4)-(-PMT(Assumptions!$C$88,Assumptions!$C$93,((Assumptions!$C$7*(1+0.1))*Assumptions!$C$89)))+(((('Operating Model'!$B$45+Assumptions!$C$20-(((Assumptions!$C$7*(1+0.1))*Assumptions!$C$16)*Assumptions!$C$14))*(1+Assumptions!$C$53)^5)/((((Returns!$B$14+Assumptions!$C$20-(((Assumptions!$C$7*(1+0.1))*Assumptions!$C$16)*Assumptions!$C$14))/(Assumptions!$C$7*(1+0.1)))+0.01)+Returns!$B$36))*(1-Assumptions!$C$109)-(((Assumptions!$C$7*(1+0.1))*Assumptions!$C$89)+CUMPRINC(Assumptions!$C$88,Assumptions!$C$93,((Assumptions!$C$7*(1+0.1))*Assumptions!$C$89),1,3,0))))</f>
        <v>3758581.27141013</v>
      </c>
      <c r="H102" s="19" t="n">
        <f aca="false">IFERROR(IRR(B102:G102),"N/A")</f>
        <v>-0.0496378677039273</v>
      </c>
      <c r="I102" s="20" t="n">
        <f aca="false">SUM(C102:G102)/((((Assumptions!$C$7*(1+0.1))*(1+Assumptions!$C$10)+(Capital!$B$8-Assumptions!$C$7*(1+Assumptions!$C$10)))-((Assumptions!$C$7*(1+0.1))*Assumptions!$C$89)))</f>
        <v>0.796093752992845</v>
      </c>
    </row>
    <row r="103" customFormat="false" ht="15" hidden="false" customHeight="false" outlineLevel="0" collapsed="false">
      <c r="A103" s="2" t="s">
        <v>446</v>
      </c>
      <c r="B103" s="18" t="n">
        <f aca="false">-((Capital!$B$12+(('Unit Mix'!$C$10*(Assumptions!$C$34*(1+-0.2)))-'Unit Mix'!$D$18)))</f>
        <v>-5429832</v>
      </c>
      <c r="C103" s="18" t="n">
        <f aca="false">(('Operating Model'!$B$45+((100-Assumptions!$C$36)*12*'Unit Mix'!$C$10)*Assumptions!$C$38)-(Debt!$C$9*Assumptions!$C$88))</f>
        <v>343819.014813</v>
      </c>
      <c r="D103" s="18" t="n">
        <f aca="false">((('Operating Model'!$B$45+((100-Assumptions!$C$36)*12*'Unit Mix'!$C$10)*Assumptions!$C$38)+((100-Assumptions!$C$36)*12*'Unit Mix'!$C$10))-(Debt!$C$9*Assumptions!$C$88))</f>
        <v>322219.014813</v>
      </c>
      <c r="E103" s="18" t="n">
        <f aca="false">((('Operating Model'!$B$45+((100-Assumptions!$C$36)*12*'Unit Mix'!$C$10)*Assumptions!$C$38)+((100-Assumptions!$C$36)*12*'Unit Mix'!$C$10))-(-PMT(Assumptions!$C$88,Assumptions!$C$93,Debt!$C$9)))</f>
        <v>228953.929158377</v>
      </c>
      <c r="F103" s="18" t="n">
        <f aca="false">((('Operating Model'!$B$45+((100-Assumptions!$C$36)*12*'Unit Mix'!$C$10)*Assumptions!$C$38)+((100-Assumptions!$C$36)*12*'Unit Mix'!$C$10))-(-PMT(Assumptions!$C$88,Assumptions!$C$93,Debt!$C$9)))</f>
        <v>228953.929158377</v>
      </c>
      <c r="G103" s="18" t="n">
        <f aca="false">((('Operating Model'!$B$45+((100-Assumptions!$C$36)*12*'Unit Mix'!$C$10)*Assumptions!$C$38)+((100-Assumptions!$C$36)*12*'Unit Mix'!$C$10))-(-PMT(Assumptions!$C$88,Assumptions!$C$93,Debt!$C$9))+((((('Operating Model'!$B$45+((100-Assumptions!$C$36)*12*'Unit Mix'!$C$10)*Assumptions!$C$38)+((100-Assumptions!$C$36)*12*'Unit Mix'!$C$10))*(1+Assumptions!$C$53))/(Returns!$B$34+Returns!$B$36))*(1-Assumptions!$C$109)-(Debt!$C$9+CUMPRINC(Assumptions!$C$88,Assumptions!$C$93,Debt!$C$9,1,3,0))))</f>
        <v>2685189.6894952</v>
      </c>
      <c r="H103" s="19" t="n">
        <f aca="false">IFERROR(IRR(B103:G103),"N/A")</f>
        <v>-0.0795197870699258</v>
      </c>
      <c r="I103" s="20" t="n">
        <f aca="false">SUM(C103:G103)/((Capital!$B$12+(('Unit Mix'!$C$10*(Assumptions!$C$34*(1+-0.2)))-'Unit Mix'!$D$18)))</f>
        <v>0.701519969206773</v>
      </c>
    </row>
    <row r="104" customFormat="false" ht="15" hidden="false" customHeight="false" outlineLevel="0" collapsed="false">
      <c r="A104" s="2" t="s">
        <v>447</v>
      </c>
      <c r="B104" s="18" t="n">
        <f aca="false">-((Capital!$B$12+(('Unit Mix'!$C$10*(Assumptions!$C$34*(1+-0.1)))-'Unit Mix'!$D$18)))</f>
        <v>-5478936</v>
      </c>
      <c r="C104" s="18" t="n">
        <f aca="false">(('Operating Model'!$B$45+((100-Assumptions!$C$36)*12*'Unit Mix'!$C$10)*Assumptions!$C$38)-(Debt!$C$9*Assumptions!$C$88))</f>
        <v>343819.014813</v>
      </c>
      <c r="D104" s="18" t="n">
        <f aca="false">((('Operating Model'!$B$45+((100-Assumptions!$C$36)*12*'Unit Mix'!$C$10)*Assumptions!$C$38)+((100-Assumptions!$C$36)*12*'Unit Mix'!$C$10))-(Debt!$C$9*Assumptions!$C$88))</f>
        <v>322219.014813</v>
      </c>
      <c r="E104" s="18" t="n">
        <f aca="false">((('Operating Model'!$B$45+((100-Assumptions!$C$36)*12*'Unit Mix'!$C$10)*Assumptions!$C$38)+((100-Assumptions!$C$36)*12*'Unit Mix'!$C$10))-(-PMT(Assumptions!$C$88,Assumptions!$C$93,Debt!$C$9)))</f>
        <v>228953.929158377</v>
      </c>
      <c r="F104" s="18" t="n">
        <f aca="false">((('Operating Model'!$B$45+((100-Assumptions!$C$36)*12*'Unit Mix'!$C$10)*Assumptions!$C$38)+((100-Assumptions!$C$36)*12*'Unit Mix'!$C$10))-(-PMT(Assumptions!$C$88,Assumptions!$C$93,Debt!$C$9)))</f>
        <v>228953.929158377</v>
      </c>
      <c r="G104" s="18" t="n">
        <f aca="false">((('Operating Model'!$B$45+((100-Assumptions!$C$36)*12*'Unit Mix'!$C$10)*Assumptions!$C$38)+((100-Assumptions!$C$36)*12*'Unit Mix'!$C$10))-(-PMT(Assumptions!$C$88,Assumptions!$C$93,Debt!$C$9))+((((('Operating Model'!$B$45+((100-Assumptions!$C$36)*12*'Unit Mix'!$C$10)*Assumptions!$C$38)+((100-Assumptions!$C$36)*12*'Unit Mix'!$C$10))*(1+Assumptions!$C$53))/(Returns!$B$34+Returns!$B$36))*(1-Assumptions!$C$109)-(Debt!$C$9+CUMPRINC(Assumptions!$C$88,Assumptions!$C$93,Debt!$C$9,1,3,0))))</f>
        <v>2685189.6894952</v>
      </c>
      <c r="H104" s="19" t="n">
        <f aca="false">IFERROR(IRR(B104:G104),"N/A")</f>
        <v>-0.0814230591342138</v>
      </c>
      <c r="I104" s="20" t="n">
        <f aca="false">SUM(C104:G104)/((Capital!$B$12+(('Unit Mix'!$C$10*(Assumptions!$C$34*(1+-0.1)))-'Unit Mix'!$D$18)))</f>
        <v>0.695232719899986</v>
      </c>
    </row>
    <row r="105" customFormat="false" ht="15" hidden="false" customHeight="false" outlineLevel="0" collapsed="false">
      <c r="A105" s="2" t="s">
        <v>448</v>
      </c>
      <c r="B105" s="18" t="n">
        <f aca="false">-((Capital!$B$12+(('Unit Mix'!$C$10*(Assumptions!$C$34*(1+0)))-'Unit Mix'!$D$18)))</f>
        <v>-5528040</v>
      </c>
      <c r="C105" s="18" t="n">
        <f aca="false">(('Operating Model'!$B$45+((100-Assumptions!$C$36)*12*'Unit Mix'!$C$10)*Assumptions!$C$38)-(Debt!$C$9*Assumptions!$C$88))</f>
        <v>343819.014813</v>
      </c>
      <c r="D105" s="18" t="n">
        <f aca="false">((('Operating Model'!$B$45+((100-Assumptions!$C$36)*12*'Unit Mix'!$C$10)*Assumptions!$C$38)+((100-Assumptions!$C$36)*12*'Unit Mix'!$C$10))-(Debt!$C$9*Assumptions!$C$88))</f>
        <v>322219.014813</v>
      </c>
      <c r="E105" s="18" t="n">
        <f aca="false">((('Operating Model'!$B$45+((100-Assumptions!$C$36)*12*'Unit Mix'!$C$10)*Assumptions!$C$38)+((100-Assumptions!$C$36)*12*'Unit Mix'!$C$10))-(-PMT(Assumptions!$C$88,Assumptions!$C$93,Debt!$C$9)))</f>
        <v>228953.929158377</v>
      </c>
      <c r="F105" s="18" t="n">
        <f aca="false">((('Operating Model'!$B$45+((100-Assumptions!$C$36)*12*'Unit Mix'!$C$10)*Assumptions!$C$38)+((100-Assumptions!$C$36)*12*'Unit Mix'!$C$10))-(-PMT(Assumptions!$C$88,Assumptions!$C$93,Debt!$C$9)))</f>
        <v>228953.929158377</v>
      </c>
      <c r="G105" s="18" t="n">
        <f aca="false">((('Operating Model'!$B$45+((100-Assumptions!$C$36)*12*'Unit Mix'!$C$10)*Assumptions!$C$38)+((100-Assumptions!$C$36)*12*'Unit Mix'!$C$10))-(-PMT(Assumptions!$C$88,Assumptions!$C$93,Debt!$C$9))+((((('Operating Model'!$B$45+((100-Assumptions!$C$36)*12*'Unit Mix'!$C$10)*Assumptions!$C$38)+((100-Assumptions!$C$36)*12*'Unit Mix'!$C$10))*(1+Assumptions!$C$53))/(Returns!$B$34+Returns!$B$36))*(1-Assumptions!$C$109)-(Debt!$C$9+CUMPRINC(Assumptions!$C$88,Assumptions!$C$93,Debt!$C$9,1,3,0))))</f>
        <v>2685189.6894952</v>
      </c>
      <c r="H105" s="19" t="n">
        <f aca="false">IFERROR(IRR(B105:G105),"N/A")</f>
        <v>-0.0833040660350979</v>
      </c>
      <c r="I105" s="20" t="n">
        <f aca="false">SUM(C105:G105)/((Capital!$B$12+(('Unit Mix'!$C$10*(Assumptions!$C$34*(1+0)))-'Unit Mix'!$D$18)))</f>
        <v>0.689057166271943</v>
      </c>
    </row>
    <row r="106" customFormat="false" ht="15" hidden="false" customHeight="false" outlineLevel="0" collapsed="false">
      <c r="A106" s="2" t="s">
        <v>449</v>
      </c>
      <c r="B106" s="18" t="n">
        <f aca="false">-((Capital!$B$12+(('Unit Mix'!$C$10*(Assumptions!$C$34*(1+0.1)))-'Unit Mix'!$D$18)))</f>
        <v>-5577144</v>
      </c>
      <c r="C106" s="18" t="n">
        <f aca="false">(('Operating Model'!$B$45+((100-Assumptions!$C$36)*12*'Unit Mix'!$C$10)*Assumptions!$C$38)-(Debt!$C$9*Assumptions!$C$88))</f>
        <v>343819.014813</v>
      </c>
      <c r="D106" s="18" t="n">
        <f aca="false">((('Operating Model'!$B$45+((100-Assumptions!$C$36)*12*'Unit Mix'!$C$10)*Assumptions!$C$38)+((100-Assumptions!$C$36)*12*'Unit Mix'!$C$10))-(Debt!$C$9*Assumptions!$C$88))</f>
        <v>322219.014813</v>
      </c>
      <c r="E106" s="18" t="n">
        <f aca="false">((('Operating Model'!$B$45+((100-Assumptions!$C$36)*12*'Unit Mix'!$C$10)*Assumptions!$C$38)+((100-Assumptions!$C$36)*12*'Unit Mix'!$C$10))-(-PMT(Assumptions!$C$88,Assumptions!$C$93,Debt!$C$9)))</f>
        <v>228953.929158377</v>
      </c>
      <c r="F106" s="18" t="n">
        <f aca="false">((('Operating Model'!$B$45+((100-Assumptions!$C$36)*12*'Unit Mix'!$C$10)*Assumptions!$C$38)+((100-Assumptions!$C$36)*12*'Unit Mix'!$C$10))-(-PMT(Assumptions!$C$88,Assumptions!$C$93,Debt!$C$9)))</f>
        <v>228953.929158377</v>
      </c>
      <c r="G106" s="18" t="n">
        <f aca="false">((('Operating Model'!$B$45+((100-Assumptions!$C$36)*12*'Unit Mix'!$C$10)*Assumptions!$C$38)+((100-Assumptions!$C$36)*12*'Unit Mix'!$C$10))-(-PMT(Assumptions!$C$88,Assumptions!$C$93,Debt!$C$9))+((((('Operating Model'!$B$45+((100-Assumptions!$C$36)*12*'Unit Mix'!$C$10)*Assumptions!$C$38)+((100-Assumptions!$C$36)*12*'Unit Mix'!$C$10))*(1+Assumptions!$C$53))/(Returns!$B$34+Returns!$B$36))*(1-Assumptions!$C$109)-(Debt!$C$9+CUMPRINC(Assumptions!$C$88,Assumptions!$C$93,Debt!$C$9,1,3,0))))</f>
        <v>2685189.6894952</v>
      </c>
      <c r="H106" s="19" t="n">
        <f aca="false">IFERROR(IRR(B106:G106),"N/A")</f>
        <v>-0.0851632734835075</v>
      </c>
      <c r="I106" s="20" t="n">
        <f aca="false">SUM(C106:G106)/((Capital!$B$12+(('Unit Mix'!$C$10*(Assumptions!$C$34*(1+0.1)))-'Unit Mix'!$D$18)))</f>
        <v>0.68299035804669</v>
      </c>
    </row>
    <row r="107" customFormat="false" ht="15" hidden="false" customHeight="false" outlineLevel="0" collapsed="false">
      <c r="A107" s="2" t="s">
        <v>450</v>
      </c>
      <c r="B107" s="18" t="n">
        <f aca="false">-((Capital!$B$12+(('Unit Mix'!$C$10*(Assumptions!$C$34*(1+0.2)))-'Unit Mix'!$D$18)))</f>
        <v>-5626248</v>
      </c>
      <c r="C107" s="18" t="n">
        <f aca="false">(('Operating Model'!$B$45+((100-Assumptions!$C$36)*12*'Unit Mix'!$C$10)*Assumptions!$C$38)-(Debt!$C$9*Assumptions!$C$88))</f>
        <v>343819.014813</v>
      </c>
      <c r="D107" s="18" t="n">
        <f aca="false">((('Operating Model'!$B$45+((100-Assumptions!$C$36)*12*'Unit Mix'!$C$10)*Assumptions!$C$38)+((100-Assumptions!$C$36)*12*'Unit Mix'!$C$10))-(Debt!$C$9*Assumptions!$C$88))</f>
        <v>322219.014813</v>
      </c>
      <c r="E107" s="18" t="n">
        <f aca="false">((('Operating Model'!$B$45+((100-Assumptions!$C$36)*12*'Unit Mix'!$C$10)*Assumptions!$C$38)+((100-Assumptions!$C$36)*12*'Unit Mix'!$C$10))-(-PMT(Assumptions!$C$88,Assumptions!$C$93,Debt!$C$9)))</f>
        <v>228953.929158377</v>
      </c>
      <c r="F107" s="18" t="n">
        <f aca="false">((('Operating Model'!$B$45+((100-Assumptions!$C$36)*12*'Unit Mix'!$C$10)*Assumptions!$C$38)+((100-Assumptions!$C$36)*12*'Unit Mix'!$C$10))-(-PMT(Assumptions!$C$88,Assumptions!$C$93,Debt!$C$9)))</f>
        <v>228953.929158377</v>
      </c>
      <c r="G107" s="18" t="n">
        <f aca="false">((('Operating Model'!$B$45+((100-Assumptions!$C$36)*12*'Unit Mix'!$C$10)*Assumptions!$C$38)+((100-Assumptions!$C$36)*12*'Unit Mix'!$C$10))-(-PMT(Assumptions!$C$88,Assumptions!$C$93,Debt!$C$9))+((((('Operating Model'!$B$45+((100-Assumptions!$C$36)*12*'Unit Mix'!$C$10)*Assumptions!$C$38)+((100-Assumptions!$C$36)*12*'Unit Mix'!$C$10))*(1+Assumptions!$C$53))/(Returns!$B$34+Returns!$B$36))*(1-Assumptions!$C$109)-(Debt!$C$9+CUMPRINC(Assumptions!$C$88,Assumptions!$C$93,Debt!$C$9,1,3,0))))</f>
        <v>2685189.6894952</v>
      </c>
      <c r="H107" s="19" t="n">
        <f aca="false">IFERROR(IRR(B107:G107),"N/A")</f>
        <v>-0.0870011332727729</v>
      </c>
      <c r="I107" s="20" t="n">
        <f aca="false">SUM(C107:G107)/((Capital!$B$12+(('Unit Mix'!$C$10*(Assumptions!$C$34*(1+0.2)))-'Unit Mix'!$D$18)))</f>
        <v>0.677029447944341</v>
      </c>
    </row>
    <row r="108" customFormat="false" ht="15" hidden="false" customHeight="false" outlineLevel="0" collapsed="false">
      <c r="A108" s="2" t="s">
        <v>451</v>
      </c>
      <c r="B108" s="18" t="n">
        <f aca="false">-((Capital!$B$12+(('Unit Mix'!$C$10*(Assumptions!$C$34*(1+-0.2)))-'Unit Mix'!$D$18)))</f>
        <v>-5429832</v>
      </c>
      <c r="C108" s="18" t="n">
        <f aca="false">(('Operating Model'!$B$45+((137.5-Assumptions!$C$36)*12*'Unit Mix'!$C$10)*Assumptions!$C$38)-(Debt!$C$9*Assumptions!$C$88))</f>
        <v>349219.014813</v>
      </c>
      <c r="D108" s="18" t="n">
        <f aca="false">((('Operating Model'!$B$45+((137.5-Assumptions!$C$36)*12*'Unit Mix'!$C$10)*Assumptions!$C$38)+((137.5-Assumptions!$C$36)*12*'Unit Mix'!$C$10))-(Debt!$C$9*Assumptions!$C$88))</f>
        <v>338419.014813</v>
      </c>
      <c r="E108" s="18" t="n">
        <f aca="false">((('Operating Model'!$B$45+((137.5-Assumptions!$C$36)*12*'Unit Mix'!$C$10)*Assumptions!$C$38)+((137.5-Assumptions!$C$36)*12*'Unit Mix'!$C$10))-(-PMT(Assumptions!$C$88,Assumptions!$C$93,Debt!$C$9)))</f>
        <v>245153.929158377</v>
      </c>
      <c r="F108" s="18" t="n">
        <f aca="false">((('Operating Model'!$B$45+((137.5-Assumptions!$C$36)*12*'Unit Mix'!$C$10)*Assumptions!$C$38)+((137.5-Assumptions!$C$36)*12*'Unit Mix'!$C$10))-(-PMT(Assumptions!$C$88,Assumptions!$C$93,Debt!$C$9)))</f>
        <v>245153.929158377</v>
      </c>
      <c r="G108" s="18" t="n">
        <f aca="false">((('Operating Model'!$B$45+((137.5-Assumptions!$C$36)*12*'Unit Mix'!$C$10)*Assumptions!$C$38)+((137.5-Assumptions!$C$36)*12*'Unit Mix'!$C$10))-(-PMT(Assumptions!$C$88,Assumptions!$C$93,Debt!$C$9))+((((('Operating Model'!$B$45+((137.5-Assumptions!$C$36)*12*'Unit Mix'!$C$10)*Assumptions!$C$38)+((137.5-Assumptions!$C$36)*12*'Unit Mix'!$C$10))*(1+Assumptions!$C$53))/(Returns!$B$34+Returns!$B$36))*(1-Assumptions!$C$109)-(Debt!$C$9+CUMPRINC(Assumptions!$C$88,Assumptions!$C$93,Debt!$C$9,1,3,0))))</f>
        <v>2889321.04565468</v>
      </c>
      <c r="H108" s="19" t="n">
        <f aca="false">IFERROR(IRR(B108:G108),"N/A")</f>
        <v>-0.0652072871508628</v>
      </c>
      <c r="I108" s="20" t="n">
        <f aca="false">SUM(C108:G108)/((Capital!$B$12+(('Unit Mix'!$C$10*(Assumptions!$C$34*(1+-0.2)))-'Unit Mix'!$D$18)))</f>
        <v>0.749059443017286</v>
      </c>
    </row>
    <row r="109" customFormat="false" ht="15" hidden="false" customHeight="false" outlineLevel="0" collapsed="false">
      <c r="A109" s="2" t="s">
        <v>452</v>
      </c>
      <c r="B109" s="18" t="n">
        <f aca="false">-((Capital!$B$12+(('Unit Mix'!$C$10*(Assumptions!$C$34*(1+-0.1)))-'Unit Mix'!$D$18)))</f>
        <v>-5478936</v>
      </c>
      <c r="C109" s="18" t="n">
        <f aca="false">(('Operating Model'!$B$45+((137.5-Assumptions!$C$36)*12*'Unit Mix'!$C$10)*Assumptions!$C$38)-(Debt!$C$9*Assumptions!$C$88))</f>
        <v>349219.014813</v>
      </c>
      <c r="D109" s="18" t="n">
        <f aca="false">((('Operating Model'!$B$45+((137.5-Assumptions!$C$36)*12*'Unit Mix'!$C$10)*Assumptions!$C$38)+((137.5-Assumptions!$C$36)*12*'Unit Mix'!$C$10))-(Debt!$C$9*Assumptions!$C$88))</f>
        <v>338419.014813</v>
      </c>
      <c r="E109" s="18" t="n">
        <f aca="false">((('Operating Model'!$B$45+((137.5-Assumptions!$C$36)*12*'Unit Mix'!$C$10)*Assumptions!$C$38)+((137.5-Assumptions!$C$36)*12*'Unit Mix'!$C$10))-(-PMT(Assumptions!$C$88,Assumptions!$C$93,Debt!$C$9)))</f>
        <v>245153.929158377</v>
      </c>
      <c r="F109" s="18" t="n">
        <f aca="false">((('Operating Model'!$B$45+((137.5-Assumptions!$C$36)*12*'Unit Mix'!$C$10)*Assumptions!$C$38)+((137.5-Assumptions!$C$36)*12*'Unit Mix'!$C$10))-(-PMT(Assumptions!$C$88,Assumptions!$C$93,Debt!$C$9)))</f>
        <v>245153.929158377</v>
      </c>
      <c r="G109" s="18" t="n">
        <f aca="false">((('Operating Model'!$B$45+((137.5-Assumptions!$C$36)*12*'Unit Mix'!$C$10)*Assumptions!$C$38)+((137.5-Assumptions!$C$36)*12*'Unit Mix'!$C$10))-(-PMT(Assumptions!$C$88,Assumptions!$C$93,Debt!$C$9))+((((('Operating Model'!$B$45+((137.5-Assumptions!$C$36)*12*'Unit Mix'!$C$10)*Assumptions!$C$38)+((137.5-Assumptions!$C$36)*12*'Unit Mix'!$C$10))*(1+Assumptions!$C$53))/(Returns!$B$34+Returns!$B$36))*(1-Assumptions!$C$109)-(Debt!$C$9+CUMPRINC(Assumptions!$C$88,Assumptions!$C$93,Debt!$C$9,1,3,0))))</f>
        <v>2889321.04565468</v>
      </c>
      <c r="H109" s="19" t="n">
        <f aca="false">IFERROR(IRR(B109:G109),"N/A")</f>
        <v>-0.0671431298344601</v>
      </c>
      <c r="I109" s="20" t="n">
        <f aca="false">SUM(C109:G109)/((Capital!$B$12+(('Unit Mix'!$C$10*(Assumptions!$C$34*(1+-0.1)))-'Unit Mix'!$D$18)))</f>
        <v>0.742346129540012</v>
      </c>
    </row>
    <row r="110" customFormat="false" ht="15" hidden="false" customHeight="false" outlineLevel="0" collapsed="false">
      <c r="A110" s="2" t="s">
        <v>453</v>
      </c>
      <c r="B110" s="18" t="n">
        <f aca="false">-((Capital!$B$12+(('Unit Mix'!$C$10*(Assumptions!$C$34*(1+0)))-'Unit Mix'!$D$18)))</f>
        <v>-5528040</v>
      </c>
      <c r="C110" s="18" t="n">
        <f aca="false">(('Operating Model'!$B$45+((137.5-Assumptions!$C$36)*12*'Unit Mix'!$C$10)*Assumptions!$C$38)-(Debt!$C$9*Assumptions!$C$88))</f>
        <v>349219.014813</v>
      </c>
      <c r="D110" s="18" t="n">
        <f aca="false">((('Operating Model'!$B$45+((137.5-Assumptions!$C$36)*12*'Unit Mix'!$C$10)*Assumptions!$C$38)+((137.5-Assumptions!$C$36)*12*'Unit Mix'!$C$10))-(Debt!$C$9*Assumptions!$C$88))</f>
        <v>338419.014813</v>
      </c>
      <c r="E110" s="18" t="n">
        <f aca="false">((('Operating Model'!$B$45+((137.5-Assumptions!$C$36)*12*'Unit Mix'!$C$10)*Assumptions!$C$38)+((137.5-Assumptions!$C$36)*12*'Unit Mix'!$C$10))-(-PMT(Assumptions!$C$88,Assumptions!$C$93,Debt!$C$9)))</f>
        <v>245153.929158377</v>
      </c>
      <c r="F110" s="18" t="n">
        <f aca="false">((('Operating Model'!$B$45+((137.5-Assumptions!$C$36)*12*'Unit Mix'!$C$10)*Assumptions!$C$38)+((137.5-Assumptions!$C$36)*12*'Unit Mix'!$C$10))-(-PMT(Assumptions!$C$88,Assumptions!$C$93,Debt!$C$9)))</f>
        <v>245153.929158377</v>
      </c>
      <c r="G110" s="18" t="n">
        <f aca="false">((('Operating Model'!$B$45+((137.5-Assumptions!$C$36)*12*'Unit Mix'!$C$10)*Assumptions!$C$38)+((137.5-Assumptions!$C$36)*12*'Unit Mix'!$C$10))-(-PMT(Assumptions!$C$88,Assumptions!$C$93,Debt!$C$9))+((((('Operating Model'!$B$45+((137.5-Assumptions!$C$36)*12*'Unit Mix'!$C$10)*Assumptions!$C$38)+((137.5-Assumptions!$C$36)*12*'Unit Mix'!$C$10))*(1+Assumptions!$C$53))/(Returns!$B$34+Returns!$B$36))*(1-Assumptions!$C$109)-(Debt!$C$9+CUMPRINC(Assumptions!$C$88,Assumptions!$C$93,Debt!$C$9,1,3,0))))</f>
        <v>2889321.04565468</v>
      </c>
      <c r="H110" s="19" t="n">
        <f aca="false">IFERROR(IRR(B110:G110),"N/A")</f>
        <v>-0.0690563084443272</v>
      </c>
      <c r="I110" s="20" t="n">
        <f aca="false">SUM(C110:G110)/((Capital!$B$12+(('Unit Mix'!$C$10*(Assumptions!$C$34*(1+0)))-'Unit Mix'!$D$18)))</f>
        <v>0.735752080954088</v>
      </c>
    </row>
    <row r="111" customFormat="false" ht="15" hidden="false" customHeight="false" outlineLevel="0" collapsed="false">
      <c r="A111" s="2" t="s">
        <v>454</v>
      </c>
      <c r="B111" s="18" t="n">
        <f aca="false">-((Capital!$B$12+(('Unit Mix'!$C$10*(Assumptions!$C$34*(1+0.1)))-'Unit Mix'!$D$18)))</f>
        <v>-5577144</v>
      </c>
      <c r="C111" s="18" t="n">
        <f aca="false">(('Operating Model'!$B$45+((137.5-Assumptions!$C$36)*12*'Unit Mix'!$C$10)*Assumptions!$C$38)-(Debt!$C$9*Assumptions!$C$88))</f>
        <v>349219.014813</v>
      </c>
      <c r="D111" s="18" t="n">
        <f aca="false">((('Operating Model'!$B$45+((137.5-Assumptions!$C$36)*12*'Unit Mix'!$C$10)*Assumptions!$C$38)+((137.5-Assumptions!$C$36)*12*'Unit Mix'!$C$10))-(Debt!$C$9*Assumptions!$C$88))</f>
        <v>338419.014813</v>
      </c>
      <c r="E111" s="18" t="n">
        <f aca="false">((('Operating Model'!$B$45+((137.5-Assumptions!$C$36)*12*'Unit Mix'!$C$10)*Assumptions!$C$38)+((137.5-Assumptions!$C$36)*12*'Unit Mix'!$C$10))-(-PMT(Assumptions!$C$88,Assumptions!$C$93,Debt!$C$9)))</f>
        <v>245153.929158377</v>
      </c>
      <c r="F111" s="18" t="n">
        <f aca="false">((('Operating Model'!$B$45+((137.5-Assumptions!$C$36)*12*'Unit Mix'!$C$10)*Assumptions!$C$38)+((137.5-Assumptions!$C$36)*12*'Unit Mix'!$C$10))-(-PMT(Assumptions!$C$88,Assumptions!$C$93,Debt!$C$9)))</f>
        <v>245153.929158377</v>
      </c>
      <c r="G111" s="18" t="n">
        <f aca="false">((('Operating Model'!$B$45+((137.5-Assumptions!$C$36)*12*'Unit Mix'!$C$10)*Assumptions!$C$38)+((137.5-Assumptions!$C$36)*12*'Unit Mix'!$C$10))-(-PMT(Assumptions!$C$88,Assumptions!$C$93,Debt!$C$9))+((((('Operating Model'!$B$45+((137.5-Assumptions!$C$36)*12*'Unit Mix'!$C$10)*Assumptions!$C$38)+((137.5-Assumptions!$C$36)*12*'Unit Mix'!$C$10))*(1+Assumptions!$C$53))/(Returns!$B$34+Returns!$B$36))*(1-Assumptions!$C$109)-(Debt!$C$9+CUMPRINC(Assumptions!$C$88,Assumptions!$C$93,Debt!$C$9,1,3,0))))</f>
        <v>2889321.04565468</v>
      </c>
      <c r="H111" s="19" t="n">
        <f aca="false">IFERROR(IRR(B111:G111),"N/A")</f>
        <v>-0.0709472973042302</v>
      </c>
      <c r="I111" s="20" t="n">
        <f aca="false">SUM(C111:G111)/((Capital!$B$12+(('Unit Mix'!$C$10*(Assumptions!$C$34*(1+0.1)))-'Unit Mix'!$D$18)))</f>
        <v>0.729274147054019</v>
      </c>
    </row>
    <row r="112" customFormat="false" ht="15" hidden="false" customHeight="false" outlineLevel="0" collapsed="false">
      <c r="A112" s="2" t="s">
        <v>455</v>
      </c>
      <c r="B112" s="18" t="n">
        <f aca="false">-((Capital!$B$12+(('Unit Mix'!$C$10*(Assumptions!$C$34*(1+0.2)))-'Unit Mix'!$D$18)))</f>
        <v>-5626248</v>
      </c>
      <c r="C112" s="18" t="n">
        <f aca="false">(('Operating Model'!$B$45+((137.5-Assumptions!$C$36)*12*'Unit Mix'!$C$10)*Assumptions!$C$38)-(Debt!$C$9*Assumptions!$C$88))</f>
        <v>349219.014813</v>
      </c>
      <c r="D112" s="18" t="n">
        <f aca="false">((('Operating Model'!$B$45+((137.5-Assumptions!$C$36)*12*'Unit Mix'!$C$10)*Assumptions!$C$38)+((137.5-Assumptions!$C$36)*12*'Unit Mix'!$C$10))-(Debt!$C$9*Assumptions!$C$88))</f>
        <v>338419.014813</v>
      </c>
      <c r="E112" s="18" t="n">
        <f aca="false">((('Operating Model'!$B$45+((137.5-Assumptions!$C$36)*12*'Unit Mix'!$C$10)*Assumptions!$C$38)+((137.5-Assumptions!$C$36)*12*'Unit Mix'!$C$10))-(-PMT(Assumptions!$C$88,Assumptions!$C$93,Debt!$C$9)))</f>
        <v>245153.929158377</v>
      </c>
      <c r="F112" s="18" t="n">
        <f aca="false">((('Operating Model'!$B$45+((137.5-Assumptions!$C$36)*12*'Unit Mix'!$C$10)*Assumptions!$C$38)+((137.5-Assumptions!$C$36)*12*'Unit Mix'!$C$10))-(-PMT(Assumptions!$C$88,Assumptions!$C$93,Debt!$C$9)))</f>
        <v>245153.929158377</v>
      </c>
      <c r="G112" s="18" t="n">
        <f aca="false">((('Operating Model'!$B$45+((137.5-Assumptions!$C$36)*12*'Unit Mix'!$C$10)*Assumptions!$C$38)+((137.5-Assumptions!$C$36)*12*'Unit Mix'!$C$10))-(-PMT(Assumptions!$C$88,Assumptions!$C$93,Debt!$C$9))+((((('Operating Model'!$B$45+((137.5-Assumptions!$C$36)*12*'Unit Mix'!$C$10)*Assumptions!$C$38)+((137.5-Assumptions!$C$36)*12*'Unit Mix'!$C$10))*(1+Assumptions!$C$53))/(Returns!$B$34+Returns!$B$36))*(1-Assumptions!$C$109)-(Debt!$C$9+CUMPRINC(Assumptions!$C$88,Assumptions!$C$93,Debt!$C$9,1,3,0))))</f>
        <v>2889321.04565468</v>
      </c>
      <c r="H112" s="19" t="n">
        <f aca="false">IFERROR(IRR(B112:G112),"N/A")</f>
        <v>-0.0728165565565731</v>
      </c>
      <c r="I112" s="20" t="n">
        <f aca="false">SUM(C112:G112)/((Capital!$B$12+(('Unit Mix'!$C$10*(Assumptions!$C$34*(1+0.2)))-'Unit Mix'!$D$18)))</f>
        <v>0.722909287610045</v>
      </c>
    </row>
    <row r="113" customFormat="false" ht="15" hidden="false" customHeight="false" outlineLevel="0" collapsed="false">
      <c r="A113" s="2" t="s">
        <v>456</v>
      </c>
      <c r="B113" s="18" t="n">
        <f aca="false">-((Capital!$B$12+(('Unit Mix'!$C$10*(Assumptions!$C$34*(1+-0.2)))-'Unit Mix'!$D$18)))</f>
        <v>-5429832</v>
      </c>
      <c r="C113" s="18" t="n">
        <f aca="false">(('Operating Model'!$B$45+((175-Assumptions!$C$36)*12*'Unit Mix'!$C$10)*Assumptions!$C$38)-(Debt!$C$9*Assumptions!$C$88))</f>
        <v>354619.014813</v>
      </c>
      <c r="D113" s="18" t="n">
        <f aca="false">((('Operating Model'!$B$45+((175-Assumptions!$C$36)*12*'Unit Mix'!$C$10)*Assumptions!$C$38)+((175-Assumptions!$C$36)*12*'Unit Mix'!$C$10))-(Debt!$C$9*Assumptions!$C$88))</f>
        <v>354619.014813</v>
      </c>
      <c r="E113" s="18" t="n">
        <f aca="false">((('Operating Model'!$B$45+((175-Assumptions!$C$36)*12*'Unit Mix'!$C$10)*Assumptions!$C$38)+((175-Assumptions!$C$36)*12*'Unit Mix'!$C$10))-(-PMT(Assumptions!$C$88,Assumptions!$C$93,Debt!$C$9)))</f>
        <v>261353.929158377</v>
      </c>
      <c r="F113" s="18" t="n">
        <f aca="false">((('Operating Model'!$B$45+((175-Assumptions!$C$36)*12*'Unit Mix'!$C$10)*Assumptions!$C$38)+((175-Assumptions!$C$36)*12*'Unit Mix'!$C$10))-(-PMT(Assumptions!$C$88,Assumptions!$C$93,Debt!$C$9)))</f>
        <v>261353.929158377</v>
      </c>
      <c r="G113" s="18" t="n">
        <f aca="false">((('Operating Model'!$B$45+((175-Assumptions!$C$36)*12*'Unit Mix'!$C$10)*Assumptions!$C$38)+((175-Assumptions!$C$36)*12*'Unit Mix'!$C$10))-(-PMT(Assumptions!$C$88,Assumptions!$C$93,Debt!$C$9))+((((('Operating Model'!$B$45+((175-Assumptions!$C$36)*12*'Unit Mix'!$C$10)*Assumptions!$C$38)+((175-Assumptions!$C$36)*12*'Unit Mix'!$C$10))*(1+Assumptions!$C$53))/(Returns!$B$34+Returns!$B$36))*(1-Assumptions!$C$109)-(Debt!$C$9+CUMPRINC(Assumptions!$C$88,Assumptions!$C$93,Debt!$C$9,1,3,0))))</f>
        <v>3093452.40181417</v>
      </c>
      <c r="H113" s="19" t="n">
        <f aca="false">IFERROR(IRR(B113:G113),"N/A")</f>
        <v>-0.0516227721132915</v>
      </c>
      <c r="I113" s="20" t="n">
        <f aca="false">SUM(C113:G113)/((Capital!$B$12+(('Unit Mix'!$C$10*(Assumptions!$C$34*(1+-0.2)))-'Unit Mix'!$D$18)))</f>
        <v>0.7965989168278</v>
      </c>
    </row>
    <row r="114" customFormat="false" ht="15" hidden="false" customHeight="false" outlineLevel="0" collapsed="false">
      <c r="A114" s="2" t="s">
        <v>457</v>
      </c>
      <c r="B114" s="18" t="n">
        <f aca="false">-((Capital!$B$12+(('Unit Mix'!$C$10*(Assumptions!$C$34*(1+-0.1)))-'Unit Mix'!$D$18)))</f>
        <v>-5478936</v>
      </c>
      <c r="C114" s="18" t="n">
        <f aca="false">(('Operating Model'!$B$45+((175-Assumptions!$C$36)*12*'Unit Mix'!$C$10)*Assumptions!$C$38)-(Debt!$C$9*Assumptions!$C$88))</f>
        <v>354619.014813</v>
      </c>
      <c r="D114" s="18" t="n">
        <f aca="false">((('Operating Model'!$B$45+((175-Assumptions!$C$36)*12*'Unit Mix'!$C$10)*Assumptions!$C$38)+((175-Assumptions!$C$36)*12*'Unit Mix'!$C$10))-(Debt!$C$9*Assumptions!$C$88))</f>
        <v>354619.014813</v>
      </c>
      <c r="E114" s="18" t="n">
        <f aca="false">((('Operating Model'!$B$45+((175-Assumptions!$C$36)*12*'Unit Mix'!$C$10)*Assumptions!$C$38)+((175-Assumptions!$C$36)*12*'Unit Mix'!$C$10))-(-PMT(Assumptions!$C$88,Assumptions!$C$93,Debt!$C$9)))</f>
        <v>261353.929158377</v>
      </c>
      <c r="F114" s="18" t="n">
        <f aca="false">((('Operating Model'!$B$45+((175-Assumptions!$C$36)*12*'Unit Mix'!$C$10)*Assumptions!$C$38)+((175-Assumptions!$C$36)*12*'Unit Mix'!$C$10))-(-PMT(Assumptions!$C$88,Assumptions!$C$93,Debt!$C$9)))</f>
        <v>261353.929158377</v>
      </c>
      <c r="G114" s="18" t="n">
        <f aca="false">((('Operating Model'!$B$45+((175-Assumptions!$C$36)*12*'Unit Mix'!$C$10)*Assumptions!$C$38)+((175-Assumptions!$C$36)*12*'Unit Mix'!$C$10))-(-PMT(Assumptions!$C$88,Assumptions!$C$93,Debt!$C$9))+((((('Operating Model'!$B$45+((175-Assumptions!$C$36)*12*'Unit Mix'!$C$10)*Assumptions!$C$38)+((175-Assumptions!$C$36)*12*'Unit Mix'!$C$10))*(1+Assumptions!$C$53))/(Returns!$B$34+Returns!$B$36))*(1-Assumptions!$C$109)-(Debt!$C$9+CUMPRINC(Assumptions!$C$88,Assumptions!$C$93,Debt!$C$9,1,3,0))))</f>
        <v>3093452.40181417</v>
      </c>
      <c r="H114" s="19" t="n">
        <f aca="false">IFERROR(IRR(B114:G114),"N/A")</f>
        <v>-0.0535898198271505</v>
      </c>
      <c r="I114" s="20" t="n">
        <f aca="false">SUM(C114:G114)/((Capital!$B$12+(('Unit Mix'!$C$10*(Assumptions!$C$34*(1+-0.1)))-'Unit Mix'!$D$18)))</f>
        <v>0.789459539180039</v>
      </c>
    </row>
    <row r="115" customFormat="false" ht="15" hidden="false" customHeight="false" outlineLevel="0" collapsed="false">
      <c r="A115" s="2" t="s">
        <v>458</v>
      </c>
      <c r="B115" s="18" t="n">
        <f aca="false">-((Capital!$B$12+(('Unit Mix'!$C$10*(Assumptions!$C$34*(1+0)))-'Unit Mix'!$D$18)))</f>
        <v>-5528040</v>
      </c>
      <c r="C115" s="18" t="n">
        <f aca="false">(('Operating Model'!$B$45+((175-Assumptions!$C$36)*12*'Unit Mix'!$C$10)*Assumptions!$C$38)-(Debt!$C$9*Assumptions!$C$88))</f>
        <v>354619.014813</v>
      </c>
      <c r="D115" s="18" t="n">
        <f aca="false">((('Operating Model'!$B$45+((175-Assumptions!$C$36)*12*'Unit Mix'!$C$10)*Assumptions!$C$38)+((175-Assumptions!$C$36)*12*'Unit Mix'!$C$10))-(Debt!$C$9*Assumptions!$C$88))</f>
        <v>354619.014813</v>
      </c>
      <c r="E115" s="18" t="n">
        <f aca="false">((('Operating Model'!$B$45+((175-Assumptions!$C$36)*12*'Unit Mix'!$C$10)*Assumptions!$C$38)+((175-Assumptions!$C$36)*12*'Unit Mix'!$C$10))-(-PMT(Assumptions!$C$88,Assumptions!$C$93,Debt!$C$9)))</f>
        <v>261353.929158377</v>
      </c>
      <c r="F115" s="18" t="n">
        <f aca="false">((('Operating Model'!$B$45+((175-Assumptions!$C$36)*12*'Unit Mix'!$C$10)*Assumptions!$C$38)+((175-Assumptions!$C$36)*12*'Unit Mix'!$C$10))-(-PMT(Assumptions!$C$88,Assumptions!$C$93,Debt!$C$9)))</f>
        <v>261353.929158377</v>
      </c>
      <c r="G115" s="18" t="n">
        <f aca="false">((('Operating Model'!$B$45+((175-Assumptions!$C$36)*12*'Unit Mix'!$C$10)*Assumptions!$C$38)+((175-Assumptions!$C$36)*12*'Unit Mix'!$C$10))-(-PMT(Assumptions!$C$88,Assumptions!$C$93,Debt!$C$9))+((((('Operating Model'!$B$45+((175-Assumptions!$C$36)*12*'Unit Mix'!$C$10)*Assumptions!$C$38)+((175-Assumptions!$C$36)*12*'Unit Mix'!$C$10))*(1+Assumptions!$C$53))/(Returns!$B$34+Returns!$B$36))*(1-Assumptions!$C$109)-(Debt!$C$9+CUMPRINC(Assumptions!$C$88,Assumptions!$C$93,Debt!$C$9,1,3,0))))</f>
        <v>3093452.40181417</v>
      </c>
      <c r="H115" s="19" t="n">
        <f aca="false">IFERROR(IRR(B115:G115),"N/A")</f>
        <v>-0.0555338193263678</v>
      </c>
      <c r="I115" s="20" t="n">
        <f aca="false">SUM(C115:G115)/((Capital!$B$12+(('Unit Mix'!$C$10*(Assumptions!$C$34*(1+0)))-'Unit Mix'!$D$18)))</f>
        <v>0.782446995636234</v>
      </c>
    </row>
    <row r="116" customFormat="false" ht="15" hidden="false" customHeight="false" outlineLevel="0" collapsed="false">
      <c r="A116" s="2" t="s">
        <v>459</v>
      </c>
      <c r="B116" s="18" t="n">
        <f aca="false">-((Capital!$B$12+(('Unit Mix'!$C$10*(Assumptions!$C$34*(1+0.1)))-'Unit Mix'!$D$18)))</f>
        <v>-5577144</v>
      </c>
      <c r="C116" s="18" t="n">
        <f aca="false">(('Operating Model'!$B$45+((175-Assumptions!$C$36)*12*'Unit Mix'!$C$10)*Assumptions!$C$38)-(Debt!$C$9*Assumptions!$C$88))</f>
        <v>354619.014813</v>
      </c>
      <c r="D116" s="18" t="n">
        <f aca="false">((('Operating Model'!$B$45+((175-Assumptions!$C$36)*12*'Unit Mix'!$C$10)*Assumptions!$C$38)+((175-Assumptions!$C$36)*12*'Unit Mix'!$C$10))-(Debt!$C$9*Assumptions!$C$88))</f>
        <v>354619.014813</v>
      </c>
      <c r="E116" s="18" t="n">
        <f aca="false">((('Operating Model'!$B$45+((175-Assumptions!$C$36)*12*'Unit Mix'!$C$10)*Assumptions!$C$38)+((175-Assumptions!$C$36)*12*'Unit Mix'!$C$10))-(-PMT(Assumptions!$C$88,Assumptions!$C$93,Debt!$C$9)))</f>
        <v>261353.929158377</v>
      </c>
      <c r="F116" s="18" t="n">
        <f aca="false">((('Operating Model'!$B$45+((175-Assumptions!$C$36)*12*'Unit Mix'!$C$10)*Assumptions!$C$38)+((175-Assumptions!$C$36)*12*'Unit Mix'!$C$10))-(-PMT(Assumptions!$C$88,Assumptions!$C$93,Debt!$C$9)))</f>
        <v>261353.929158377</v>
      </c>
      <c r="G116" s="18" t="n">
        <f aca="false">((('Operating Model'!$B$45+((175-Assumptions!$C$36)*12*'Unit Mix'!$C$10)*Assumptions!$C$38)+((175-Assumptions!$C$36)*12*'Unit Mix'!$C$10))-(-PMT(Assumptions!$C$88,Assumptions!$C$93,Debt!$C$9))+((((('Operating Model'!$B$45+((175-Assumptions!$C$36)*12*'Unit Mix'!$C$10)*Assumptions!$C$38)+((175-Assumptions!$C$36)*12*'Unit Mix'!$C$10))*(1+Assumptions!$C$53))/(Returns!$B$34+Returns!$B$36))*(1-Assumptions!$C$109)-(Debt!$C$9+CUMPRINC(Assumptions!$C$88,Assumptions!$C$93,Debt!$C$9,1,3,0))))</f>
        <v>3093452.40181417</v>
      </c>
      <c r="H116" s="19" t="n">
        <f aca="false">IFERROR(IRR(B116:G116),"N/A")</f>
        <v>-0.057455253259996</v>
      </c>
      <c r="I116" s="20" t="n">
        <f aca="false">SUM(C116:G116)/((Capital!$B$12+(('Unit Mix'!$C$10*(Assumptions!$C$34*(1+0.1)))-'Unit Mix'!$D$18)))</f>
        <v>0.775557936061347</v>
      </c>
    </row>
    <row r="117" customFormat="false" ht="15" hidden="false" customHeight="false" outlineLevel="0" collapsed="false">
      <c r="A117" s="2" t="s">
        <v>460</v>
      </c>
      <c r="B117" s="18" t="n">
        <f aca="false">-((Capital!$B$12+(('Unit Mix'!$C$10*(Assumptions!$C$34*(1+0.2)))-'Unit Mix'!$D$18)))</f>
        <v>-5626248</v>
      </c>
      <c r="C117" s="18" t="n">
        <f aca="false">(('Operating Model'!$B$45+((175-Assumptions!$C$36)*12*'Unit Mix'!$C$10)*Assumptions!$C$38)-(Debt!$C$9*Assumptions!$C$88))</f>
        <v>354619.014813</v>
      </c>
      <c r="D117" s="18" t="n">
        <f aca="false">((('Operating Model'!$B$45+((175-Assumptions!$C$36)*12*'Unit Mix'!$C$10)*Assumptions!$C$38)+((175-Assumptions!$C$36)*12*'Unit Mix'!$C$10))-(Debt!$C$9*Assumptions!$C$88))</f>
        <v>354619.014813</v>
      </c>
      <c r="E117" s="18" t="n">
        <f aca="false">((('Operating Model'!$B$45+((175-Assumptions!$C$36)*12*'Unit Mix'!$C$10)*Assumptions!$C$38)+((175-Assumptions!$C$36)*12*'Unit Mix'!$C$10))-(-PMT(Assumptions!$C$88,Assumptions!$C$93,Debt!$C$9)))</f>
        <v>261353.929158377</v>
      </c>
      <c r="F117" s="18" t="n">
        <f aca="false">((('Operating Model'!$B$45+((175-Assumptions!$C$36)*12*'Unit Mix'!$C$10)*Assumptions!$C$38)+((175-Assumptions!$C$36)*12*'Unit Mix'!$C$10))-(-PMT(Assumptions!$C$88,Assumptions!$C$93,Debt!$C$9)))</f>
        <v>261353.929158377</v>
      </c>
      <c r="G117" s="18" t="n">
        <f aca="false">((('Operating Model'!$B$45+((175-Assumptions!$C$36)*12*'Unit Mix'!$C$10)*Assumptions!$C$38)+((175-Assumptions!$C$36)*12*'Unit Mix'!$C$10))-(-PMT(Assumptions!$C$88,Assumptions!$C$93,Debt!$C$9))+((((('Operating Model'!$B$45+((175-Assumptions!$C$36)*12*'Unit Mix'!$C$10)*Assumptions!$C$38)+((175-Assumptions!$C$36)*12*'Unit Mix'!$C$10))*(1+Assumptions!$C$53))/(Returns!$B$34+Returns!$B$36))*(1-Assumptions!$C$109)-(Debt!$C$9+CUMPRINC(Assumptions!$C$88,Assumptions!$C$93,Debt!$C$9,1,3,0))))</f>
        <v>3093452.40181417</v>
      </c>
      <c r="H117" s="19" t="n">
        <f aca="false">IFERROR(IRR(B117:G117),"N/A")</f>
        <v>-0.059354589839991</v>
      </c>
      <c r="I117" s="20" t="n">
        <f aca="false">SUM(C117:G117)/((Capital!$B$12+(('Unit Mix'!$C$10*(Assumptions!$C$34*(1+0.2)))-'Unit Mix'!$D$18)))</f>
        <v>0.768789127275749</v>
      </c>
    </row>
    <row r="118" customFormat="false" ht="15" hidden="false" customHeight="false" outlineLevel="0" collapsed="false">
      <c r="A118" s="2" t="s">
        <v>461</v>
      </c>
      <c r="B118" s="18" t="n">
        <f aca="false">-((Capital!$B$12+(('Unit Mix'!$C$10*(Assumptions!$C$34*(1+-0.2)))-'Unit Mix'!$D$18)))</f>
        <v>-5429832</v>
      </c>
      <c r="C118" s="18" t="n">
        <f aca="false">(('Operating Model'!$B$45+((212.5-Assumptions!$C$36)*12*'Unit Mix'!$C$10)*Assumptions!$C$38)-(Debt!$C$9*Assumptions!$C$88))</f>
        <v>360019.014813</v>
      </c>
      <c r="D118" s="18" t="n">
        <f aca="false">((('Operating Model'!$B$45+((212.5-Assumptions!$C$36)*12*'Unit Mix'!$C$10)*Assumptions!$C$38)+((212.5-Assumptions!$C$36)*12*'Unit Mix'!$C$10))-(Debt!$C$9*Assumptions!$C$88))</f>
        <v>370819.014813</v>
      </c>
      <c r="E118" s="18" t="n">
        <f aca="false">((('Operating Model'!$B$45+((212.5-Assumptions!$C$36)*12*'Unit Mix'!$C$10)*Assumptions!$C$38)+((212.5-Assumptions!$C$36)*12*'Unit Mix'!$C$10))-(-PMT(Assumptions!$C$88,Assumptions!$C$93,Debt!$C$9)))</f>
        <v>277553.929158377</v>
      </c>
      <c r="F118" s="18" t="n">
        <f aca="false">((('Operating Model'!$B$45+((212.5-Assumptions!$C$36)*12*'Unit Mix'!$C$10)*Assumptions!$C$38)+((212.5-Assumptions!$C$36)*12*'Unit Mix'!$C$10))-(-PMT(Assumptions!$C$88,Assumptions!$C$93,Debt!$C$9)))</f>
        <v>277553.929158377</v>
      </c>
      <c r="G118" s="18" t="n">
        <f aca="false">((('Operating Model'!$B$45+((212.5-Assumptions!$C$36)*12*'Unit Mix'!$C$10)*Assumptions!$C$38)+((212.5-Assumptions!$C$36)*12*'Unit Mix'!$C$10))-(-PMT(Assumptions!$C$88,Assumptions!$C$93,Debt!$C$9))+((((('Operating Model'!$B$45+((212.5-Assumptions!$C$36)*12*'Unit Mix'!$C$10)*Assumptions!$C$38)+((212.5-Assumptions!$C$36)*12*'Unit Mix'!$C$10))*(1+Assumptions!$C$53))/(Returns!$B$34+Returns!$B$36))*(1-Assumptions!$C$109)-(Debt!$C$9+CUMPRINC(Assumptions!$C$88,Assumptions!$C$93,Debt!$C$9,1,3,0))))</f>
        <v>3297583.75797366</v>
      </c>
      <c r="H118" s="19" t="n">
        <f aca="false">IFERROR(IRR(B118:G118),"N/A")</f>
        <v>-0.0386830256549264</v>
      </c>
      <c r="I118" s="20" t="n">
        <f aca="false">SUM(C118:G118)/((Capital!$B$12+(('Unit Mix'!$C$10*(Assumptions!$C$34*(1+-0.2)))-'Unit Mix'!$D$18)))</f>
        <v>0.844138390638314</v>
      </c>
    </row>
    <row r="119" customFormat="false" ht="15" hidden="false" customHeight="false" outlineLevel="0" collapsed="false">
      <c r="A119" s="2" t="s">
        <v>462</v>
      </c>
      <c r="B119" s="18" t="n">
        <f aca="false">-((Capital!$B$12+(('Unit Mix'!$C$10*(Assumptions!$C$34*(1+-0.1)))-'Unit Mix'!$D$18)))</f>
        <v>-5478936</v>
      </c>
      <c r="C119" s="18" t="n">
        <f aca="false">(('Operating Model'!$B$45+((212.5-Assumptions!$C$36)*12*'Unit Mix'!$C$10)*Assumptions!$C$38)-(Debt!$C$9*Assumptions!$C$88))</f>
        <v>360019.014813</v>
      </c>
      <c r="D119" s="18" t="n">
        <f aca="false">((('Operating Model'!$B$45+((212.5-Assumptions!$C$36)*12*'Unit Mix'!$C$10)*Assumptions!$C$38)+((212.5-Assumptions!$C$36)*12*'Unit Mix'!$C$10))-(Debt!$C$9*Assumptions!$C$88))</f>
        <v>370819.014813</v>
      </c>
      <c r="E119" s="18" t="n">
        <f aca="false">((('Operating Model'!$B$45+((212.5-Assumptions!$C$36)*12*'Unit Mix'!$C$10)*Assumptions!$C$38)+((212.5-Assumptions!$C$36)*12*'Unit Mix'!$C$10))-(-PMT(Assumptions!$C$88,Assumptions!$C$93,Debt!$C$9)))</f>
        <v>277553.929158377</v>
      </c>
      <c r="F119" s="18" t="n">
        <f aca="false">((('Operating Model'!$B$45+((212.5-Assumptions!$C$36)*12*'Unit Mix'!$C$10)*Assumptions!$C$38)+((212.5-Assumptions!$C$36)*12*'Unit Mix'!$C$10))-(-PMT(Assumptions!$C$88,Assumptions!$C$93,Debt!$C$9)))</f>
        <v>277553.929158377</v>
      </c>
      <c r="G119" s="18" t="n">
        <f aca="false">((('Operating Model'!$B$45+((212.5-Assumptions!$C$36)*12*'Unit Mix'!$C$10)*Assumptions!$C$38)+((212.5-Assumptions!$C$36)*12*'Unit Mix'!$C$10))-(-PMT(Assumptions!$C$88,Assumptions!$C$93,Debt!$C$9))+((((('Operating Model'!$B$45+((212.5-Assumptions!$C$36)*12*'Unit Mix'!$C$10)*Assumptions!$C$38)+((212.5-Assumptions!$C$36)*12*'Unit Mix'!$C$10))*(1+Assumptions!$C$53))/(Returns!$B$34+Returns!$B$36))*(1-Assumptions!$C$109)-(Debt!$C$9+CUMPRINC(Assumptions!$C$88,Assumptions!$C$93,Debt!$C$9,1,3,0))))</f>
        <v>3297583.75797366</v>
      </c>
      <c r="H119" s="19" t="n">
        <f aca="false">IFERROR(IRR(B119:G119),"N/A")</f>
        <v>-0.0406800651500475</v>
      </c>
      <c r="I119" s="20" t="n">
        <f aca="false">SUM(C119:G119)/((Capital!$B$12+(('Unit Mix'!$C$10*(Assumptions!$C$34*(1+-0.1)))-'Unit Mix'!$D$18)))</f>
        <v>0.836572948820066</v>
      </c>
    </row>
    <row r="120" customFormat="false" ht="15" hidden="false" customHeight="false" outlineLevel="0" collapsed="false">
      <c r="A120" s="2" t="s">
        <v>463</v>
      </c>
      <c r="B120" s="18" t="n">
        <f aca="false">-((Capital!$B$12+(('Unit Mix'!$C$10*(Assumptions!$C$34*(1+0)))-'Unit Mix'!$D$18)))</f>
        <v>-5528040</v>
      </c>
      <c r="C120" s="18" t="n">
        <f aca="false">(('Operating Model'!$B$45+((212.5-Assumptions!$C$36)*12*'Unit Mix'!$C$10)*Assumptions!$C$38)-(Debt!$C$9*Assumptions!$C$88))</f>
        <v>360019.014813</v>
      </c>
      <c r="D120" s="18" t="n">
        <f aca="false">((('Operating Model'!$B$45+((212.5-Assumptions!$C$36)*12*'Unit Mix'!$C$10)*Assumptions!$C$38)+((212.5-Assumptions!$C$36)*12*'Unit Mix'!$C$10))-(Debt!$C$9*Assumptions!$C$88))</f>
        <v>370819.014813</v>
      </c>
      <c r="E120" s="18" t="n">
        <f aca="false">((('Operating Model'!$B$45+((212.5-Assumptions!$C$36)*12*'Unit Mix'!$C$10)*Assumptions!$C$38)+((212.5-Assumptions!$C$36)*12*'Unit Mix'!$C$10))-(-PMT(Assumptions!$C$88,Assumptions!$C$93,Debt!$C$9)))</f>
        <v>277553.929158377</v>
      </c>
      <c r="F120" s="18" t="n">
        <f aca="false">((('Operating Model'!$B$45+((212.5-Assumptions!$C$36)*12*'Unit Mix'!$C$10)*Assumptions!$C$38)+((212.5-Assumptions!$C$36)*12*'Unit Mix'!$C$10))-(-PMT(Assumptions!$C$88,Assumptions!$C$93,Debt!$C$9)))</f>
        <v>277553.929158377</v>
      </c>
      <c r="G120" s="18" t="n">
        <f aca="false">((('Operating Model'!$B$45+((212.5-Assumptions!$C$36)*12*'Unit Mix'!$C$10)*Assumptions!$C$38)+((212.5-Assumptions!$C$36)*12*'Unit Mix'!$C$10))-(-PMT(Assumptions!$C$88,Assumptions!$C$93,Debt!$C$9))+((((('Operating Model'!$B$45+((212.5-Assumptions!$C$36)*12*'Unit Mix'!$C$10)*Assumptions!$C$38)+((212.5-Assumptions!$C$36)*12*'Unit Mix'!$C$10))*(1+Assumptions!$C$53))/(Returns!$B$34+Returns!$B$36))*(1-Assumptions!$C$109)-(Debt!$C$9+CUMPRINC(Assumptions!$C$88,Assumptions!$C$93,Debt!$C$9,1,3,0))))</f>
        <v>3297583.75797366</v>
      </c>
      <c r="H120" s="19" t="n">
        <f aca="false">IFERROR(IRR(B120:G120),"N/A")</f>
        <v>-0.0426536854307169</v>
      </c>
      <c r="I120" s="20" t="n">
        <f aca="false">SUM(C120:G120)/((Capital!$B$12+(('Unit Mix'!$C$10*(Assumptions!$C$34*(1+0)))-'Unit Mix'!$D$18)))</f>
        <v>0.82914191031838</v>
      </c>
    </row>
    <row r="121" customFormat="false" ht="15" hidden="false" customHeight="false" outlineLevel="0" collapsed="false">
      <c r="A121" s="2" t="s">
        <v>464</v>
      </c>
      <c r="B121" s="18" t="n">
        <f aca="false">-((Capital!$B$12+(('Unit Mix'!$C$10*(Assumptions!$C$34*(1+0.1)))-'Unit Mix'!$D$18)))</f>
        <v>-5577144</v>
      </c>
      <c r="C121" s="18" t="n">
        <f aca="false">(('Operating Model'!$B$45+((212.5-Assumptions!$C$36)*12*'Unit Mix'!$C$10)*Assumptions!$C$38)-(Debt!$C$9*Assumptions!$C$88))</f>
        <v>360019.014813</v>
      </c>
      <c r="D121" s="18" t="n">
        <f aca="false">((('Operating Model'!$B$45+((212.5-Assumptions!$C$36)*12*'Unit Mix'!$C$10)*Assumptions!$C$38)+((212.5-Assumptions!$C$36)*12*'Unit Mix'!$C$10))-(Debt!$C$9*Assumptions!$C$88))</f>
        <v>370819.014813</v>
      </c>
      <c r="E121" s="18" t="n">
        <f aca="false">((('Operating Model'!$B$45+((212.5-Assumptions!$C$36)*12*'Unit Mix'!$C$10)*Assumptions!$C$38)+((212.5-Assumptions!$C$36)*12*'Unit Mix'!$C$10))-(-PMT(Assumptions!$C$88,Assumptions!$C$93,Debt!$C$9)))</f>
        <v>277553.929158377</v>
      </c>
      <c r="F121" s="18" t="n">
        <f aca="false">((('Operating Model'!$B$45+((212.5-Assumptions!$C$36)*12*'Unit Mix'!$C$10)*Assumptions!$C$38)+((212.5-Assumptions!$C$36)*12*'Unit Mix'!$C$10))-(-PMT(Assumptions!$C$88,Assumptions!$C$93,Debt!$C$9)))</f>
        <v>277553.929158377</v>
      </c>
      <c r="G121" s="18" t="n">
        <f aca="false">((('Operating Model'!$B$45+((212.5-Assumptions!$C$36)*12*'Unit Mix'!$C$10)*Assumptions!$C$38)+((212.5-Assumptions!$C$36)*12*'Unit Mix'!$C$10))-(-PMT(Assumptions!$C$88,Assumptions!$C$93,Debt!$C$9))+((((('Operating Model'!$B$45+((212.5-Assumptions!$C$36)*12*'Unit Mix'!$C$10)*Assumptions!$C$38)+((212.5-Assumptions!$C$36)*12*'Unit Mix'!$C$10))*(1+Assumptions!$C$53))/(Returns!$B$34+Returns!$B$36))*(1-Assumptions!$C$109)-(Debt!$C$9+CUMPRINC(Assumptions!$C$88,Assumptions!$C$93,Debt!$C$9,1,3,0))))</f>
        <v>3297583.75797366</v>
      </c>
      <c r="H121" s="19" t="n">
        <f aca="false">IFERROR(IRR(B121:G121),"N/A")</f>
        <v>-0.0446043772151636</v>
      </c>
      <c r="I121" s="20" t="n">
        <f aca="false">SUM(C121:G121)/((Capital!$B$12+(('Unit Mix'!$C$10*(Assumptions!$C$34*(1+0.1)))-'Unit Mix'!$D$18)))</f>
        <v>0.821841725068676</v>
      </c>
    </row>
    <row r="122" customFormat="false" ht="15" hidden="false" customHeight="false" outlineLevel="0" collapsed="false">
      <c r="A122" s="2" t="s">
        <v>465</v>
      </c>
      <c r="B122" s="18" t="n">
        <f aca="false">-((Capital!$B$12+(('Unit Mix'!$C$10*(Assumptions!$C$34*(1+0.2)))-'Unit Mix'!$D$18)))</f>
        <v>-5626248</v>
      </c>
      <c r="C122" s="18" t="n">
        <f aca="false">(('Operating Model'!$B$45+((212.5-Assumptions!$C$36)*12*'Unit Mix'!$C$10)*Assumptions!$C$38)-(Debt!$C$9*Assumptions!$C$88))</f>
        <v>360019.014813</v>
      </c>
      <c r="D122" s="18" t="n">
        <f aca="false">((('Operating Model'!$B$45+((212.5-Assumptions!$C$36)*12*'Unit Mix'!$C$10)*Assumptions!$C$38)+((212.5-Assumptions!$C$36)*12*'Unit Mix'!$C$10))-(Debt!$C$9*Assumptions!$C$88))</f>
        <v>370819.014813</v>
      </c>
      <c r="E122" s="18" t="n">
        <f aca="false">((('Operating Model'!$B$45+((212.5-Assumptions!$C$36)*12*'Unit Mix'!$C$10)*Assumptions!$C$38)+((212.5-Assumptions!$C$36)*12*'Unit Mix'!$C$10))-(-PMT(Assumptions!$C$88,Assumptions!$C$93,Debt!$C$9)))</f>
        <v>277553.929158377</v>
      </c>
      <c r="F122" s="18" t="n">
        <f aca="false">((('Operating Model'!$B$45+((212.5-Assumptions!$C$36)*12*'Unit Mix'!$C$10)*Assumptions!$C$38)+((212.5-Assumptions!$C$36)*12*'Unit Mix'!$C$10))-(-PMT(Assumptions!$C$88,Assumptions!$C$93,Debt!$C$9)))</f>
        <v>277553.929158377</v>
      </c>
      <c r="G122" s="18" t="n">
        <f aca="false">((('Operating Model'!$B$45+((212.5-Assumptions!$C$36)*12*'Unit Mix'!$C$10)*Assumptions!$C$38)+((212.5-Assumptions!$C$36)*12*'Unit Mix'!$C$10))-(-PMT(Assumptions!$C$88,Assumptions!$C$93,Debt!$C$9))+((((('Operating Model'!$B$45+((212.5-Assumptions!$C$36)*12*'Unit Mix'!$C$10)*Assumptions!$C$38)+((212.5-Assumptions!$C$36)*12*'Unit Mix'!$C$10))*(1+Assumptions!$C$53))/(Returns!$B$34+Returns!$B$36))*(1-Assumptions!$C$109)-(Debt!$C$9+CUMPRINC(Assumptions!$C$88,Assumptions!$C$93,Debt!$C$9,1,3,0))))</f>
        <v>3297583.75797366</v>
      </c>
      <c r="H122" s="19" t="n">
        <f aca="false">IFERROR(IRR(B122:G122),"N/A")</f>
        <v>-0.046532616535939</v>
      </c>
      <c r="I122" s="20" t="n">
        <f aca="false">SUM(C122:G122)/((Capital!$B$12+(('Unit Mix'!$C$10*(Assumptions!$C$34*(1+0.2)))-'Unit Mix'!$D$18)))</f>
        <v>0.814668966941453</v>
      </c>
    </row>
    <row r="123" customFormat="false" ht="15" hidden="false" customHeight="false" outlineLevel="0" collapsed="false">
      <c r="A123" s="2" t="s">
        <v>466</v>
      </c>
      <c r="B123" s="18" t="n">
        <f aca="false">-((Capital!$B$12+(('Unit Mix'!$C$10*(Assumptions!$C$34*(1+-0.2)))-'Unit Mix'!$D$18)))</f>
        <v>-5429832</v>
      </c>
      <c r="C123" s="18" t="n">
        <f aca="false">(('Operating Model'!$B$45+((250-Assumptions!$C$36)*12*'Unit Mix'!$C$10)*Assumptions!$C$38)-(Debt!$C$9*Assumptions!$C$88))</f>
        <v>365419.014813</v>
      </c>
      <c r="D123" s="18" t="n">
        <f aca="false">((('Operating Model'!$B$45+((250-Assumptions!$C$36)*12*'Unit Mix'!$C$10)*Assumptions!$C$38)+((250-Assumptions!$C$36)*12*'Unit Mix'!$C$10))-(Debt!$C$9*Assumptions!$C$88))</f>
        <v>387019.014813</v>
      </c>
      <c r="E123" s="18" t="n">
        <f aca="false">((('Operating Model'!$B$45+((250-Assumptions!$C$36)*12*'Unit Mix'!$C$10)*Assumptions!$C$38)+((250-Assumptions!$C$36)*12*'Unit Mix'!$C$10))-(-PMT(Assumptions!$C$88,Assumptions!$C$93,Debt!$C$9)))</f>
        <v>293753.929158377</v>
      </c>
      <c r="F123" s="18" t="n">
        <f aca="false">((('Operating Model'!$B$45+((250-Assumptions!$C$36)*12*'Unit Mix'!$C$10)*Assumptions!$C$38)+((250-Assumptions!$C$36)*12*'Unit Mix'!$C$10))-(-PMT(Assumptions!$C$88,Assumptions!$C$93,Debt!$C$9)))</f>
        <v>293753.929158377</v>
      </c>
      <c r="G123" s="18" t="n">
        <f aca="false">((('Operating Model'!$B$45+((250-Assumptions!$C$36)*12*'Unit Mix'!$C$10)*Assumptions!$C$38)+((250-Assumptions!$C$36)*12*'Unit Mix'!$C$10))-(-PMT(Assumptions!$C$88,Assumptions!$C$93,Debt!$C$9))+((((('Operating Model'!$B$45+((250-Assumptions!$C$36)*12*'Unit Mix'!$C$10)*Assumptions!$C$38)+((250-Assumptions!$C$36)*12*'Unit Mix'!$C$10))*(1+Assumptions!$C$53))/(Returns!$B$34+Returns!$B$36))*(1-Assumptions!$C$109)-(Debt!$C$9+CUMPRINC(Assumptions!$C$88,Assumptions!$C$93,Debt!$C$9,1,3,0))))</f>
        <v>3501715.11413315</v>
      </c>
      <c r="H123" s="19" t="n">
        <f aca="false">IFERROR(IRR(B123:G123),"N/A")</f>
        <v>-0.0263188056450953</v>
      </c>
      <c r="I123" s="20" t="n">
        <f aca="false">SUM(C123:G123)/((Capital!$B$12+(('Unit Mix'!$C$10*(Assumptions!$C$34*(1+-0.2)))-'Unit Mix'!$D$18)))</f>
        <v>0.891677864448826</v>
      </c>
    </row>
    <row r="124" customFormat="false" ht="15" hidden="false" customHeight="false" outlineLevel="0" collapsed="false">
      <c r="A124" s="2" t="s">
        <v>467</v>
      </c>
      <c r="B124" s="18" t="n">
        <f aca="false">-((Capital!$B$12+(('Unit Mix'!$C$10*(Assumptions!$C$34*(1+-0.1)))-'Unit Mix'!$D$18)))</f>
        <v>-5478936</v>
      </c>
      <c r="C124" s="18" t="n">
        <f aca="false">(('Operating Model'!$B$45+((250-Assumptions!$C$36)*12*'Unit Mix'!$C$10)*Assumptions!$C$38)-(Debt!$C$9*Assumptions!$C$88))</f>
        <v>365419.014813</v>
      </c>
      <c r="D124" s="18" t="n">
        <f aca="false">((('Operating Model'!$B$45+((250-Assumptions!$C$36)*12*'Unit Mix'!$C$10)*Assumptions!$C$38)+((250-Assumptions!$C$36)*12*'Unit Mix'!$C$10))-(Debt!$C$9*Assumptions!$C$88))</f>
        <v>387019.014813</v>
      </c>
      <c r="E124" s="18" t="n">
        <f aca="false">((('Operating Model'!$B$45+((250-Assumptions!$C$36)*12*'Unit Mix'!$C$10)*Assumptions!$C$38)+((250-Assumptions!$C$36)*12*'Unit Mix'!$C$10))-(-PMT(Assumptions!$C$88,Assumptions!$C$93,Debt!$C$9)))</f>
        <v>293753.929158377</v>
      </c>
      <c r="F124" s="18" t="n">
        <f aca="false">((('Operating Model'!$B$45+((250-Assumptions!$C$36)*12*'Unit Mix'!$C$10)*Assumptions!$C$38)+((250-Assumptions!$C$36)*12*'Unit Mix'!$C$10))-(-PMT(Assumptions!$C$88,Assumptions!$C$93,Debt!$C$9)))</f>
        <v>293753.929158377</v>
      </c>
      <c r="G124" s="18" t="n">
        <f aca="false">((('Operating Model'!$B$45+((250-Assumptions!$C$36)*12*'Unit Mix'!$C$10)*Assumptions!$C$38)+((250-Assumptions!$C$36)*12*'Unit Mix'!$C$10))-(-PMT(Assumptions!$C$88,Assumptions!$C$93,Debt!$C$9))+((((('Operating Model'!$B$45+((250-Assumptions!$C$36)*12*'Unit Mix'!$C$10)*Assumptions!$C$38)+((250-Assumptions!$C$36)*12*'Unit Mix'!$C$10))*(1+Assumptions!$C$53))/(Returns!$B$34+Returns!$B$36))*(1-Assumptions!$C$109)-(Debt!$C$9+CUMPRINC(Assumptions!$C$88,Assumptions!$C$93,Debt!$C$9,1,3,0))))</f>
        <v>3501715.11413315</v>
      </c>
      <c r="H124" s="19" t="n">
        <f aca="false">IFERROR(IRR(B124:G124),"N/A")</f>
        <v>-0.0283447508879162</v>
      </c>
      <c r="I124" s="20" t="n">
        <f aca="false">SUM(C124:G124)/((Capital!$B$12+(('Unit Mix'!$C$10*(Assumptions!$C$34*(1+-0.1)))-'Unit Mix'!$D$18)))</f>
        <v>0.883686358460091</v>
      </c>
    </row>
    <row r="125" customFormat="false" ht="15" hidden="false" customHeight="false" outlineLevel="0" collapsed="false">
      <c r="A125" s="2" t="s">
        <v>468</v>
      </c>
      <c r="B125" s="18" t="n">
        <f aca="false">-((Capital!$B$12+(('Unit Mix'!$C$10*(Assumptions!$C$34*(1+0)))-'Unit Mix'!$D$18)))</f>
        <v>-5528040</v>
      </c>
      <c r="C125" s="18" t="n">
        <f aca="false">(('Operating Model'!$B$45+((250-Assumptions!$C$36)*12*'Unit Mix'!$C$10)*Assumptions!$C$38)-(Debt!$C$9*Assumptions!$C$88))</f>
        <v>365419.014813</v>
      </c>
      <c r="D125" s="18" t="n">
        <f aca="false">((('Operating Model'!$B$45+((250-Assumptions!$C$36)*12*'Unit Mix'!$C$10)*Assumptions!$C$38)+((250-Assumptions!$C$36)*12*'Unit Mix'!$C$10))-(Debt!$C$9*Assumptions!$C$88))</f>
        <v>387019.014813</v>
      </c>
      <c r="E125" s="18" t="n">
        <f aca="false">((('Operating Model'!$B$45+((250-Assumptions!$C$36)*12*'Unit Mix'!$C$10)*Assumptions!$C$38)+((250-Assumptions!$C$36)*12*'Unit Mix'!$C$10))-(-PMT(Assumptions!$C$88,Assumptions!$C$93,Debt!$C$9)))</f>
        <v>293753.929158377</v>
      </c>
      <c r="F125" s="18" t="n">
        <f aca="false">((('Operating Model'!$B$45+((250-Assumptions!$C$36)*12*'Unit Mix'!$C$10)*Assumptions!$C$38)+((250-Assumptions!$C$36)*12*'Unit Mix'!$C$10))-(-PMT(Assumptions!$C$88,Assumptions!$C$93,Debt!$C$9)))</f>
        <v>293753.929158377</v>
      </c>
      <c r="G125" s="18" t="n">
        <f aca="false">((('Operating Model'!$B$45+((250-Assumptions!$C$36)*12*'Unit Mix'!$C$10)*Assumptions!$C$38)+((250-Assumptions!$C$36)*12*'Unit Mix'!$C$10))-(-PMT(Assumptions!$C$88,Assumptions!$C$93,Debt!$C$9))+((((('Operating Model'!$B$45+((250-Assumptions!$C$36)*12*'Unit Mix'!$C$10)*Assumptions!$C$38)+((250-Assumptions!$C$36)*12*'Unit Mix'!$C$10))*(1+Assumptions!$C$53))/(Returns!$B$34+Returns!$B$36))*(1-Assumptions!$C$109)-(Debt!$C$9+CUMPRINC(Assumptions!$C$88,Assumptions!$C$93,Debt!$C$9,1,3,0))))</f>
        <v>3501715.11413315</v>
      </c>
      <c r="H125" s="19" t="n">
        <f aca="false">IFERROR(IRR(B125:G125),"N/A")</f>
        <v>-0.0303469176946547</v>
      </c>
      <c r="I125" s="20" t="n">
        <f aca="false">SUM(C125:G125)/((Capital!$B$12+(('Unit Mix'!$C$10*(Assumptions!$C$34*(1+0)))-'Unit Mix'!$D$18)))</f>
        <v>0.875836825000525</v>
      </c>
    </row>
    <row r="126" customFormat="false" ht="15" hidden="false" customHeight="false" outlineLevel="0" collapsed="false">
      <c r="A126" s="2" t="s">
        <v>469</v>
      </c>
      <c r="B126" s="18" t="n">
        <f aca="false">-((Capital!$B$12+(('Unit Mix'!$C$10*(Assumptions!$C$34*(1+0.1)))-'Unit Mix'!$D$18)))</f>
        <v>-5577144</v>
      </c>
      <c r="C126" s="18" t="n">
        <f aca="false">(('Operating Model'!$B$45+((250-Assumptions!$C$36)*12*'Unit Mix'!$C$10)*Assumptions!$C$38)-(Debt!$C$9*Assumptions!$C$88))</f>
        <v>365419.014813</v>
      </c>
      <c r="D126" s="18" t="n">
        <f aca="false">((('Operating Model'!$B$45+((250-Assumptions!$C$36)*12*'Unit Mix'!$C$10)*Assumptions!$C$38)+((250-Assumptions!$C$36)*12*'Unit Mix'!$C$10))-(Debt!$C$9*Assumptions!$C$88))</f>
        <v>387019.014813</v>
      </c>
      <c r="E126" s="18" t="n">
        <f aca="false">((('Operating Model'!$B$45+((250-Assumptions!$C$36)*12*'Unit Mix'!$C$10)*Assumptions!$C$38)+((250-Assumptions!$C$36)*12*'Unit Mix'!$C$10))-(-PMT(Assumptions!$C$88,Assumptions!$C$93,Debt!$C$9)))</f>
        <v>293753.929158377</v>
      </c>
      <c r="F126" s="18" t="n">
        <f aca="false">((('Operating Model'!$B$45+((250-Assumptions!$C$36)*12*'Unit Mix'!$C$10)*Assumptions!$C$38)+((250-Assumptions!$C$36)*12*'Unit Mix'!$C$10))-(-PMT(Assumptions!$C$88,Assumptions!$C$93,Debt!$C$9)))</f>
        <v>293753.929158377</v>
      </c>
      <c r="G126" s="18" t="n">
        <f aca="false">((('Operating Model'!$B$45+((250-Assumptions!$C$36)*12*'Unit Mix'!$C$10)*Assumptions!$C$38)+((250-Assumptions!$C$36)*12*'Unit Mix'!$C$10))-(-PMT(Assumptions!$C$88,Assumptions!$C$93,Debt!$C$9))+((((('Operating Model'!$B$45+((250-Assumptions!$C$36)*12*'Unit Mix'!$C$10)*Assumptions!$C$38)+((250-Assumptions!$C$36)*12*'Unit Mix'!$C$10))*(1+Assumptions!$C$53))/(Returns!$B$34+Returns!$B$36))*(1-Assumptions!$C$109)-(Debt!$C$9+CUMPRINC(Assumptions!$C$88,Assumptions!$C$93,Debt!$C$9,1,3,0))))</f>
        <v>3501715.11413315</v>
      </c>
      <c r="H126" s="19" t="n">
        <f aca="false">IFERROR(IRR(B126:G126),"N/A")</f>
        <v>-0.032325804622977</v>
      </c>
      <c r="I126" s="20" t="n">
        <f aca="false">SUM(C126:G126)/((Capital!$B$12+(('Unit Mix'!$C$10*(Assumptions!$C$34*(1+0.1)))-'Unit Mix'!$D$18)))</f>
        <v>0.868125514076004</v>
      </c>
    </row>
    <row r="127" customFormat="false" ht="15" hidden="false" customHeight="false" outlineLevel="0" collapsed="false">
      <c r="A127" s="2" t="s">
        <v>470</v>
      </c>
      <c r="B127" s="18" t="n">
        <f aca="false">-((Capital!$B$12+(('Unit Mix'!$C$10*(Assumptions!$C$34*(1+0.2)))-'Unit Mix'!$D$18)))</f>
        <v>-5626248</v>
      </c>
      <c r="C127" s="18" t="n">
        <f aca="false">(('Operating Model'!$B$45+((250-Assumptions!$C$36)*12*'Unit Mix'!$C$10)*Assumptions!$C$38)-(Debt!$C$9*Assumptions!$C$88))</f>
        <v>365419.014813</v>
      </c>
      <c r="D127" s="18" t="n">
        <f aca="false">((('Operating Model'!$B$45+((250-Assumptions!$C$36)*12*'Unit Mix'!$C$10)*Assumptions!$C$38)+((250-Assumptions!$C$36)*12*'Unit Mix'!$C$10))-(Debt!$C$9*Assumptions!$C$88))</f>
        <v>387019.014813</v>
      </c>
      <c r="E127" s="18" t="n">
        <f aca="false">((('Operating Model'!$B$45+((250-Assumptions!$C$36)*12*'Unit Mix'!$C$10)*Assumptions!$C$38)+((250-Assumptions!$C$36)*12*'Unit Mix'!$C$10))-(-PMT(Assumptions!$C$88,Assumptions!$C$93,Debt!$C$9)))</f>
        <v>293753.929158377</v>
      </c>
      <c r="F127" s="18" t="n">
        <f aca="false">((('Operating Model'!$B$45+((250-Assumptions!$C$36)*12*'Unit Mix'!$C$10)*Assumptions!$C$38)+((250-Assumptions!$C$36)*12*'Unit Mix'!$C$10))-(-PMT(Assumptions!$C$88,Assumptions!$C$93,Debt!$C$9)))</f>
        <v>293753.929158377</v>
      </c>
      <c r="G127" s="18" t="n">
        <f aca="false">((('Operating Model'!$B$45+((250-Assumptions!$C$36)*12*'Unit Mix'!$C$10)*Assumptions!$C$38)+((250-Assumptions!$C$36)*12*'Unit Mix'!$C$10))-(-PMT(Assumptions!$C$88,Assumptions!$C$93,Debt!$C$9))+((((('Operating Model'!$B$45+((250-Assumptions!$C$36)*12*'Unit Mix'!$C$10)*Assumptions!$C$38)+((250-Assumptions!$C$36)*12*'Unit Mix'!$C$10))*(1+Assumptions!$C$53))/(Returns!$B$34+Returns!$B$36))*(1-Assumptions!$C$109)-(Debt!$C$9+CUMPRINC(Assumptions!$C$88,Assumptions!$C$93,Debt!$C$9,1,3,0))))</f>
        <v>3501715.11413315</v>
      </c>
      <c r="H127" s="19" t="n">
        <f aca="false">IFERROR(IRR(B127:G127),"N/A")</f>
        <v>-0.0342818953027138</v>
      </c>
      <c r="I127" s="20" t="n">
        <f aca="false">SUM(C127:G127)/((Capital!$B$12+(('Unit Mix'!$C$10*(Assumptions!$C$34*(1+0.2)))-'Unit Mix'!$D$18)))</f>
        <v>0.860548806607156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3" min="3" style="0" width="40"/>
  </cols>
  <sheetData>
    <row r="1" customFormat="false" ht="17.35" hidden="false" customHeight="false" outlineLevel="0" collapsed="false">
      <c r="A1" s="1" t="s">
        <v>471</v>
      </c>
    </row>
    <row r="4" customFormat="false" ht="15" hidden="false" customHeight="false" outlineLevel="0" collapsed="false">
      <c r="A4" s="3" t="s">
        <v>472</v>
      </c>
      <c r="B4" s="3"/>
      <c r="C4" s="3"/>
    </row>
    <row r="5" customFormat="false" ht="15" hidden="false" customHeight="false" outlineLevel="0" collapsed="false">
      <c r="A5" s="0" t="s">
        <v>473</v>
      </c>
      <c r="B5" s="21" t="n">
        <f aca="false">Capital!$B$19</f>
        <v>0</v>
      </c>
      <c r="C5" s="0" t="str">
        <f aca="false">IF(ABS(B5)&lt;0.01,"OK","FAIL")</f>
        <v>OK</v>
      </c>
    </row>
    <row r="7" customFormat="false" ht="15" hidden="false" customHeight="false" outlineLevel="0" collapsed="false">
      <c r="A7" s="3" t="s">
        <v>474</v>
      </c>
      <c r="B7" s="3"/>
      <c r="C7" s="3"/>
    </row>
    <row r="8" customFormat="false" ht="15" hidden="false" customHeight="false" outlineLevel="0" collapsed="false">
      <c r="A8" s="0" t="s">
        <v>475</v>
      </c>
      <c r="B8" s="21" t="n">
        <f aca="false">('Operating Model'!B$51-Debt!$E$18)-Returns!C50</f>
        <v>0</v>
      </c>
      <c r="C8" s="0" t="str">
        <f aca="false">IF(ABS(B8)&lt;0.01,"OK","FAIL")</f>
        <v>OK</v>
      </c>
    </row>
    <row r="9" customFormat="false" ht="15" hidden="false" customHeight="false" outlineLevel="0" collapsed="false">
      <c r="A9" s="0" t="s">
        <v>476</v>
      </c>
      <c r="B9" s="21" t="n">
        <f aca="false">('Operating Model'!C$51-Debt!$E$19)-Returns!D50</f>
        <v>0</v>
      </c>
      <c r="C9" s="0" t="str">
        <f aca="false">IF(ABS(B9)&lt;0.01,"OK","FAIL")</f>
        <v>OK</v>
      </c>
    </row>
    <row r="10" customFormat="false" ht="15" hidden="false" customHeight="false" outlineLevel="0" collapsed="false">
      <c r="A10" s="0" t="s">
        <v>477</v>
      </c>
      <c r="B10" s="21" t="n">
        <f aca="false">('Operating Model'!D$51-Debt!$E$20)-Returns!E50</f>
        <v>0</v>
      </c>
      <c r="C10" s="0" t="str">
        <f aca="false">IF(ABS(B10)&lt;0.01,"OK","FAIL")</f>
        <v>OK</v>
      </c>
    </row>
    <row r="11" customFormat="false" ht="15" hidden="false" customHeight="false" outlineLevel="0" collapsed="false">
      <c r="A11" s="0" t="s">
        <v>478</v>
      </c>
      <c r="B11" s="21" t="n">
        <f aca="false">('Operating Model'!E$51-Debt!$E$21)-Returns!F50</f>
        <v>0</v>
      </c>
      <c r="C11" s="0" t="str">
        <f aca="false">IF(ABS(B11)&lt;0.01,"OK","FAIL")</f>
        <v>OK</v>
      </c>
    </row>
    <row r="12" customFormat="false" ht="15" hidden="false" customHeight="false" outlineLevel="0" collapsed="false">
      <c r="A12" s="0" t="s">
        <v>479</v>
      </c>
      <c r="B12" s="21" t="n">
        <f aca="false">('Operating Model'!F$51-Debt!$E$22)-Returns!G50</f>
        <v>0</v>
      </c>
      <c r="C12" s="0" t="str">
        <f aca="false">IF(ABS(B12)&lt;0.01,"OK","FAIL")</f>
        <v>OK</v>
      </c>
    </row>
    <row r="14" customFormat="false" ht="15" hidden="false" customHeight="false" outlineLevel="0" collapsed="false">
      <c r="A14" s="3" t="s">
        <v>480</v>
      </c>
      <c r="B14" s="3"/>
      <c r="C14" s="3"/>
    </row>
    <row r="15" customFormat="false" ht="15" hidden="false" customHeight="false" outlineLevel="0" collapsed="false">
      <c r="A15" s="0" t="s">
        <v>481</v>
      </c>
      <c r="B15" s="21" t="n">
        <f aca="false">'Operating Model'!B30+'Operating Model'!B43-'Operating Model'!B45</f>
        <v>0</v>
      </c>
      <c r="C15" s="0" t="str">
        <f aca="false">IF(ABS(B15)&lt;0.01,"OK","FAIL")</f>
        <v>OK</v>
      </c>
    </row>
    <row r="16" customFormat="false" ht="15" hidden="false" customHeight="false" outlineLevel="0" collapsed="false">
      <c r="A16" s="0" t="s">
        <v>482</v>
      </c>
      <c r="B16" s="21" t="n">
        <f aca="false">'Operating Model'!C30+'Operating Model'!C43-'Operating Model'!C45</f>
        <v>0</v>
      </c>
      <c r="C16" s="0" t="str">
        <f aca="false">IF(ABS(B16)&lt;0.01,"OK","FAIL")</f>
        <v>OK</v>
      </c>
    </row>
    <row r="17" customFormat="false" ht="15" hidden="false" customHeight="false" outlineLevel="0" collapsed="false">
      <c r="A17" s="0" t="s">
        <v>483</v>
      </c>
      <c r="B17" s="21" t="n">
        <f aca="false">'Operating Model'!D30+'Operating Model'!D43-'Operating Model'!D45</f>
        <v>0</v>
      </c>
      <c r="C17" s="0" t="str">
        <f aca="false">IF(ABS(B17)&lt;0.01,"OK","FAIL")</f>
        <v>OK</v>
      </c>
    </row>
    <row r="18" customFormat="false" ht="15" hidden="false" customHeight="false" outlineLevel="0" collapsed="false">
      <c r="A18" s="0" t="s">
        <v>484</v>
      </c>
      <c r="B18" s="21" t="n">
        <f aca="false">'Operating Model'!E30+'Operating Model'!E43-'Operating Model'!E45</f>
        <v>0</v>
      </c>
      <c r="C18" s="0" t="str">
        <f aca="false">IF(ABS(B18)&lt;0.01,"OK","FAIL")</f>
        <v>OK</v>
      </c>
    </row>
    <row r="19" customFormat="false" ht="15" hidden="false" customHeight="false" outlineLevel="0" collapsed="false">
      <c r="A19" s="0" t="s">
        <v>485</v>
      </c>
      <c r="B19" s="21" t="n">
        <f aca="false">'Operating Model'!F30+'Operating Model'!F43-'Operating Model'!F45</f>
        <v>0</v>
      </c>
      <c r="C19" s="0" t="str">
        <f aca="false">IF(ABS(B19)&lt;0.01,"OK","FAIL")</f>
        <v>OK</v>
      </c>
    </row>
    <row r="21" customFormat="false" ht="15" hidden="false" customHeight="false" outlineLevel="0" collapsed="false">
      <c r="A21" s="3" t="s">
        <v>486</v>
      </c>
      <c r="B21" s="3"/>
      <c r="C21" s="3"/>
    </row>
    <row r="22" customFormat="false" ht="15" hidden="false" customHeight="false" outlineLevel="0" collapsed="false">
      <c r="A22" s="0" t="s">
        <v>487</v>
      </c>
      <c r="B22" s="21" t="n">
        <f aca="false">Waterfall!C34</f>
        <v>0</v>
      </c>
      <c r="C22" s="0" t="str">
        <f aca="false">IF(ABS(B22)&lt;0.01,"OK","FAIL")</f>
        <v>OK</v>
      </c>
    </row>
    <row r="23" customFormat="false" ht="15" hidden="false" customHeight="false" outlineLevel="0" collapsed="false">
      <c r="A23" s="0" t="s">
        <v>488</v>
      </c>
      <c r="B23" s="21" t="n">
        <f aca="false">Waterfall!D34</f>
        <v>0</v>
      </c>
      <c r="C23" s="0" t="str">
        <f aca="false">IF(ABS(B23)&lt;0.01,"OK","FAIL")</f>
        <v>OK</v>
      </c>
    </row>
    <row r="24" customFormat="false" ht="15" hidden="false" customHeight="false" outlineLevel="0" collapsed="false">
      <c r="A24" s="0" t="s">
        <v>489</v>
      </c>
      <c r="B24" s="21" t="n">
        <f aca="false">Waterfall!E34</f>
        <v>0</v>
      </c>
      <c r="C24" s="0" t="str">
        <f aca="false">IF(ABS(B24)&lt;0.01,"OK","FAIL")</f>
        <v>OK</v>
      </c>
    </row>
    <row r="25" customFormat="false" ht="15" hidden="false" customHeight="false" outlineLevel="0" collapsed="false">
      <c r="A25" s="0" t="s">
        <v>490</v>
      </c>
      <c r="B25" s="21" t="n">
        <f aca="false">Waterfall!F34</f>
        <v>0</v>
      </c>
      <c r="C25" s="0" t="str">
        <f aca="false">IF(ABS(B25)&lt;0.01,"OK","FAIL")</f>
        <v>OK</v>
      </c>
    </row>
    <row r="26" customFormat="false" ht="15" hidden="false" customHeight="false" outlineLevel="0" collapsed="false">
      <c r="A26" s="0" t="s">
        <v>491</v>
      </c>
      <c r="B26" s="21" t="n">
        <f aca="false">Waterfall!G34</f>
        <v>0</v>
      </c>
      <c r="C26" s="0" t="str">
        <f aca="false">IF(ABS(B26)&lt;0.01,"OK","FAIL")</f>
        <v>OK</v>
      </c>
    </row>
    <row r="28" customFormat="false" ht="15" hidden="false" customHeight="false" outlineLevel="0" collapsed="false">
      <c r="A28" s="3" t="s">
        <v>492</v>
      </c>
      <c r="B28" s="3"/>
      <c r="C28" s="3"/>
    </row>
    <row r="29" customFormat="false" ht="15" hidden="false" customHeight="false" outlineLevel="0" collapsed="false">
      <c r="A29" s="0" t="s">
        <v>493</v>
      </c>
      <c r="B29" s="21" t="n">
        <f aca="false">MIN(Waterfall!C11:G11)</f>
        <v>0</v>
      </c>
      <c r="C29" s="0" t="str">
        <f aca="false">IF(B29&gt;=-0.01,"OK","FAIL")</f>
        <v>OK</v>
      </c>
    </row>
    <row r="30" customFormat="false" ht="15" hidden="false" customHeight="false" outlineLevel="0" collapsed="false">
      <c r="A30" s="0" t="s">
        <v>494</v>
      </c>
      <c r="B30" s="21" t="n">
        <f aca="false">MIN(Waterfall!C17:G17)</f>
        <v>651273.678056133</v>
      </c>
      <c r="C30" s="0" t="str">
        <f aca="false">IF(B30&gt;=-0.01,"OK","FAIL")</f>
        <v>OK</v>
      </c>
    </row>
    <row r="32" customFormat="false" ht="15" hidden="false" customHeight="false" outlineLevel="0" collapsed="false">
      <c r="A32" s="3" t="s">
        <v>495</v>
      </c>
      <c r="B32" s="3"/>
      <c r="C32" s="3"/>
    </row>
    <row r="33" customFormat="false" ht="15" hidden="false" customHeight="false" outlineLevel="0" collapsed="false">
      <c r="A33" s="0" t="s">
        <v>496</v>
      </c>
      <c r="B33" s="21" t="n">
        <f aca="false">Capital!$B$16+Capital!$B$17-Capital!$B$12</f>
        <v>0</v>
      </c>
      <c r="C33" s="0" t="str">
        <f aca="false">IF(ABS(B33)&lt;0.01,"OK","FAIL")</f>
        <v>OK</v>
      </c>
    </row>
    <row r="34" customFormat="false" ht="15" hidden="false" customHeight="false" outlineLevel="0" collapsed="false">
      <c r="A34" s="0" t="s">
        <v>497</v>
      </c>
      <c r="B34" s="21" t="n">
        <f aca="false">'Returns (Assumed)'!$B$10+'Returns (Assumed)'!$B$11-'Returns (Assumed)'!$B$9</f>
        <v>0</v>
      </c>
      <c r="C34" s="0" t="str">
        <f aca="false">IF(ABS(B34)&lt;0.01,"OK","FAIL")</f>
        <v>OK</v>
      </c>
    </row>
    <row r="36" customFormat="false" ht="15" hidden="false" customHeight="false" outlineLevel="0" collapsed="false">
      <c r="A36" s="3" t="s">
        <v>498</v>
      </c>
      <c r="B36" s="3"/>
      <c r="C36" s="3"/>
    </row>
    <row r="37" customFormat="false" ht="15" hidden="false" customHeight="false" outlineLevel="0" collapsed="false">
      <c r="A37" s="0" t="s">
        <v>499</v>
      </c>
      <c r="B37" s="21" t="n">
        <f aca="false">Debt!$C$9-SUM(Debt!D18:D22)-Debt!F22</f>
        <v>0</v>
      </c>
      <c r="C37" s="0" t="str">
        <f aca="false">IF(ABS(B37)&lt;0.01,"OK","FAIL")</f>
        <v>OK</v>
      </c>
    </row>
    <row r="39" customFormat="false" ht="15" hidden="false" customHeight="false" outlineLevel="0" collapsed="false">
      <c r="A39" s="3" t="s">
        <v>500</v>
      </c>
      <c r="B39" s="3"/>
      <c r="C39" s="3"/>
    </row>
    <row r="40" customFormat="false" ht="15" hidden="false" customHeight="false" outlineLevel="0" collapsed="false">
      <c r="A40" s="0" t="s">
        <v>501</v>
      </c>
      <c r="B40" s="21" t="n">
        <f aca="false">Returns!B25-'Operating Model'!$B$45</f>
        <v>0</v>
      </c>
      <c r="C40" s="0" t="str">
        <f aca="false">IF(ABS(B40)&lt;0.01,"OK","FAIL")</f>
        <v>OK</v>
      </c>
    </row>
    <row r="42" customFormat="false" ht="15" hidden="false" customHeight="false" outlineLevel="0" collapsed="false">
      <c r="A42" s="3" t="s">
        <v>502</v>
      </c>
      <c r="B42" s="3"/>
      <c r="C42" s="3"/>
    </row>
    <row r="43" customFormat="false" ht="15" hidden="false" customHeight="false" outlineLevel="0" collapsed="false">
      <c r="A43" s="0" t="s">
        <v>503</v>
      </c>
      <c r="B43" s="21" t="n">
        <f aca="false">'Debt (Assumed)'!$B$24-SUM('Debt (Assumed)'!C31:F31)-'Debt (Assumed)'!F32</f>
        <v>0</v>
      </c>
      <c r="C43" s="0" t="str">
        <f aca="false">IF(ABS(B43)&lt;0.01,"OK","FAIL")</f>
        <v>OK</v>
      </c>
    </row>
    <row r="45" customFormat="false" ht="15" hidden="false" customHeight="false" outlineLevel="0" collapsed="false">
      <c r="A45" s="3" t="s">
        <v>504</v>
      </c>
      <c r="B45" s="3"/>
      <c r="C45" s="3"/>
    </row>
    <row r="46" customFormat="false" ht="15" hidden="false" customHeight="false" outlineLevel="0" collapsed="false">
      <c r="A46" s="2" t="s">
        <v>505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2" min="2" style="0" width="20"/>
    <col collapsed="false" customWidth="true" hidden="false" outlineLevel="0" max="3" min="3" style="0" width="40"/>
  </cols>
  <sheetData>
    <row r="1" customFormat="false" ht="17.35" hidden="false" customHeight="false" outlineLevel="0" collapsed="false">
      <c r="A1" s="1" t="s">
        <v>506</v>
      </c>
    </row>
    <row r="3" customFormat="false" ht="45" hidden="false" customHeight="true" outlineLevel="0" collapsed="false">
      <c r="A3" s="22" t="s">
        <v>507</v>
      </c>
    </row>
    <row r="6" customFormat="false" ht="15" hidden="false" customHeight="false" outlineLevel="0" collapsed="false">
      <c r="A6" s="3" t="s">
        <v>508</v>
      </c>
      <c r="B6" s="3"/>
    </row>
    <row r="7" customFormat="false" ht="15" hidden="false" customHeight="false" outlineLevel="0" collapsed="false">
      <c r="A7" s="0" t="s">
        <v>223</v>
      </c>
      <c r="B7" s="18" t="n">
        <f aca="false">Assumptions!$C$7</f>
        <v>13800000</v>
      </c>
    </row>
    <row r="8" customFormat="false" ht="15" hidden="false" customHeight="false" outlineLevel="0" collapsed="false">
      <c r="A8" s="0" t="s">
        <v>509</v>
      </c>
      <c r="B8" s="18" t="n">
        <f aca="false">'Returns (Assumed)'!$B$7</f>
        <v>14545290</v>
      </c>
    </row>
    <row r="9" customFormat="false" ht="15" hidden="false" customHeight="false" outlineLevel="0" collapsed="false">
      <c r="A9" s="0" t="s">
        <v>510</v>
      </c>
      <c r="B9" s="18" t="n">
        <f aca="false">'Returns (Assumed)'!$B$8</f>
        <v>9450000</v>
      </c>
    </row>
    <row r="10" customFormat="false" ht="15" hidden="false" customHeight="false" outlineLevel="0" collapsed="false">
      <c r="A10" s="16" t="s">
        <v>319</v>
      </c>
      <c r="B10" s="10" t="n">
        <f aca="false">'Returns (Assumed)'!$B$9</f>
        <v>5095290</v>
      </c>
    </row>
    <row r="11" customFormat="false" ht="15" hidden="false" customHeight="false" outlineLevel="0" collapsed="false">
      <c r="A11" s="0" t="s">
        <v>320</v>
      </c>
      <c r="B11" s="18" t="n">
        <f aca="false">'Returns (Assumed)'!$B$10</f>
        <v>4585761</v>
      </c>
    </row>
    <row r="12" customFormat="false" ht="15" hidden="false" customHeight="false" outlineLevel="0" collapsed="false">
      <c r="A12" s="0" t="s">
        <v>511</v>
      </c>
      <c r="B12" s="18" t="n">
        <f aca="false">'Returns (Assumed)'!$B$11</f>
        <v>509529</v>
      </c>
    </row>
    <row r="14" customFormat="false" ht="15" hidden="false" customHeight="false" outlineLevel="0" collapsed="false">
      <c r="A14" s="3" t="s">
        <v>512</v>
      </c>
      <c r="B14" s="3"/>
    </row>
    <row r="15" customFormat="false" ht="15" hidden="false" customHeight="false" outlineLevel="0" collapsed="false">
      <c r="A15" s="0" t="s">
        <v>253</v>
      </c>
      <c r="B15" s="19" t="n">
        <f aca="false">Assumptions!$C$8</f>
        <v>0.07</v>
      </c>
    </row>
    <row r="16" customFormat="false" ht="15" hidden="false" customHeight="false" outlineLevel="0" collapsed="false">
      <c r="A16" s="16" t="s">
        <v>513</v>
      </c>
      <c r="B16" s="12" t="n">
        <f aca="false">Returns!$B$29</f>
        <v>0.065148493173913</v>
      </c>
    </row>
    <row r="17" customFormat="false" ht="15" hidden="false" customHeight="false" outlineLevel="0" collapsed="false">
      <c r="A17" s="0" t="s">
        <v>514</v>
      </c>
      <c r="B17" s="19" t="n">
        <f aca="false">Returns!B30</f>
        <v>0.0718470300589131</v>
      </c>
    </row>
    <row r="18" customFormat="false" ht="15" hidden="false" customHeight="false" outlineLevel="0" collapsed="false">
      <c r="A18" s="0" t="s">
        <v>515</v>
      </c>
      <c r="B18" s="19" t="n">
        <f aca="false">Returns!$B$34</f>
        <v>0.070148493173913</v>
      </c>
    </row>
    <row r="19" customFormat="false" ht="15" hidden="false" customHeight="false" outlineLevel="0" collapsed="false">
      <c r="A19" s="0" t="s">
        <v>516</v>
      </c>
      <c r="B19" s="19" t="n">
        <f aca="false">'Returns (Assumed)'!$B$8/Assumptions!$C$7</f>
        <v>0.684782608695652</v>
      </c>
    </row>
    <row r="20" customFormat="false" ht="15" hidden="false" customHeight="false" outlineLevel="0" collapsed="false">
      <c r="A20" s="0" t="s">
        <v>517</v>
      </c>
      <c r="B20" s="23" t="n">
        <f aca="false">Assumptions!$C$106</f>
        <v>5</v>
      </c>
    </row>
    <row r="22" customFormat="false" ht="15" hidden="false" customHeight="false" outlineLevel="0" collapsed="false">
      <c r="A22" s="3" t="s">
        <v>518</v>
      </c>
      <c r="B22" s="3"/>
    </row>
    <row r="23" customFormat="false" ht="15" hidden="false" customHeight="false" outlineLevel="0" collapsed="false">
      <c r="A23" s="0" t="s">
        <v>284</v>
      </c>
      <c r="B23" s="19" t="n">
        <f aca="false">Returns!B57</f>
        <v>0.062510315771555</v>
      </c>
    </row>
    <row r="24" customFormat="false" ht="15" hidden="false" customHeight="false" outlineLevel="0" collapsed="false">
      <c r="A24" s="16" t="s">
        <v>519</v>
      </c>
      <c r="B24" s="12" t="n">
        <f aca="false">'Returns (Assumed)'!B30</f>
        <v>0.0788889155150792</v>
      </c>
    </row>
    <row r="25" customFormat="false" ht="15" hidden="false" customHeight="false" outlineLevel="0" collapsed="false">
      <c r="A25" s="0" t="s">
        <v>286</v>
      </c>
      <c r="B25" s="20" t="n">
        <f aca="false">Returns!B59</f>
        <v>1.31297347928424</v>
      </c>
    </row>
    <row r="26" customFormat="false" ht="15" hidden="false" customHeight="false" outlineLevel="0" collapsed="false">
      <c r="A26" s="16" t="s">
        <v>520</v>
      </c>
      <c r="B26" s="24" t="n">
        <f aca="false">'Returns (Assumed)'!B31</f>
        <v>1.39722253720633</v>
      </c>
    </row>
    <row r="27" customFormat="false" ht="15" hidden="false" customHeight="false" outlineLevel="0" collapsed="false">
      <c r="A27" s="0" t="s">
        <v>521</v>
      </c>
      <c r="B27" s="19" t="n">
        <f aca="false">Waterfall!B37</f>
        <v>0.0981508270342729</v>
      </c>
    </row>
    <row r="28" customFormat="false" ht="15" hidden="false" customHeight="false" outlineLevel="0" collapsed="false">
      <c r="A28" s="0" t="s">
        <v>522</v>
      </c>
      <c r="B28" s="20" t="n">
        <f aca="false">Waterfall!B39</f>
        <v>1.50567374206978</v>
      </c>
    </row>
    <row r="29" customFormat="false" ht="15" hidden="false" customHeight="false" outlineLevel="0" collapsed="false">
      <c r="A29" s="0" t="s">
        <v>523</v>
      </c>
      <c r="B29" s="19" t="n">
        <f aca="false">Waterfall!B38</f>
        <v>-0.158818383947557</v>
      </c>
    </row>
    <row r="30" customFormat="false" ht="15" hidden="false" customHeight="false" outlineLevel="0" collapsed="false">
      <c r="A30" s="0" t="s">
        <v>524</v>
      </c>
      <c r="B30" s="20" t="n">
        <f aca="false">Waterfall!B40</f>
        <v>0.421161693435276</v>
      </c>
    </row>
    <row r="32" customFormat="false" ht="15" hidden="false" customHeight="false" outlineLevel="0" collapsed="false">
      <c r="A32" s="3" t="s">
        <v>525</v>
      </c>
      <c r="B32" s="3"/>
      <c r="C32" s="3"/>
    </row>
    <row r="33" customFormat="false" ht="15" hidden="false" customHeight="false" outlineLevel="0" collapsed="false">
      <c r="B33" s="16" t="s">
        <v>526</v>
      </c>
      <c r="C33" s="16" t="s">
        <v>527</v>
      </c>
    </row>
    <row r="34" customFormat="false" ht="15" hidden="false" customHeight="false" outlineLevel="0" collapsed="false">
      <c r="A34" s="0" t="s">
        <v>528</v>
      </c>
      <c r="B34" s="18" t="n">
        <f aca="false">'Returns (Assumed)'!$B$8</f>
        <v>9450000</v>
      </c>
      <c r="C34" s="18" t="n">
        <f aca="false">Debt!$C$9</f>
        <v>8970000</v>
      </c>
    </row>
    <row r="35" customFormat="false" ht="15" hidden="false" customHeight="false" outlineLevel="0" collapsed="false">
      <c r="A35" s="0" t="s">
        <v>529</v>
      </c>
      <c r="B35" s="19" t="n">
        <f aca="false">Assumptions!$C$101</f>
        <v>0.0420651851851852</v>
      </c>
      <c r="C35" s="19" t="n">
        <f aca="false">Assumptions!$C$88</f>
        <v>0.071</v>
      </c>
    </row>
    <row r="36" customFormat="false" ht="15" hidden="false" customHeight="false" outlineLevel="0" collapsed="false">
      <c r="A36" s="0" t="s">
        <v>530</v>
      </c>
      <c r="B36" s="18" t="n">
        <f aca="false">'Returns (Assumed)'!$B$9</f>
        <v>5095290</v>
      </c>
      <c r="C36" s="18" t="n">
        <f aca="false">Capital!$B$12</f>
        <v>5528040</v>
      </c>
    </row>
    <row r="37" customFormat="false" ht="15" hidden="false" customHeight="false" outlineLevel="0" collapsed="false">
      <c r="A37" s="0" t="s">
        <v>531</v>
      </c>
      <c r="B37" s="19" t="n">
        <f aca="false">'Returns (Assumed)'!B30</f>
        <v>0.0788889155150792</v>
      </c>
      <c r="C37" s="19" t="n">
        <f aca="false">Returns!B58</f>
        <v>0.0489881947168431</v>
      </c>
    </row>
    <row r="38" customFormat="false" ht="15" hidden="false" customHeight="false" outlineLevel="0" collapsed="false">
      <c r="A38" s="0" t="s">
        <v>532</v>
      </c>
      <c r="B38" s="20" t="n">
        <f aca="false">'Returns (Assumed)'!B31</f>
        <v>1.39722253720633</v>
      </c>
      <c r="C38" s="20" t="n">
        <f aca="false">Returns!B60</f>
        <v>1.24845833860523</v>
      </c>
    </row>
    <row r="39" customFormat="false" ht="15" hidden="false" customHeight="false" outlineLevel="0" collapsed="false">
      <c r="A39" s="0" t="s">
        <v>533</v>
      </c>
      <c r="B39" s="19" t="n">
        <f aca="false">'Returns (Assumed)'!B32</f>
        <v>0.110802920896161</v>
      </c>
      <c r="C39" s="19" t="n">
        <f aca="false">Returns!C50/Returns!B55</f>
        <v>0.0588307998518462</v>
      </c>
    </row>
    <row r="41" customFormat="false" ht="15" hidden="false" customHeight="false" outlineLevel="0" collapsed="false">
      <c r="A41" s="3" t="s">
        <v>534</v>
      </c>
      <c r="B41" s="3"/>
      <c r="C41" s="3"/>
      <c r="D41" s="3"/>
      <c r="E41" s="3"/>
    </row>
    <row r="42" customFormat="false" ht="15" hidden="false" customHeight="false" outlineLevel="0" collapsed="false">
      <c r="A42" s="2" t="s">
        <v>535</v>
      </c>
    </row>
    <row r="43" customFormat="false" ht="15" hidden="false" customHeight="false" outlineLevel="0" collapsed="false">
      <c r="A43" s="16" t="s">
        <v>536</v>
      </c>
      <c r="B43" s="16" t="s">
        <v>537</v>
      </c>
      <c r="C43" s="16" t="s">
        <v>538</v>
      </c>
      <c r="D43" s="16" t="s">
        <v>539</v>
      </c>
      <c r="E43" s="16" t="s">
        <v>540</v>
      </c>
    </row>
    <row r="44" customFormat="false" ht="15" hidden="false" customHeight="false" outlineLevel="0" collapsed="false">
      <c r="A44" s="16" t="s">
        <v>541</v>
      </c>
    </row>
    <row r="47" customFormat="false" ht="15" hidden="false" customHeight="false" outlineLevel="0" collapsed="false">
      <c r="A47" s="3" t="s">
        <v>542</v>
      </c>
      <c r="B47" s="3"/>
    </row>
    <row r="48" customFormat="false" ht="109.5" hidden="false" customHeight="true" outlineLevel="0" collapsed="false">
      <c r="A48" s="22" t="s">
        <v>543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2026-09-30T00:16:46Z</dcterms:created>
  <dc:creator>openpyxl</dc:creator>
  <dc:description/>
  <dc:language>en-US</dc:language>
  <cp:lastModifiedBy/>
  <dcterms:modified xsi:type="dcterms:W3CDTF">2026-09-30T00:16:46Z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