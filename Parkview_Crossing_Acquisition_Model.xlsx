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Mix" sheetId="2" state="visible" r:id="rId4"/>
    <sheet name="Operating Model" sheetId="3" state="visible" r:id="rId5"/>
    <sheet name="Debt" sheetId="4" state="visible" r:id="rId6"/>
    <sheet name="Capital" sheetId="5" state="visible" r:id="rId7"/>
    <sheet name="Returns" sheetId="6" state="visible" r:id="rId8"/>
    <sheet name="Debt (Assumed)" sheetId="7" state="visible" r:id="rId9"/>
    <sheet name="Returns (Assumed)" sheetId="8" state="visible" r:id="rId10"/>
    <sheet name="Waterfall" sheetId="9" state="visible" r:id="rId11"/>
    <sheet name="Sensitivity" sheetId="10" state="visible" r:id="rId12"/>
    <sheet name="Checks" sheetId="11" state="visible" r:id="rId13"/>
    <sheet name="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<sst xmlns="http://schemas.openxmlformats.org/spreadsheetml/2006/main" count="1389" uniqueCount="1256">
  <si>
    <t xml:space="preserve">ASSUMPTIONS — Parkview Crossing, 901-951 NW 8th Ave, Pompano Beach, FL 33060</t>
  </si>
  <si>
    <t xml:space="preserve">Blue = input. Black = formula. Every number elsewhere in this workbook traces back to a cell on this tab or Unit Mix.</t>
  </si>
  <si>
    <t xml:space="preserve">ACQUISITION</t>
  </si>
  <si>
    <t xml:space="preserve">Units (formula = Unit Mix total, not an input)</t>
  </si>
  <si>
    <t xml:space="preserve">Single source of truth: sums the Unit Mix tab = 97. SOURCE: Broward County Property Appraiser, 3 parcels owned by Channel Grove LLC: folio 4842-35-00-0460 (951 NW 8 Ave, 20 units), 4842-35-00-0471 (901 NW 8 Ave, 18 units), 4842-35-00-0480 (930-980 NW 9 Ave, 59 units). The listing unit-type breakdown sums to 98, so one 1BR/1BA unit is removed on the Unit Mix tab pending the actual rent roll.</t>
  </si>
  <si>
    <t xml:space="preserve">Purchase Price ($)</t>
  </si>
  <si>
    <t xml:space="preserve">Broker-stated asking price (LoopNet)</t>
  </si>
  <si>
    <t xml:space="preserve">Broker-Stated Cap Rate</t>
  </si>
  <si>
    <t xml:space="preserve">LoopNet advertised cap rate</t>
  </si>
  <si>
    <t xml:space="preserve">Broker-Implied NOI ($)</t>
  </si>
  <si>
    <t xml:space="preserve">i.e. Price x Broker Cap (not used downstream)</t>
  </si>
  <si>
    <t xml:space="preserve">Closing Costs (% of Price)</t>
  </si>
  <si>
    <t xml:space="preserve">Broward doc stamps $0.70/$100 + title/legal/reports</t>
  </si>
  <si>
    <t xml:space="preserve">Closing Costs ($)</t>
  </si>
  <si>
    <t xml:space="preserve">PROPERTY TAX REASSESSMENT</t>
  </si>
  <si>
    <t xml:space="preserve">Combined Millage Rate</t>
  </si>
  <si>
    <t xml:space="preserve">BCPA millage code 1512 (Pompano Beach), all 3 parcels. 2026 PROPOSED = 20.1710 mills (BCPA 2026 Proposed Millage Rate Table); 2025 FINAL = 20.2573. Using 2026 proposed as closest to the Year-1 (2027) levy; final 2026 rates are adopted at September budget hearings.</t>
  </si>
  <si>
    <t xml:space="preserve">Seller's Current TAXABLE Value ($)</t>
  </si>
  <si>
    <t xml:space="preserve">BCPA-CONFIRMED: 2025 certified taxable value, sum of the 3 folios ($2,166,930 + $2,063,740 + $6,088,030). Matches the LoopNet figure. For reference, BCPA 2026 working just value = $11,650,640 (vs. model's statutory-method reassessment of $11,730,000).</t>
  </si>
  <si>
    <t xml:space="preserve">Cost-of-Sale Factor (DOR customary)</t>
  </si>
  <si>
    <t xml:space="preserve">Fla. Stat. 193.011(8): DOR sales-ratio studies customarily net sale price by 15% cost-of-sale allowance. Set to 100% to run the conservative (full-price) case instead.</t>
  </si>
  <si>
    <t xml:space="preserve">Non-Homestead Assessment Cap (Fla. Stat. 193.1555) -- REFERENCE ONLY, not used in formulas</t>
  </si>
  <si>
    <t xml:space="preserve">Fla. Stat. 193.1555(3): for 'nonresidential' property, which under 193.1554(1) includes residential property of 10+ units, annual increases in ASSESSED value are capped at 10% for non-school levies (193.1555(2) excludes school district levies). Reset to just value the Jan 1 after a change of ownership (193.1555(5)). It is a ceiling, not a growth rate. Amendment 3 (Nov 2026 ballot, 5% cap) not modeled.</t>
  </si>
  <si>
    <t xml:space="preserve">Property Tax Growth after Reassessment (= just-value growth = terminal market rent growth)</t>
  </si>
  <si>
    <t xml:space="preserve">After the sale resets assessed value to just value, assessed value tracks just value, so tax grows with market value, not at the 10% cap. Tied by formula to the model's terminal market rent growth (3.0%). The 10% cap is not binding at this rate. Prior model grew tax at 10%/yr, which was a misreading of the cap.</t>
  </si>
  <si>
    <t xml:space="preserve">Reassessed Just Value at Purchase ($)</t>
  </si>
  <si>
    <t xml:space="preserve">i.e. Purchase Price x Cost-of-Sale Factor</t>
  </si>
  <si>
    <t xml:space="preserve">Seller's Current Annual Tax ($)</t>
  </si>
  <si>
    <t xml:space="preserve">Buyer's Year-1 Tax ($)</t>
  </si>
  <si>
    <t xml:space="preserve">Simplification: taxed on the reassessed value from Year 1. Strictly, reassessment takes effect the Jan 1 AFTER the sale; BCPA's 2026 working just value ($11.65M) is already within 1% of the reassessed $11.73M, so the difference is small.</t>
  </si>
  <si>
    <t xml:space="preserve">RENOVATION PROGRAM — bottom-up scope, per classic unit</t>
  </si>
  <si>
    <t xml:space="preserve">Kitchen (cabinet refacing, counter, appliance pkg)</t>
  </si>
  <si>
    <t xml:space="preserve">Mini-split ductless AC system</t>
  </si>
  <si>
    <t xml:space="preserve">Vinyl slider window replacement (~3 openings)</t>
  </si>
  <si>
    <t xml:space="preserve">Modern lighting fixtures + ceiling fans</t>
  </si>
  <si>
    <t xml:space="preserve">LVP flooring (~700 SF)</t>
  </si>
  <si>
    <t xml:space="preserve">Bathroom refresh (vanity, fixtures, re-caulk)</t>
  </si>
  <si>
    <t xml:space="preserve">Interior paint</t>
  </si>
  <si>
    <t xml:space="preserve">Turnover labor / make-ready cleaning</t>
  </si>
  <si>
    <t xml:space="preserve">Subtotal ($/unit)</t>
  </si>
  <si>
    <t xml:space="preserve">Contingency %</t>
  </si>
  <si>
    <t xml:space="preserve">Contingency ($/unit)</t>
  </si>
  <si>
    <t xml:space="preserve">TOTAL Renovation Cost ($/unit)</t>
  </si>
  <si>
    <t xml:space="preserve">Renovation Pace (units/month)</t>
  </si>
  <si>
    <t xml:space="preserve">Renovated-Unit Rent Premium over Market ($/month)</t>
  </si>
  <si>
    <t xml:space="preserve">Set to $0 (decision 2026-09-29). Renovated classic units reach MARKET rent, the same finish standard the prior owner used on the other 74 units, so a premium above market would double-count. The renovation's value is closing the in-place-to-market gap. Was $175.</t>
  </si>
  <si>
    <t xml:space="preserve">Renovated-Unit Rent Premium ($/year)</t>
  </si>
  <si>
    <t xml:space="preserve">Year-1 Premium Capture % (mid-program convention)</t>
  </si>
  <si>
    <t xml:space="preserve">6-month program starting month 1 of the hold -&gt; average unit captures ~half a year of uplift in Year 1</t>
  </si>
  <si>
    <t xml:space="preserve">OPERATING ASSUMPTIONS</t>
  </si>
  <si>
    <t xml:space="preserve">Physical Vacancy %</t>
  </si>
  <si>
    <t xml:space="preserve">vs. 92% disclosed occupancy; nudged for renovation downtime</t>
  </si>
  <si>
    <t xml:space="preserve">Credit Loss % (of GPR)</t>
  </si>
  <si>
    <t xml:space="preserve">Concessions % (of GPR)</t>
  </si>
  <si>
    <t xml:space="preserve">Other Income ex-Utility Recovery ($/unit/month)</t>
  </si>
  <si>
    <t xml:space="preserve">JUDGMENT: laundry room, application/late fees, pet. Was $35 including RUBS; utility recovery is now its own line tied to the owner's actual water/sewer/trash cost (below).</t>
  </si>
  <si>
    <t xml:space="preserve">Utility Reimbursement (RUBS) Recovery % of Owner Water/Sewer/Trash Cost</t>
  </si>
  <si>
    <t xml:space="preserve">JUDGMENT, flagged. Share of the owner's water/sewer/trash bill recovered from tenants via RUBS, net of vacancy, lease clauses not yet in place, and caps. Fully implemented programs are often cited higher; 60% is deliberately below that because it is not known whether current leases carry a RUBS clause. DILIGENCE: lease form + rent roll.</t>
  </si>
  <si>
    <t xml:space="preserve">Loss-to-Lease Burn-off % per Turnover</t>
  </si>
  <si>
    <t xml:space="preserve">of remaining gap to market rent, closed at each turnover</t>
  </si>
  <si>
    <t xml:space="preserve">Annual Turnover Rate %</t>
  </si>
  <si>
    <t xml:space="preserve">general Class B/C garden-apartment convention, not property-specific</t>
  </si>
  <si>
    <t xml:space="preserve">Prior-Owner-Renovated Units: Starting Capture of Total Uplift</t>
  </si>
  <si>
    <t xml:space="preserve">judgment split of the disclosed 20.76% blended upside between already-renovated (partial capture) and classic (zero capture) units</t>
  </si>
  <si>
    <t xml:space="preserve">MARKET RENT GROWTH SCHEDULE (Broward/Pompano-sourced, capped at 3.0% terminal)</t>
  </si>
  <si>
    <t xml:space="preserve">Year 1 Market Rent Growth</t>
  </si>
  <si>
    <t xml:space="preserve">Yardi Matrix (via MIAMI REALTORS+RWorld South Florida Rental Market Report, May 2026): Broward County Class C/C+ asking rents +0.2% YoY — near-flat current read, nudged to 1.0% for a full forward year</t>
  </si>
  <si>
    <t xml:space="preserve">Year 2 Market Rent Growth</t>
  </si>
  <si>
    <t xml:space="preserve">judgment, gradual convergence</t>
  </si>
  <si>
    <t xml:space="preserve">Year 3 Market Rent Growth</t>
  </si>
  <si>
    <t xml:space="preserve">Year 4 Market Rent Growth</t>
  </si>
  <si>
    <t xml:space="preserve">capped at 3.0% per instruction — no source supports going higher for a multi-year terminal rate</t>
  </si>
  <si>
    <t xml:space="preserve">Year 5 Market Rent Growth</t>
  </si>
  <si>
    <t xml:space="preserve">capped</t>
  </si>
  <si>
    <t xml:space="preserve">Year 6 Market Rent Growth</t>
  </si>
  <si>
    <t xml:space="preserve">Year 7 Market Rent Growth</t>
  </si>
  <si>
    <t xml:space="preserve">Year 8 Market Rent Growth</t>
  </si>
  <si>
    <t xml:space="preserve">Year 9 Market Rent Growth</t>
  </si>
  <si>
    <t xml:space="preserve">Year 10 Market Rent Growth</t>
  </si>
  <si>
    <t xml:space="preserve">EXPENSE GROWTH</t>
  </si>
  <si>
    <t xml:space="preserve">General Expense Growth % (ex-insurance, ex-tax)</t>
  </si>
  <si>
    <t xml:space="preserve">Insurance Growth %</t>
  </si>
  <si>
    <t xml:space="preserve">above general expense growth given the recent ~37% two-year South Florida trend</t>
  </si>
  <si>
    <t xml:space="preserve">OPERATING EXPENSES (Year 1, $/unit/year unless noted)</t>
  </si>
  <si>
    <t xml:space="preserve">Payroll (on-site mgmt + maintenance)</t>
  </si>
  <si>
    <t xml:space="preserve">Repairs &amp; Maintenance</t>
  </si>
  <si>
    <t xml:space="preserve">nudged up for 1958 vintage / undisclosed roof</t>
  </si>
  <si>
    <t xml:space="preserve">Turnover / Make-Ready</t>
  </si>
  <si>
    <t xml:space="preserve">Contract Services (landscaping, pest; trash now its own line)</t>
  </si>
  <si>
    <t xml:space="preserve">Was $450 including trash. Trash is now built from the city rate schedule (~$170/unit, below), so this line is reduced by the same amount; the total is unchanged. Judgment.</t>
  </si>
  <si>
    <t xml:space="preserve">Utilities — Common-Area Electric &amp; Vacant Units</t>
  </si>
  <si>
    <t xml:space="preserve">JUDGMENT. Units have individual mini-split AC, so unit electric is assumed tenant-paid. This line covers common-area lighting, gates, laundry room, and vacant-unit electric.</t>
  </si>
  <si>
    <t xml:space="preserve">Insurance — Base Case ($/unit)</t>
  </si>
  <si>
    <t xml:space="preserve">vintage-risk-adjusted above the general $2,000/unit South Florida average</t>
  </si>
  <si>
    <t xml:space="preserve">Insurance — If Roof Replaced ($/unit)</t>
  </si>
  <si>
    <t xml:space="preserve">scenario only — see Roof section below</t>
  </si>
  <si>
    <t xml:space="preserve">Management Fee (% of EGI)</t>
  </si>
  <si>
    <t xml:space="preserve">Non-Ad Valorem Assessments ($/unit, fire etc.)</t>
  </si>
  <si>
    <t xml:space="preserve">BCPA tax history: 2025 total bills on the 3 folios = $245,413; ad valorem at 20.2573 mills on $10,318,700 taxable = $209,026; remainder $36,387 / 97 units = $375/unit (charged per unit, not on value). Consistent with the city residential fire assessment ($331/unit, $20-30 increases proposed for FY2026).</t>
  </si>
  <si>
    <t xml:space="preserve">G&amp;A / Admin</t>
  </si>
  <si>
    <t xml:space="preserve">Marketing</t>
  </si>
  <si>
    <t xml:space="preserve">Replacement Reserves (below NOI)</t>
  </si>
  <si>
    <t xml:space="preserve">WATER / SEWER / TRASH — OWNER-PAID (ASSUMED: listing silent -- DILIGENCE ITEM)</t>
  </si>
  <si>
    <t xml:space="preserve">The LoopNet/Crexi listings say nothing about who pays water, sewer or trash (the OM is gated). Per instruction, modeled as OWNER-PAID with RUBS recovery. Rates: City of Pompano Beach Code 50.03 (water) and 51.05 (wastewater), multifamily classification, charges effective 10/1/2026 (FY2027); solid waste: City of Pompano Beach Rate Schedule 2025-2026 (eff. 10/1/2025), multifamily containerized non-compacted, 2x/week (the city minimum for multifamily).</t>
  </si>
  <si>
    <t xml:space="preserve">Water Service Charge per Unit ($/unit/month, FY2027)</t>
  </si>
  <si>
    <t xml:space="preserve">Code 50.03(D)(2)(b): each additional unit on the same meter</t>
  </si>
  <si>
    <t xml:space="preserve">Water Commodity Charge ($/1,000 gal, 0-7,000 gal tier, FY2027)</t>
  </si>
  <si>
    <t xml:space="preserve">Code 50.03(D)(2)(c), per-unit tier</t>
  </si>
  <si>
    <t xml:space="preserve">Sewer Service Charge per Unit ($/unit/month, FY2027)</t>
  </si>
  <si>
    <t xml:space="preserve">Code 51.05(D)(2)(a)</t>
  </si>
  <si>
    <t xml:space="preserve">Sewer Flow Charge ($/1,000 gal, FY2027)</t>
  </si>
  <si>
    <t xml:space="preserve">Code 51.05(D)(2)(b)</t>
  </si>
  <si>
    <t xml:space="preserve">Water Use per Unit (1,000 gal/month)</t>
  </si>
  <si>
    <t xml:space="preserve">JUDGMENT: small units (studios/1BR, ~1-2 occupants). Replace with actual water bills.</t>
  </si>
  <si>
    <t xml:space="preserve">Number of Water Meters (judgment: one 2-inch per building)</t>
  </si>
  <si>
    <t xml:space="preserve">JUDGMENT: 7 buildings per listing; meter count/size unknown</t>
  </si>
  <si>
    <t xml:space="preserve">Monthly Service Charge per 2-inch Meter ($, FY2027)</t>
  </si>
  <si>
    <t xml:space="preserve">Code 50.03(D)(2)(a), multifamily, 2-inch</t>
  </si>
  <si>
    <t xml:space="preserve">Water &amp; Sewer Cost ($/unit/year)</t>
  </si>
  <si>
    <t xml:space="preserve">Water &amp; Sewer Cost Growth %</t>
  </si>
  <si>
    <t xml:space="preserve">Adopted city schedule through FY2029: per-unit bill at 3,000 gal rises ~5.8-6.0%/yr (water commodity +9.5%/yr, sewer flow +7.5%/yr, sewer base flat)</t>
  </si>
  <si>
    <t xml:space="preserve">Trash Containers (6-yd, 2x/week; count is judgment)</t>
  </si>
  <si>
    <t xml:space="preserve">JUDGMENT: 97 units, 2x/week minimum pickup</t>
  </si>
  <si>
    <t xml:space="preserve">City Rate per 6-yd Container, 2x/week ($/month)</t>
  </si>
  <si>
    <t xml:space="preserve">Pompano Beach Solid Waste Rate Schedule 2025-2026, multifamily containerized (non-compacted)</t>
  </si>
  <si>
    <t xml:space="preserve">Trash Cost ($/unit/year)</t>
  </si>
  <si>
    <t xml:space="preserve">ROOF &amp; RECERTIFICATION — diligence items, not confident estimates</t>
  </si>
  <si>
    <t xml:space="preserve">Roof Replacement Scenario Toggle (1=on, 0=off)</t>
  </si>
  <si>
    <t xml:space="preserve">Roof Replacement Cost ($, one-time, Year 1 if toggled)</t>
  </si>
  <si>
    <t xml:space="preserve">~23,480 SF est. roof area x $8-12/SF hurricane-code TPO/mod-bit; midpoint of $188k-282k range</t>
  </si>
  <si>
    <t xml:space="preserve">Recertification Year (model Year #)</t>
  </si>
  <si>
    <t xml:space="preserve">next 40/50-Year Program cycle due ~2028; Year 2 of the hold if closing is late 2026/early 2027</t>
  </si>
  <si>
    <t xml:space="preserve">Recertification Inspection Cost ($, one-time)</t>
  </si>
  <si>
    <t xml:space="preserve">placeholder — no sourced fee</t>
  </si>
  <si>
    <t xml:space="preserve">Recertification Remediation Contingency ($, one-time)</t>
  </si>
  <si>
    <t xml:space="preserve">placeholder — genuinely unknowable without an engineer's report</t>
  </si>
  <si>
    <t xml:space="preserve">DEBT — AGENCY FIXED-RATE TERMS (Scenario B new debt AND the Scenario A refinance)</t>
  </si>
  <si>
    <t xml:space="preserve">Fannie Mae Small Mortgage Loan program (loans up to $9M; max LTV 80%; min DSCR 1.25x; 5-30 yr terms; up to 30-yr amortization; declining prepayment premium available) -- multifamily.fanniemae.com term sheet. Both the new loan (~$8M) and the Year-4 refinance fall under the $9M cap. Replaces the prior 7.10% floating bridge-style assumption, which had no rate-cap cost.</t>
  </si>
  <si>
    <t xml:space="preserve">10-Year Treasury Yield</t>
  </si>
  <si>
    <t xml:space="preserve">FRED series DGS10, 9/28/2026 (latest print). Held flat; no forward curve.</t>
  </si>
  <si>
    <t xml:space="preserve">Agency Spread over 10-Year Treasury</t>
  </si>
  <si>
    <t xml:space="preserve">JUDGMENT within broker-sourced ranges: multifamily.loans cites agency spreads 'generally 200-250 bps'; its Aug-2026 Fannie/Freddie small-loan quotes (6.10-8.20% vs a 4.70% 10-yr) imply 140-350 bps; apartmentloanstore.com Fannie quotes on 9/29/2026 (6.28-6.87%) imply ~105-165 bps over today's 10-yr for larger/better assets. 200 bps reflects small balance, 1958 Class C, and a declining-prepay (not yield-maintenance) structure. Indicative, not a term sheet.</t>
  </si>
  <si>
    <t xml:space="preserve">All-In Fixed Rate (10-yr fixed)</t>
  </si>
  <si>
    <t xml:space="preserve">Maximum LTV %</t>
  </si>
  <si>
    <t xml:space="preserve">Program max 80%; 75% used for a 1958 Class C asset (judgment). Refinance LTV applies to value at refinance (NOI / exit cap).</t>
  </si>
  <si>
    <t xml:space="preserve">Minimum DSCR (on amortizing debt service)</t>
  </si>
  <si>
    <t xml:space="preserve">Fannie Small Loan minimum. Sized on the fully amortizing payment, as agencies do.</t>
  </si>
  <si>
    <t xml:space="preserve">Interest-Only Period (years)</t>
  </si>
  <si>
    <t xml:space="preserve">JUDGMENT: DSCR-constrained agency loans generally do not get interest-only; partial IO usually requires lower leverage.</t>
  </si>
  <si>
    <t xml:space="preserve">Amortization (years)</t>
  </si>
  <si>
    <t xml:space="preserve">Prepayment Premium, Loan Year 1</t>
  </si>
  <si>
    <t xml:space="preserve">Fannie Mae Declining Prepayment Premium, 10-year fixed structure 5-5-4-4-3-3-2-2-1-1, no lockout (multifamily.fanniemae.com term sheet). Scenario B sale = loan year 5; refi loan sale = loan year (5 - maturity year).</t>
  </si>
  <si>
    <t xml:space="preserve">Prepayment Premium, Loan Year 2</t>
  </si>
  <si>
    <t xml:space="preserve">Prepayment Premium, Loan Year 3</t>
  </si>
  <si>
    <t xml:space="preserve">Prepayment Premium, Loan Year 4</t>
  </si>
  <si>
    <t xml:space="preserve">Prepayment Premium, Loan Year 5</t>
  </si>
  <si>
    <t xml:space="preserve">Prepayment Premium, Loan Year 6</t>
  </si>
  <si>
    <t xml:space="preserve">Prepayment Premium, Loan Year 7</t>
  </si>
  <si>
    <t xml:space="preserve">Prepayment Premium, Loan Year 8</t>
  </si>
  <si>
    <t xml:space="preserve">Prepayment Premium, Loan Year 9</t>
  </si>
  <si>
    <t xml:space="preserve">Prepayment Premium, Loan Year 10</t>
  </si>
  <si>
    <t xml:space="preserve">DEBT — SCENARIO A: ASSUMABLE EXISTING DEBT (broker-disclosed, LoopNet/Crexi)</t>
  </si>
  <si>
    <t xml:space="preserve">First Mortgage Balance ($)</t>
  </si>
  <si>
    <t xml:space="preserve">Crexi listing ("Non-Agency"); LoopNet shows $5,908,933.50 -- small discrepancy, likely different as-of dates. Used the Crexi figure since paired with the explicit 4.2% blended-rate confirmation.</t>
  </si>
  <si>
    <t xml:space="preserve">First Mortgage Rate (fixed)</t>
  </si>
  <si>
    <t xml:space="preserve">LoopNet + Crexi, both state 3.0% fixed</t>
  </si>
  <si>
    <t xml:space="preserve">First Mortgage Maturity (model Year #)</t>
  </si>
  <si>
    <t xml:space="preserve">Broker states "fixed until December 2029." If Year 1 = calendar 2027, Dec 2029 falls in model Year 3 -- adjust this cell if your actual closing date shifts the calendar mapping.</t>
  </si>
  <si>
    <t xml:space="preserve">Supplemental Loan Balance ($)</t>
  </si>
  <si>
    <t xml:space="preserve">LoopNet + Crexi, both state $3,563,000</t>
  </si>
  <si>
    <t xml:space="preserve">Supplemental Loan Rate</t>
  </si>
  <si>
    <t xml:space="preserve">LoopNet + Crexi, both state 6.20%</t>
  </si>
  <si>
    <t xml:space="preserve">Blended Rate (formula, weighted avg -- ties to broker's stated 4.2%)</t>
  </si>
  <si>
    <t xml:space="preserve">Both Loans Interest-Only Through First's Maturity (1=yes)</t>
  </si>
  <si>
    <t xml:space="preserve">JUDGMENT -- amortization/IO status is NOT disclosed publicly for either loan. IO is a common structure for non-agency assumable loans marketed on a cash-flow basis, and is roughly consistent with the broker's "almost 10% cash-on-cash Day 1" claim. Flagged, not confirmed.</t>
  </si>
  <si>
    <t xml:space="preserve">Loan Assumption Fee (% of assumed balance)</t>
  </si>
  <si>
    <t xml:space="preserve">JUDGMENT -- not disclosed. 0.5-1.0% is a commonly cited range for CMBS/balance-sheet loan assumption fees; used the low end. Also assumes ~30-60 days of lender consent/underwriting, not separately costed.</t>
  </si>
  <si>
    <t xml:space="preserve">Assumption Approval: Max LTV on Purchase Price (paydown test)</t>
  </si>
  <si>
    <t xml:space="preserve">JUDGMENT: the lender's assumption test is not disclosed. If assumed balances exceed this % of the new purchase price, the buyer must pay the loan down at closing (applied to the 6.2% supplemental first). Binds below ~$12.6M. Year-1 DSCR (~2.3x) is not a constraint, so no DSCR test is modeled.</t>
  </si>
  <si>
    <t xml:space="preserve">SCENARIO A EXIT PLAN — what happens when the 3.0% loan matures (end of Year 3, Dec 2029)</t>
  </si>
  <si>
    <t xml:space="preserve">Three realistic plans are modeled side by side on Debt (Assumed) / Returns (Assumed): (1) sell at maturity; (2) short refinance that can be prepaid cheaply at the Year-5 sale -- a floating loan with a purchased 2-year cap, or a 5-year agency fixed loan with a 5-4-3-2-1 prepayment schedule, whichever has the lower financing cost; (3) the prior 10-year agency fixed refinance, kept as a comparison row only. The selector below picks the base case.</t>
  </si>
  <si>
    <t xml:space="preserve">Scenario A Exit Plan (1 = sell at maturity; 2 = short refi, cheaper of floating/5-yr fixed; 3 = 10-yr fixed refi, comparison)</t>
  </si>
  <si>
    <t xml:space="preserve">BASE CASE = 2 (short refinance; the floating loan with a cap is the cheaper of the two). See README section 6 for why a sponsor would choose it.</t>
  </si>
  <si>
    <t xml:space="preserve">30-Day Average SOFR</t>
  </si>
  <si>
    <t xml:space="preserve">FRED series SOFR30DAYAVG, 9/29/2026: 3.739%. Held flat to the Dec-2029 refinance (no forward curve).</t>
  </si>
  <si>
    <t xml:space="preserve">Floating Spread over 30-Day Average SOFR</t>
  </si>
  <si>
    <t xml:space="preserve">multifamily-usa.com rates page (reviewed 9/6/2026): bridge, 12-month floating + extensions, lease-up / light value-add, 'SOFR + ~275-325 bps before cap'. Midpoint used (JUDGMENT). Agency floating is not available at this size: Freddie Optigo floating minimum $10M (term sheet 4/26); Fannie SARM minimum $25M.</t>
  </si>
  <si>
    <t xml:space="preserve">Floating Refi All-In Rate (SOFR + spread)</t>
  </si>
  <si>
    <t xml:space="preserve">Rate Cap Strike (SOFR)</t>
  </si>
  <si>
    <t xml:space="preserve">JUDGMENT: ~75 bps above today's 30-day average SOFR. The loan is sized on the capped rate (strike + spread), so DSCR holds at the worst case.</t>
  </si>
  <si>
    <t xml:space="preserve">2-Year Rate Cap Premium (% of loan, paid at refinance)</t>
  </si>
  <si>
    <t xml:space="preserve">BlueGamma SOFR cap calculator, priced 9/29/2026: 2-year cap, monthly reset, 4.50% strike, $10M notional = $108,000 (1.08% of notional). Indicative mid-market; excludes bank/broker charges. Today's price used for a cap bought in 2029.</t>
  </si>
  <si>
    <t xml:space="preserve">Floating Refi Sizing Rate (cap strike + spread)</t>
  </si>
  <si>
    <t xml:space="preserve">Floating Refi Interest-Only (1 = yes)</t>
  </si>
  <si>
    <t xml:space="preserve">JUDGMENT: bridge-style floating loans are normally interest-only.</t>
  </si>
  <si>
    <t xml:space="preserve">Floating Refi Prepayment Premium at Sale (%)</t>
  </si>
  <si>
    <t xml:space="preserve">JUDGMENT: bridge loans are typically open after a 12-month minimum-interest period; the sale is in loan year 2.</t>
  </si>
  <si>
    <t xml:space="preserve">5-Year Treasury Yield</t>
  </si>
  <si>
    <t xml:space="preserve">FRED series DGS5, 9/28/2026. Held flat.</t>
  </si>
  <si>
    <t xml:space="preserve">5-Year Agency Fixed Rate (5-yr UST + agency spread)</t>
  </si>
  <si>
    <t xml:space="preserve">Uses the same 200 bps agency spread judgment as the 10-year loan. The multifamily-usa.com page shows 5-year agency spreads ~30 bps wider than 10-year for stabilized assets; not added.</t>
  </si>
  <si>
    <t xml:space="preserve">5-Year Fixed Prepayment Premium, Loan Year 1</t>
  </si>
  <si>
    <t xml:space="preserve">Fannie Mae Declining Prepayment Premium, 5-year fixed structure 5-4-3-2-1, no lockout (term sheet). Sale is in loan year 2 -&gt; 4%.</t>
  </si>
  <si>
    <t xml:space="preserve">5-Year Fixed Prepayment Premium, Loan Year 2</t>
  </si>
  <si>
    <t xml:space="preserve">5-Year Fixed Prepayment Premium, Loan Year 3</t>
  </si>
  <si>
    <t xml:space="preserve">5-Year Fixed Prepayment Premium, Loan Year 4</t>
  </si>
  <si>
    <t xml:space="preserve">5-Year Fixed Prepayment Premium, Loan Year 5</t>
  </si>
  <si>
    <t xml:space="preserve">HOLD &amp; EXIT</t>
  </si>
  <si>
    <t xml:space="preserve">Hold Period (years) -- STRUCTURAL, not a live input</t>
  </si>
  <si>
    <t xml:space="preserve">The model is built for a 5-year hold (5 cash-flow columns, exit on Year-6 forward NOI). Changing this cell does NOT change the model -- shown black, not blue, for that reason.</t>
  </si>
  <si>
    <t xml:space="preserve">Exit Cap — Market Anchor (Fort Lauderdale multifamily average)</t>
  </si>
  <si>
    <t xml:space="preserve">Matthews, Fort Lauderdale Multifamily Market Report Q3 2025 (pub. 11/20/2025): average cap rate 5.6%, $283K/unit. Cross-check: Colliers South Florida Multifamily Q1 2026 (4/24/2026): cap rates 'near 5.0%' (all classes, tri-county). Used the higher, Broward-specific figure. NOT this deal's own cap rate.</t>
  </si>
  <si>
    <t xml:space="preserve">Exit Cap — Spread for Class C / 1958 Vintage at Exit</t>
  </si>
  <si>
    <t xml:space="preserve">JUDGMENT. Market averages are dominated by newer stock; at exit this will be a ~73-year-old Class C building. CBRE's H1 2026 Cap Rate Survey (8/12/2026) reports expectations for cap-rate expansion are strongest for Class C, but its market-level tables are gated, so no sourced Class C spread is available. Named comps checked: Cascades at the Hammocks (Miami-Dade, 264 units, 1988, $65.5M / $248,106/unit, May 2026, Freddie loans assumed) and Savona Grand (Palm Beach County, 214 units, bought by American Landmark July 2026) -- neither has a publicly reported price-and-NOI pair, so no implied cap is available.</t>
  </si>
  <si>
    <t xml:space="preserve">EXIT CAP RATE (base case) = market anchor + vintage spread</t>
  </si>
  <si>
    <t xml:space="preserve">Direct input, not tied to entry. Sensitivity tables run it +/-100 bps. Also used as the lender's cap rate for the refinance appraisal.</t>
  </si>
  <si>
    <t xml:space="preserve">Cost of Sale at Exit (%)</t>
  </si>
  <si>
    <t xml:space="preserve">SENSITIVITY AXES (step sizes; each grid runs the base case +/- 2 steps)</t>
  </si>
  <si>
    <t xml:space="preserve">Sensitivity Step — Exit Cap (per step)</t>
  </si>
  <si>
    <t xml:space="preserve">2 steps = +/-100 bps</t>
  </si>
  <si>
    <t xml:space="preserve">Sensitivity Step — Purchase Price (% per step)</t>
  </si>
  <si>
    <t xml:space="preserve">Sensitivity Step — Market Rent Growth (added to every year, per step)</t>
  </si>
  <si>
    <t xml:space="preserve">Sensitivity Step — Renovation Cost (% per step)</t>
  </si>
  <si>
    <t xml:space="preserve">Sensitivity Step — Renovation Premium ($/month per step; grid runs base + 0..4 steps)</t>
  </si>
  <si>
    <t xml:space="preserve">WATERFALL</t>
  </si>
  <si>
    <t xml:space="preserve">Preferred Return % (on ALL investor capital: LP + GP co-invest, pari passu)</t>
  </si>
  <si>
    <t xml:space="preserve">Tier 2 Investor Share (LP + GP co-invest, pro rata)</t>
  </si>
  <si>
    <t xml:space="preserve">Tier 2 GP Promote</t>
  </si>
  <si>
    <t xml:space="preserve">Tier 2 IRR Hurdle (measured on investor capital)</t>
  </si>
  <si>
    <t xml:space="preserve">Tier 3 Investor Share (LP + GP co-invest, pro rata)</t>
  </si>
  <si>
    <t xml:space="preserve">Tier 3 GP Promote</t>
  </si>
  <si>
    <t xml:space="preserve">GP Co-Invest % (pari passu with LP; no fees modeled)</t>
  </si>
  <si>
    <t xml:space="preserve">UNIT MIX / RENT ROLL — 97 units (Broward Property Appraiser); 1BR/1BA reduced 52 -&gt; 51, see note</t>
  </si>
  <si>
    <t xml:space="preserve">75% of units already renovated by prior owner (LoopNet/Crexi). Classic-unit counts below are a proportional allocation of that disclosed 75/25 split across unit types — judgment, not unit-type-level disclosed data. FLAG: total = 97 per Broward Property Appraiser (20 + 18 + 59 units on 3 folios). The listing breakdown (19/52/17/10) sums to 98, so one 1BR/1BA unit (the most common type) was removed, taken from the renovated count. Replace with the actual rent roll.</t>
  </si>
  <si>
    <t xml:space="preserve">Unit Type</t>
  </si>
  <si>
    <t xml:space="preserve">Total Units</t>
  </si>
  <si>
    <t xml:space="preserve">Classic Units</t>
  </si>
  <si>
    <t xml:space="preserve">Renovated Units</t>
  </si>
  <si>
    <t xml:space="preserve">Avg SF</t>
  </si>
  <si>
    <t xml:space="preserve">Classic In-Place Rent/mo</t>
  </si>
  <si>
    <t xml:space="preserve">Renovated In-Place Rent/mo</t>
  </si>
  <si>
    <t xml:space="preserve">Market Rent/mo (at close)</t>
  </si>
  <si>
    <t xml:space="preserve">Studio</t>
  </si>
  <si>
    <t xml:space="preserve">1BR/1BA</t>
  </si>
  <si>
    <t xml:space="preserve">2BR/1BA</t>
  </si>
  <si>
    <t xml:space="preserve">2BR/2BA</t>
  </si>
  <si>
    <t xml:space="preserve">TOTAL / WEIGHTED AVG</t>
  </si>
  <si>
    <t xml:space="preserve">RENOVATION CAPEX BY TYPE (classic units only)</t>
  </si>
  <si>
    <t xml:space="preserve">Cost/Unit</t>
  </si>
  <si>
    <t xml:space="preserve">Total Cost</t>
  </si>
  <si>
    <t xml:space="preserve">TOTAL</t>
  </si>
  <si>
    <t xml:space="preserve">OPERATING MODEL — Annual, 10 Years (property-level, debt-agnostic: identical under Scenario A and B)</t>
  </si>
  <si>
    <t xml:space="preserve">Year</t>
  </si>
  <si>
    <t xml:space="preserve">Calendar Year</t>
  </si>
  <si>
    <t xml:space="preserve">Market Rent Growth (this year)</t>
  </si>
  <si>
    <t xml:space="preserve">MARKET &amp; ACHIEVED RENT BY UNIT TYPE ($/unit/month)</t>
  </si>
  <si>
    <t xml:space="preserve">Studio — Market Rent/mo</t>
  </si>
  <si>
    <t xml:space="preserve">Studio — Classic-Unit Track Rent/mo</t>
  </si>
  <si>
    <t xml:space="preserve">Studio — Prior-Renovated Track Rent/mo</t>
  </si>
  <si>
    <t xml:space="preserve">1BR/1BA — Market Rent/mo</t>
  </si>
  <si>
    <t xml:space="preserve">1BR/1BA — Classic-Unit Track Rent/mo</t>
  </si>
  <si>
    <t xml:space="preserve">1BR/1BA — Prior-Renovated Track Rent/mo</t>
  </si>
  <si>
    <t xml:space="preserve">2BR/1BA — Market Rent/mo</t>
  </si>
  <si>
    <t xml:space="preserve">2BR/1BA — Classic-Unit Track Rent/mo</t>
  </si>
  <si>
    <t xml:space="preserve">2BR/1BA — Prior-Renovated Track Rent/mo</t>
  </si>
  <si>
    <t xml:space="preserve">2BR/2BA — Market Rent/mo</t>
  </si>
  <si>
    <t xml:space="preserve">2BR/2BA — Classic-Unit Track Rent/mo</t>
  </si>
  <si>
    <t xml:space="preserve">2BR/2BA — Prior-Renovated Track Rent/mo</t>
  </si>
  <si>
    <t xml:space="preserve">INCOME</t>
  </si>
  <si>
    <t xml:space="preserve">Gross Potential Rent at Market (all units at market rent)</t>
  </si>
  <si>
    <t xml:space="preserve">Less: Loss-to-Lease (in-place below market; net of renovation premium)</t>
  </si>
  <si>
    <t xml:space="preserve">Gross Scheduled Rent (Market GPR less Loss-to-Lease)</t>
  </si>
  <si>
    <t xml:space="preserve">Less: Physical Vacancy</t>
  </si>
  <si>
    <t xml:space="preserve">Less: Credit Loss</t>
  </si>
  <si>
    <t xml:space="preserve">Less: Concessions</t>
  </si>
  <si>
    <t xml:space="preserve">Plus: Other Income (laundry, fees, pet; ex-utility recovery)</t>
  </si>
  <si>
    <t xml:space="preserve">Plus: Utility Reimbursement (RUBS, % of owner water/sewer/trash)</t>
  </si>
  <si>
    <t xml:space="preserve">Effective Gross Income (EGI)</t>
  </si>
  <si>
    <t xml:space="preserve">OPERATING EXPENSES</t>
  </si>
  <si>
    <t xml:space="preserve">Payroll</t>
  </si>
  <si>
    <t xml:space="preserve">Contract Services</t>
  </si>
  <si>
    <t xml:space="preserve">Utilities — common-area electric &amp; vacant units</t>
  </si>
  <si>
    <t xml:space="preserve">Water &amp; Sewer (owner-paid, city tariff)</t>
  </si>
  <si>
    <t xml:space="preserve">Trash (owner-paid, city rate)</t>
  </si>
  <si>
    <t xml:space="preserve">Insurance</t>
  </si>
  <si>
    <t xml:space="preserve">Property Tax (reassessed at purchase; grows with just value)</t>
  </si>
  <si>
    <t xml:space="preserve">Non-Ad Valorem Assessments (fire etc., per unit)</t>
  </si>
  <si>
    <t xml:space="preserve">Total Operating Expenses</t>
  </si>
  <si>
    <t xml:space="preserve">NET OPERATING INCOME (NOI)</t>
  </si>
  <si>
    <t xml:space="preserve">  memo: NOI Before Property Tax (for exit valuation)</t>
  </si>
  <si>
    <t xml:space="preserve">BELOW-NOI ITEMS</t>
  </si>
  <si>
    <t xml:space="preserve">Less: Replacement Reserves</t>
  </si>
  <si>
    <t xml:space="preserve">Less: One-Time Capex (roof scenario / recertification)</t>
  </si>
  <si>
    <t xml:space="preserve">UNLEVERED CASH FLOW (before renovation capex, before debt)</t>
  </si>
  <si>
    <t xml:space="preserve">DEBT — SCENARIO B (ALTERNATIVE): new agency fixed-rate loan, sized on the binding constraint (no circularity)</t>
  </si>
  <si>
    <t xml:space="preserve">SIZING</t>
  </si>
  <si>
    <t xml:space="preserve">Year 1 NOI (from Operating Model)</t>
  </si>
  <si>
    <t xml:space="preserve">Annual Mortgage Constant (fixed rate, full amortization)</t>
  </si>
  <si>
    <t xml:space="preserve">Loan Amount — LTV Constraint</t>
  </si>
  <si>
    <t xml:space="preserve">Loan Amount — DSCR Constraint (amortizing debt service)</t>
  </si>
  <si>
    <t xml:space="preserve">SIZED LOAN AMOUNT (binding = minimum)</t>
  </si>
  <si>
    <t xml:space="preserve">Binding Constraint</t>
  </si>
  <si>
    <t xml:space="preserve">Resulting LTV</t>
  </si>
  <si>
    <t xml:space="preserve">Resulting Debt Yield (memo; agencies do not size on it)</t>
  </si>
  <si>
    <t xml:space="preserve">Resulting DSCR (Year 1)</t>
  </si>
  <si>
    <t xml:space="preserve">AMORTIZATION SCHEDULE (Years 1-5, matching the hold period)</t>
  </si>
  <si>
    <t xml:space="preserve">Beg. Balance</t>
  </si>
  <si>
    <t xml:space="preserve">Interest</t>
  </si>
  <si>
    <t xml:space="preserve">Principal</t>
  </si>
  <si>
    <t xml:space="preserve">Debt Service</t>
  </si>
  <si>
    <t xml:space="preserve">End Balance</t>
  </si>
  <si>
    <t xml:space="preserve">Annual P&amp;I Payment (post-IO)</t>
  </si>
  <si>
    <t xml:space="preserve">Prepayment Premium % at Sale (loan year = hold period)</t>
  </si>
  <si>
    <t xml:space="preserve">CAPITAL — Sources &amp; Uses, SCENARIO B (ALTERNATIVE: new debt). Scenario A S&amp;U is on Returns (Assumed).</t>
  </si>
  <si>
    <t xml:space="preserve">USES</t>
  </si>
  <si>
    <t xml:space="preserve">Purchase Price</t>
  </si>
  <si>
    <t xml:space="preserve">Closing Costs</t>
  </si>
  <si>
    <t xml:space="preserve">Renovation Capex (24 classic units)</t>
  </si>
  <si>
    <t xml:space="preserve">TOTAL USES</t>
  </si>
  <si>
    <t xml:space="preserve">SOURCES</t>
  </si>
  <si>
    <t xml:space="preserve">Senior Loan (sized on Debt tab)</t>
  </si>
  <si>
    <t xml:space="preserve">Sponsor Equity (plug)</t>
  </si>
  <si>
    <t xml:space="preserve">TOTAL SOURCES</t>
  </si>
  <si>
    <t xml:space="preserve">EQUITY SPLIT</t>
  </si>
  <si>
    <t xml:space="preserve">LP Equity</t>
  </si>
  <si>
    <t xml:space="preserve">GP Equity (co-invest)</t>
  </si>
  <si>
    <t xml:space="preserve">CHECK: Sources - Uses</t>
  </si>
  <si>
    <t xml:space="preserve">RETURNS — Unlevered (debt-agnostic) &amp; Levered SCENARIO B (ALTERNATIVE: new debt), 5-Year Hold</t>
  </si>
  <si>
    <t xml:space="preserve">NOI BRIDGE — Broker-Stated -&gt; True In-Place (Day 0) -&gt; Year-1 Forward</t>
  </si>
  <si>
    <t xml:space="preserve">Day-0 = raw in-place rents from Unit Mix, no growth/burn-off/renovation credit. Year-1 Forward = the Operating Model's Year-1 column (includes a partial year of business-plan execution). These are two different concepts; only Day-0 is a conventional 'going-in' NOI.</t>
  </si>
  <si>
    <t xml:space="preserve">Day-0 Gross Potential Rent (raw in-place, no growth/burnoff/capture)</t>
  </si>
  <si>
    <t xml:space="preserve">Plus: Other Income + Utility Reimbursement (Year-1 levels)</t>
  </si>
  <si>
    <t xml:space="preserve">Day-0 Effective Gross Income</t>
  </si>
  <si>
    <t xml:space="preserve">Fixed Opex Lines (payroll..marketing, ex-mgmt-fee -- identical to Year 1, no growth applied in Year 1)</t>
  </si>
  <si>
    <t xml:space="preserve">Management Fee (3.5% of Day-0 EGI)</t>
  </si>
  <si>
    <t xml:space="preserve">DAY-0 IN-PLACE NOI (reassessed-tax basis)</t>
  </si>
  <si>
    <t xml:space="preserve">Decomposition of the gap to Year-1 Forward NOI (each effect isolated via live counterfactual, not estimated)</t>
  </si>
  <si>
    <t xml:space="preserve">Counterfactual S2 = burn-off ON (55% turnover x 50% burn-off, on the 73 prior-renovated units, toward Year-1's growth-adjusted market rent) but renovation-premium capture OFF (24 classic units stay at raw in-place). Isolates the burn-off effect cleanly because market-rent growth only enters Year-1 GPR THROUGH the burn-off and capture mechanisms -- with both off, growth alone has zero effect on Year-1 (verified).</t>
  </si>
  <si>
    <t xml:space="preserve">  S2 GPR: Day-0 classic (raw in-place) + burn-off-adjusted prior-renovated tracks</t>
  </si>
  <si>
    <t xml:space="preserve">  S2 EGI (same vacancy/credit-loss/concessions/%/other-income rates as Day-0)</t>
  </si>
  <si>
    <t xml:space="preserve">  S2 NOI (Day-0 fixed opex + mgmt fee on S2 EGI)</t>
  </si>
  <si>
    <t xml:space="preserve">  Day-0 In-Place NOI</t>
  </si>
  <si>
    <t xml:space="preserve">  + Loss-to-lease burn-off effect (isolated: S2 NOI - Day-0 NOI)</t>
  </si>
  <si>
    <t xml:space="preserve">  + Renovation-premium partial-year capture effect (isolated: Year-1 actual - S2 NOI)</t>
  </si>
  <si>
    <t xml:space="preserve">  = YEAR-1 FORWARD NOI (Operating Model, ties out exactly)</t>
  </si>
  <si>
    <t xml:space="preserve">CAP RATE, THREE WAYS</t>
  </si>
  <si>
    <t xml:space="preserve">1. Broker-Stated Cap Rate (seller's current tax basis)</t>
  </si>
  <si>
    <t xml:space="preserve">2. In-Place Cap Rate, Day-0, REASSESSED tax (the true going-in number)</t>
  </si>
  <si>
    <t xml:space="preserve">3. Year-1 FORWARD Cap Rate (includes partial-year business plan execution -- NOT a going-in number)</t>
  </si>
  <si>
    <t xml:space="preserve">EXIT VALUATION — tax-adjusted</t>
  </si>
  <si>
    <t xml:space="preserve">Exit Cap Rate — base case (direct market input on Assumptions; NOT tied to this deal's entry cap)</t>
  </si>
  <si>
    <t xml:space="preserve">  memo: exit cap minus in-place (Day-0) entry cap</t>
  </si>
  <si>
    <t xml:space="preserve">Effective Tax Rate at Exit (same cost-of-sale factor as entry)</t>
  </si>
  <si>
    <t xml:space="preserve">Forward NOI Before Property Tax (Year 6, for exit)</t>
  </si>
  <si>
    <t xml:space="preserve">EXIT PRICE = Fwd NOI pretax / (Exit Cap + Eff. Tax Rate)</t>
  </si>
  <si>
    <t xml:space="preserve">Less: Cost of Sale</t>
  </si>
  <si>
    <t xml:space="preserve">Less: Loan Payoff (Scenario B Debt tab, End Balance Year 5)</t>
  </si>
  <si>
    <t xml:space="preserve">Less: Prepayment Premium (Scenario B, declining schedule, loan year 5)</t>
  </si>
  <si>
    <t xml:space="preserve">NET SALE PROCEEDS TO EQUITY — SCENARIO B</t>
  </si>
  <si>
    <t xml:space="preserve">Net Sale Proceeds, UNLEVERED (no loan payoff)</t>
  </si>
  <si>
    <t xml:space="preserve">CASH FLOWS ($) — Year 0 = closing, Years 1-5 = operations + exit in Year 5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</si>
  <si>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</si>
  <si>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</si>
  <si>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</si>
  <si>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</si>
  <si>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</si>
  <si>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</si>
  <si>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Unlevered CF (NOI + reserves + roof/recert capex)</t>
  </si>
  <si>
    <t xml:space="preserve">+ Net Sale Proceeds (Year 5 only, unlevered)</t>
  </si>
  <si>
    <t xml:space="preserve">TOTAL UNLEVERED CASH FLOW TO EQUITY</t>
  </si>
  <si>
    <t xml:space="preserve">Less: Debt Service (Scenario B)</t>
  </si>
  <si>
    <t xml:space="preserve">Levered CF from Operations (Scenario B)</t>
  </si>
  <si>
    <t xml:space="preserve">+ Net Sale Proceeds (Year 5 only, levered, Scenario B)</t>
  </si>
  <si>
    <t xml:space="preserve">TOTAL LEVERED CASH FLOW TO EQUITY — SCENARIO B</t>
  </si>
  <si>
    <t xml:space="preserve">RETURNS SUMMARY</t>
  </si>
  <si>
    <t xml:space="preserve">Total Equity Invested (Year 0, Scenario B)</t>
  </si>
  <si>
    <t xml:space="preserve">Total Uses, All-Cash (Year 0, unlevered basis)</t>
  </si>
  <si>
    <t xml:space="preserve">Unlevered IRR (debt-agnostic)</t>
  </si>
  <si>
    <t xml:space="preserve">Levered IRR — SCENARIO B (alternative, new debt)</t>
  </si>
  <si>
    <t xml:space="preserve">Unlevered Equity Multiple (debt-agnostic)</t>
  </si>
  <si>
    <t xml:space="preserve">Levered Equity Multiple — SCENARIO B (alternative, new debt)</t>
  </si>
  <si>
    <t xml:space="preserve">Peak Equity, Scenario B (single close, no follow-on calls)</t>
  </si>
  <si>
    <t xml:space="preserve">CASH-ON-CASH BY YEAR (levered, Scenario B)</t>
  </si>
  <si>
    <t xml:space="preserve">DEBT (ASSUMED) — SCENARIO A (BASE CASE): broker-disclosed existing loan + refinance at maturity</t>
  </si>
  <si>
    <t xml:space="preserve">First mortgage and supplemental loan sourced from LoopNet/Crexi (see Assumptions). Amortization/IO status is NOT disclosed for either -- Assumptions!assum_io is a labeled judgment toggle. If the first mortgage's maturity (Assumptions!assum_first_maturity_yr) falls inside the 5-year hold, the combined balance is refinanced at that point into an agency fixed-rate loan on the same terms as Scenario B (LTV on value at refinance, or DSCR on amortizing debt service, whichever binds). At closing, the lender's assumption test can force a principal paydown (Assumptions: max LTV on purchase price).</t>
  </si>
  <si>
    <t xml:space="preserve">ASSUMPTION APPROVAL — LENDER PAYDOWN TEST AT CLOSING</t>
  </si>
  <si>
    <t xml:space="preserve">Max Assumable Balance = Purchase Price x Max LTV</t>
  </si>
  <si>
    <t xml:space="preserve">Required Paydown at Closing = MAX(0, First + Supplemental - Max)</t>
  </si>
  <si>
    <t xml:space="preserve">  applied to Supplemental (6.2%) first</t>
  </si>
  <si>
    <t xml:space="preserve">  remainder applied to First Mortgage</t>
  </si>
  <si>
    <t xml:space="preserve">First Mortgage Balance Assumed</t>
  </si>
  <si>
    <t xml:space="preserve">Supplemental Balance Assumed</t>
  </si>
  <si>
    <t xml:space="preserve">FIRST MORTGAGE (pre-maturity)</t>
  </si>
  <si>
    <t xml:space="preserve">Beginning Balance</t>
  </si>
  <si>
    <t xml:space="preserve">Principal (0 if IO)</t>
  </si>
  <si>
    <t xml:space="preserve">Ending Balance</t>
  </si>
  <si>
    <t xml:space="preserve">SUPPLEMENTAL LOAN (pre-maturity)</t>
  </si>
  <si>
    <t xml:space="preserve">ASSUMED LOANS COMBINED (through maturity)</t>
  </si>
  <si>
    <t xml:space="preserve">Assumed Loans Debt Service (First + Supplemental)</t>
  </si>
  <si>
    <t xml:space="preserve">Payoff Balance at Maturity (First + Supplemental)</t>
  </si>
  <si>
    <t xml:space="preserve">NOI in the first post-maturity year (Operating Model, indexed on maturity year)</t>
  </si>
  <si>
    <t xml:space="preserve">Value at Refinance = that NOI / exit cap (lender appraisal proxy; no reassessment on a refi)</t>
  </si>
  <si>
    <t xml:space="preserve">REFI OPTION 2a — FLOATING: 30-day Avg SOFR + spread, purchased 2-year rate cap, interest-only, open at sale</t>
  </si>
  <si>
    <t xml:space="preserve">All-in rate</t>
  </si>
  <si>
    <t xml:space="preserve">Sizing rate for the DSCR test</t>
  </si>
  <si>
    <t xml:space="preserve">Interest-only years after refinance</t>
  </si>
  <si>
    <t xml:space="preserve">Loan — LTV constraint (on value at refinance)</t>
  </si>
  <si>
    <t xml:space="preserve">Loan — DSCR constraint (amortizing payment at the sizing rate)</t>
  </si>
  <si>
    <t xml:space="preserve">REFI LOAN AMOUNT (binding = minimum)</t>
  </si>
  <si>
    <t xml:space="preserve">Binding constraint</t>
  </si>
  <si>
    <t xml:space="preserve">Annual P&amp;I payment (after any IO period)</t>
  </si>
  <si>
    <t xml:space="preserve">Upfront cost at refinance (rate cap premium)</t>
  </si>
  <si>
    <t xml:space="preserve">Cash Required at Refinance = payoff - new loan + upfront cost</t>
  </si>
  <si>
    <t xml:space="preserve">Refi Loan Beginning Balance</t>
  </si>
  <si>
    <t xml:space="preserve">Refi Loan Interest</t>
  </si>
  <si>
    <t xml:space="preserve">Refi Loan Principal</t>
  </si>
  <si>
    <t xml:space="preserve">Refi Loan Ending Balance</t>
  </si>
  <si>
    <t xml:space="preserve">TOTAL DEBT SERVICE (assumed loans to maturity, then this refi)</t>
  </si>
  <si>
    <t xml:space="preserve">Prepayment premium % at the Year-5 sale</t>
  </si>
  <si>
    <t xml:space="preserve">Prepayment premium $ at sale</t>
  </si>
  <si>
    <t xml:space="preserve">Financing cost over the refi (interest + cap premium + prepayment premium)</t>
  </si>
  <si>
    <t xml:space="preserve">Financing cost, % of loan per year</t>
  </si>
  <si>
    <t xml:space="preserve">REFI OPTION 2b — 5-YEAR AGENCY FIXED: 5-yr UST + spread, 5-4-3-2-1 declining prepayment premium</t>
  </si>
  <si>
    <t xml:space="preserve">COMPARISON ONLY — 10-YEAR AGENCY FIXED (prior structure): 10-yr UST + spread, 10-yr declining premium</t>
  </si>
  <si>
    <t xml:space="preserve">SELECTED REFINANCE (feeds Returns (Assumed) and the Sensitivity tab)</t>
  </si>
  <si>
    <t xml:space="preserve">Short-refi choice (1 = floating + cap, 2 = 5-yr fixed): lower financing cost % per year</t>
  </si>
  <si>
    <t xml:space="preserve">Selected refi (1 = floating, 2 = 5-yr fixed, 3 = 10-yr fixed); not used when the plan is 1 (sale at maturity)</t>
  </si>
  <si>
    <t xml:space="preserve">Selected: all-in rate</t>
  </si>
  <si>
    <t xml:space="preserve">Selected: sizing rate</t>
  </si>
  <si>
    <t xml:space="preserve">Selected: interest-only years</t>
  </si>
  <si>
    <t xml:space="preserve">Selected: upfront cost % of loan</t>
  </si>
  <si>
    <t xml:space="preserve">Selected: prepayment premium % at sale</t>
  </si>
  <si>
    <t xml:space="preserve">RETURNS (ASSUMED DEBT) — SCENARIO A (BASE CASE): exit plans compared; base case = selected plan</t>
  </si>
  <si>
    <t xml:space="preserve">Same property, same NOI trajectory as the Scenario B (new-debt) Returns tab -- the only thing that changes here is the debt.</t>
  </si>
  <si>
    <t xml:space="preserve">SOURCES &amp; USES — SCENARIO A</t>
  </si>
  <si>
    <t xml:space="preserve">Loan Assumption Fee (on balance assumed after any required paydown)</t>
  </si>
  <si>
    <t xml:space="preserve">Total Uses (Scenario B uses + assumption fee)</t>
  </si>
  <si>
    <t xml:space="preserve">Assumed Debt (First + Supplemental, after any lender-required paydown)</t>
  </si>
  <si>
    <t xml:space="preserve">Sponsor Equity</t>
  </si>
  <si>
    <t xml:space="preserve">  LP Equity (90%)</t>
  </si>
  <si>
    <t xml:space="preserve">  GP Equity (10%, co-invest)</t>
  </si>
  <si>
    <t xml:space="preserve">  memo: vs. Scenario B equity</t>
  </si>
  <si>
    <t xml:space="preserve">  memo: required paydown at assumption (included in Sponsor Equity above)</t>
  </si>
  <si>
    <t xml:space="preserve">EXIT PLANS — cash flows for each plan (Year 0 = closing). The selected plan is the base case below.</t>
  </si>
  <si>
    <t xml:space="preserve">Unlevered CF (same as Scenario B -- identical NOI/reserves/capex)</t>
  </si>
  <si>
    <t xml:space="preserve">PLAN 1 — SELL AT MATURITY (end of Year 3, Dec 2029, when the 3.0% loan matures)</t>
  </si>
  <si>
    <t xml:space="preserve">Exit price = Year-4 NOI before tax / (exit cap + effective tax rate)</t>
  </si>
  <si>
    <t xml:space="preserve">Less: cost of sale</t>
  </si>
  <si>
    <t xml:space="preserve">Less: payoff of the assumed loans at maturity (no prepayment premium)</t>
  </si>
  <si>
    <t xml:space="preserve">Net sale proceeds at maturity</t>
  </si>
  <si>
    <t xml:space="preserve">Levered CF from operations (zero after the sale)</t>
  </si>
  <si>
    <t xml:space="preserve">Total levered cash flow to equity</t>
  </si>
  <si>
    <t xml:space="preserve">Levered IRR</t>
  </si>
  <si>
    <t xml:space="preserve">Levered equity multiple</t>
  </si>
  <si>
    <t xml:space="preserve">Capital call (largest negative year from operations before the sale)</t>
  </si>
  <si>
    <t xml:space="preserve">Peak equity</t>
  </si>
  <si>
    <t xml:space="preserve">PLAN 2a — SHORT REFI: FLOATING + 2-YEAR CAP, sell end of Year 5</t>
  </si>
  <si>
    <t xml:space="preserve">Exit price (Year-6 NOI before tax / (exit cap + effective tax rate))</t>
  </si>
  <si>
    <t xml:space="preserve">Less: refi loan payoff (Year-5 balance)</t>
  </si>
  <si>
    <t xml:space="preserve">Less: prepayment premium</t>
  </si>
  <si>
    <t xml:space="preserve">Net sale proceeds (Year 5)</t>
  </si>
  <si>
    <t xml:space="preserve">Levered CF from operations (incl. cash required at refinance in the maturity year)</t>
  </si>
  <si>
    <t xml:space="preserve">PLAN 2b — SHORT REFI: 5-YEAR AGENCY FIXED, sell end of Year 5</t>
  </si>
  <si>
    <t xml:space="preserve">PLAN 3 — 10-YEAR AGENCY FIXED REFI, sell end of Year 5 (COMPARISON ONLY)</t>
  </si>
  <si>
    <t xml:space="preserve">EXIT PLAN COMPARISON (Scenario A, same price, same property)</t>
  </si>
  <si>
    <t xml:space="preserve">Plan</t>
  </si>
  <si>
    <t xml:space="preserve">Equity multiple</t>
  </si>
  <si>
    <t xml:space="preserve">Capital call</t>
  </si>
  <si>
    <t xml:space="preserve">Refi all-in rate</t>
  </si>
  <si>
    <t xml:space="preserve">Refi financing cost %/yr</t>
  </si>
  <si>
    <t xml:space="preserve">Sale year</t>
  </si>
  <si>
    <t xml:space="preserve">1. Sell at maturity</t>
  </si>
  <si>
    <t xml:space="preserve">n/a</t>
  </si>
  <si>
    <t xml:space="preserve">2a. Short refi: floating + cap</t>
  </si>
  <si>
    <t xml:space="preserve">2b. Short refi: 5-yr fixed</t>
  </si>
  <si>
    <t xml:space="preserve">3. 10-yr fixed refi (comparison)</t>
  </si>
  <si>
    <t xml:space="preserve">SELECTED BASE CASE — SCENARIO A (plan chosen on Assumptions)</t>
  </si>
  <si>
    <t xml:space="preserve">Exit plan in the base case</t>
  </si>
  <si>
    <t xml:space="preserve">Levered CF from Operations</t>
  </si>
  <si>
    <t xml:space="preserve">TOTAL LEVERED CASH FLOW TO EQUITY — SCENARIO A</t>
  </si>
  <si>
    <t xml:space="preserve">RETURNS SUMMARY — SCENARIO A (assumed debt)</t>
  </si>
  <si>
    <t xml:space="preserve">Levered IRR — SCENARIO A (BASE CASE)</t>
  </si>
  <si>
    <t xml:space="preserve">Levered Equity Multiple — SCENARIO A (BASE CASE)</t>
  </si>
  <si>
    <t xml:space="preserve">Year-1 Cash-on-Cash — SCENARIO A (BASE CASE)</t>
  </si>
  <si>
    <t xml:space="preserve">Capital Call Required (largest single-year negative levered CF from operations, e.g. refinance shortfall)</t>
  </si>
  <si>
    <t xml:space="preserve">PEAK EQUITY — SCENARIO A (Year-0 equity + capital call)</t>
  </si>
  <si>
    <t xml:space="preserve">WATERFALL — BASE CASE: Scenario A (assumed debt). Pref -&gt; ROC -&gt; Tier 2 -&gt; Tier 3, GP co-invest pari passu</t>
  </si>
  <si>
    <t xml:space="preserve">Structure: all equity (LP 90% + GP co-invest 10%) is ONE investor class, pari passu. Every tier's 'investor' share is split LP/GP pro rata to capital; the GP additionally earns the promote in Tiers 2-3. No fees are modeled. Hurdles are measured on total investor capital with a compounding hurdle balance debited by every investor dollar, which is mathematically the same as the investors reaching exactly that IRR. Tier rates and splits live on Assumptions. A negative year (e.g. the Year-3 refinance capital call) flows through Tier 1 as a pro-rata investor contribution that accrues pref.</t>
  </si>
  <si>
    <t xml:space="preserve">Available Cash for Distribution (Scenario A)</t>
  </si>
  <si>
    <t xml:space="preserve">Investor Capital, Year 0 (LP + GP co-invest)</t>
  </si>
  <si>
    <t xml:space="preserve">  of which LP</t>
  </si>
  <si>
    <t xml:space="preserve">  of which GP co-invest</t>
  </si>
  <si>
    <t xml:space="preserve">TIER 1 — Return of Capital + Preferred Return (100% to investors, pro rata)</t>
  </si>
  <si>
    <t xml:space="preserve">Investor Pref Hurdle Balance, End of Year (compounding at pref rate)</t>
  </si>
  <si>
    <t xml:space="preserve">Tier 1 Distribution to Investors</t>
  </si>
  <si>
    <t xml:space="preserve">Remaining Cash After Tier 1</t>
  </si>
  <si>
    <t xml:space="preserve">TIER 2 — investors / GP promote, until investors reach the Tier 2 IRR hurdle</t>
  </si>
  <si>
    <t xml:space="preserve">Investor Tier-2 Hurdle Balance, End of Year (net of ALL investor $)</t>
  </si>
  <si>
    <t xml:space="preserve">Tier-2 Hurdle Balance After Tier-1 Cash Applied</t>
  </si>
  <si>
    <t xml:space="preserve">Tier 2 Total Distribution</t>
  </si>
  <si>
    <t xml:space="preserve">  Tier 2 to investors</t>
  </si>
  <si>
    <t xml:space="preserve">  Tier 2 GP promote</t>
  </si>
  <si>
    <t xml:space="preserve">Remaining Cash After Tier 2</t>
  </si>
  <si>
    <t xml:space="preserve">TIER 3 — investors / GP promote thereafter</t>
  </si>
  <si>
    <t xml:space="preserve">Tier 3 Total Distribution</t>
  </si>
  <si>
    <t xml:space="preserve">  Tier 3 to investors</t>
  </si>
  <si>
    <t xml:space="preserve">  Tier 3 GP promote</t>
  </si>
  <si>
    <t xml:space="preserve">SPLIT BY PARTY (investor distributions split pro rata to capital; promote to GP)</t>
  </si>
  <si>
    <t xml:space="preserve">Total to Investors (Tier 1 + investor share of Tiers 2-3)</t>
  </si>
  <si>
    <t xml:space="preserve">LP Total Distribution</t>
  </si>
  <si>
    <t xml:space="preserve">GP Co-Invest Distribution (pro rata, same terms as LP)</t>
  </si>
  <si>
    <t xml:space="preserve">GP Promote (Tier 2 + Tier 3)</t>
  </si>
  <si>
    <t xml:space="preserve">GP Total Distribution (co-invest + promote)</t>
  </si>
  <si>
    <t xml:space="preserve">CHECK — LP + GP distributions must equal Available Cash each year</t>
  </si>
  <si>
    <t xml:space="preserve">LP / GP RETURNS (Scenario A)</t>
  </si>
  <si>
    <t xml:space="preserve">LP IRR</t>
  </si>
  <si>
    <t xml:space="preserve">GP IRR (co-invest + promote)</t>
  </si>
  <si>
    <t xml:space="preserve">LP Equity Multiple</t>
  </si>
  <si>
    <t xml:space="preserve">GP Equity Multiple (co-invest + promote)</t>
  </si>
  <si>
    <t xml:space="preserve">Total GP Promote over the hold ($)</t>
  </si>
  <si>
    <t xml:space="preserve">memo: Deal-level Levered IRR (Scenario A) -- LP = GP = this when no promote is earned</t>
  </si>
  <si>
    <t xml:space="preserve">SENSITIVITY — Tables 1-3 on SCENARIO A (BASE CASE: assumed debt, selected exit plan); Table 4 = Scenario B (new debt), secondary</t>
  </si>
  <si>
    <t xml:space="preserve">Deal-level levered IRR (top) and equity multiple (bottom). Pre-promote: with pari passu capital, LP IRR = deal IRR whenever the deal is below the 8% pref. Exit cap runs base +/- 100 bps. Axis steps live on Assumptions. Each cell is computed in its own calculation block at the bottom of this tab (not a shortcut): assumed loans after any required paydown, then the selected exit plan (sale at maturity, or a refinance sized on the scenario's refi-year NOI and exit cap with its cap cost and prepayment premium), tax-adjusted exit. Every cell is exact (verify_model.py re-runs each one through its full engine).</t>
  </si>
  <si>
    <t xml:space="preserve">TABLE 1 (Scenario A, BASE CASE) — Exit Cap (rows) x Purchase Price (cols) | Levered IRR (top) / Equity Multiple (bottom)</t>
  </si>
  <si>
    <t xml:space="preserve">rows \ cols</t>
  </si>
  <si>
    <t xml:space="preserve">(same grid, Equity Multiple)</t>
  </si>
  <si>
    <t xml:space="preserve">TABLE 2 (Scenario A, BASE CASE) — Exit Cap (rows) x Market Rent Growth, change vs. base schedule (cols) | Levered IRR (top) / Equity Multiple (bottom)</t>
  </si>
  <si>
    <t xml:space="preserve">Growth change is added to every year's market rent growth. Each cell re-runs the unit-by-unit rent engine (market, prior-renovated burn-off, classic tracks) and property-tax growth, which is tied to terminal rent growth, at the shifted path. Exact.</t>
  </si>
  <si>
    <t xml:space="preserve">TABLE 3 (Scenario A, BASE CASE) — Renovation Premium over Market, $/mo (rows) x Renovation Cost per Unit (cols) | Levered IRR (top) / Equity Multiple (bottom)</t>
  </si>
  <si>
    <t xml:space="preserve">Base premium is $0 (renovated units reach market). Rows show what a premium above market would add.</t>
  </si>
  <si>
    <t xml:space="preserve">TABLE 4 (SECONDARY: Scenario B, new agency debt) — Exit Cap (rows) x Purchase Price (cols) | Levered IRR (top) / Equity Multiple (bottom)</t>
  </si>
  <si>
    <t xml:space="preserve">New loan re-sized at each price (LTV or DSCR, whichever binds).</t>
  </si>
  <si>
    <t xml:space="preserve">CALCULATION DETAIL (one 4-row block per grid cell; feeds the grids above)</t>
  </si>
  <si>
    <t xml:space="preserve">Block rows: (1) NOI Years 1-6 in C:H, Year-6 NOI before property tax in I; (2) scalars -- Scenario A: B price, C required assumption paydown, D/E first/supplemental assumed, F equity, G payoff at maturity, H refi loan, I refi balance at sale, J prepayment premium, K net sale proceeds at the Year-5 sale, L rate-cap premium at refinance, M net proceeds if sold at maturity. Scenario A blocks follow the exit plan selected on Assumptions and the refi terms selected on Debt (Assumed); Scenario B: B price, C loan, D equity, E balance at sale, F prepayment premium, G net sale proceeds; (3) debt service Years 1-5; (4) levered cash flow Years 0-5, IRR (H), equity multiple (I). Table 2 blocks first carry 9 extra rows: market and prior-renovated rent by unit type, and scheduled rent, at the shifted growth path.</t>
  </si>
  <si>
    <t xml:space="preserve">T1 r1 c1 | NOI Y1..Y6, pretax Y6</t>
  </si>
  <si>
    <t xml:space="preserve">T1 r1 c1 | debt scalars</t>
  </si>
  <si>
    <t xml:space="preserve">T1 r1 c1 | debt service Y1..Y5</t>
  </si>
  <si>
    <t xml:space="preserve">T1 r1 c1 | levered CF Y0..Y5, IRR, EM</t>
  </si>
  <si>
    <t xml:space="preserve">T1 r1 c2 | NOI Y1..Y6, pretax Y6</t>
  </si>
  <si>
    <t xml:space="preserve">T1 r1 c2 | debt scalars</t>
  </si>
  <si>
    <t xml:space="preserve">T1 r1 c2 | debt service Y1..Y5</t>
  </si>
  <si>
    <t xml:space="preserve">T1 r1 c2 | levered CF Y0..Y5, IRR, EM</t>
  </si>
  <si>
    <t xml:space="preserve">T1 r1 c3 | NOI Y1..Y6, pretax Y6</t>
  </si>
  <si>
    <t xml:space="preserve">T1 r1 c3 | debt scalars</t>
  </si>
  <si>
    <t xml:space="preserve">T1 r1 c3 | debt service Y1..Y5</t>
  </si>
  <si>
    <t xml:space="preserve">T1 r1 c3 | levered CF Y0..Y5, IRR, EM</t>
  </si>
  <si>
    <t xml:space="preserve">T1 r1 c4 | NOI Y1..Y6, pretax Y6</t>
  </si>
  <si>
    <t xml:space="preserve">T1 r1 c4 | debt scalars</t>
  </si>
  <si>
    <t xml:space="preserve">T1 r1 c4 | debt service Y1..Y5</t>
  </si>
  <si>
    <t xml:space="preserve">T1 r1 c4 | levered CF Y0..Y5, IRR, EM</t>
  </si>
  <si>
    <t xml:space="preserve">T1 r1 c5 | NOI Y1..Y6, pretax Y6</t>
  </si>
  <si>
    <t xml:space="preserve">T1 r1 c5 | debt scalars</t>
  </si>
  <si>
    <t xml:space="preserve">T1 r1 c5 | debt service Y1..Y5</t>
  </si>
  <si>
    <t xml:space="preserve">T1 r1 c5 | levered CF Y0..Y5, IRR, EM</t>
  </si>
  <si>
    <t xml:space="preserve">T1 r2 c1 | NOI Y1..Y6, pretax Y6</t>
  </si>
  <si>
    <t xml:space="preserve">T1 r2 c1 | debt scalars</t>
  </si>
  <si>
    <t xml:space="preserve">T1 r2 c1 | debt service Y1..Y5</t>
  </si>
  <si>
    <t xml:space="preserve">T1 r2 c1 | levered CF Y0..Y5, IRR, EM</t>
  </si>
  <si>
    <t xml:space="preserve">T1 r2 c2 | NOI Y1..Y6, pretax Y6</t>
  </si>
  <si>
    <t xml:space="preserve">T1 r2 c2 | debt scalars</t>
  </si>
  <si>
    <t xml:space="preserve">T1 r2 c2 | debt service Y1..Y5</t>
  </si>
  <si>
    <t xml:space="preserve">T1 r2 c2 | levered CF Y0..Y5, IRR, EM</t>
  </si>
  <si>
    <t xml:space="preserve">T1 r2 c3 | NOI Y1..Y6, pretax Y6</t>
  </si>
  <si>
    <t xml:space="preserve">T1 r2 c3 | debt scalars</t>
  </si>
  <si>
    <t xml:space="preserve">T1 r2 c3 | debt service Y1..Y5</t>
  </si>
  <si>
    <t xml:space="preserve">T1 r2 c3 | levered CF Y0..Y5, IRR, EM</t>
  </si>
  <si>
    <t xml:space="preserve">T1 r2 c4 | NOI Y1..Y6, pretax Y6</t>
  </si>
  <si>
    <t xml:space="preserve">T1 r2 c4 | debt scalars</t>
  </si>
  <si>
    <t xml:space="preserve">T1 r2 c4 | debt service Y1..Y5</t>
  </si>
  <si>
    <t xml:space="preserve">T1 r2 c4 | levered CF Y0..Y5, IRR, EM</t>
  </si>
  <si>
    <t xml:space="preserve">T1 r2 c5 | NOI Y1..Y6, pretax Y6</t>
  </si>
  <si>
    <t xml:space="preserve">T1 r2 c5 | debt scalars</t>
  </si>
  <si>
    <t xml:space="preserve">T1 r2 c5 | debt service Y1..Y5</t>
  </si>
  <si>
    <t xml:space="preserve">T1 r2 c5 | levered CF Y0..Y5, IRR, EM</t>
  </si>
  <si>
    <t xml:space="preserve">T1 r3 c1 | NOI Y1..Y6, pretax Y6</t>
  </si>
  <si>
    <t xml:space="preserve">T1 r3 c1 | debt scalars</t>
  </si>
  <si>
    <t xml:space="preserve">T1 r3 c1 | debt service Y1..Y5</t>
  </si>
  <si>
    <t xml:space="preserve">T1 r3 c1 | levered CF Y0..Y5, IRR, EM</t>
  </si>
  <si>
    <t xml:space="preserve">T1 r3 c2 | NOI Y1..Y6, pretax Y6</t>
  </si>
  <si>
    <t xml:space="preserve">T1 r3 c2 | debt scalars</t>
  </si>
  <si>
    <t xml:space="preserve">T1 r3 c2 | debt service Y1..Y5</t>
  </si>
  <si>
    <t xml:space="preserve">T1 r3 c2 | levered CF Y0..Y5, IRR, EM</t>
  </si>
  <si>
    <t xml:space="preserve">T1 r3 c3 | NOI Y1..Y6, pretax Y6</t>
  </si>
  <si>
    <t xml:space="preserve">T1 r3 c3 | debt scalars</t>
  </si>
  <si>
    <t xml:space="preserve">T1 r3 c3 | debt service Y1..Y5</t>
  </si>
  <si>
    <t xml:space="preserve">T1 r3 c3 | levered CF Y0..Y5, IRR, EM</t>
  </si>
  <si>
    <t xml:space="preserve">T1 r3 c4 | NOI Y1..Y6, pretax Y6</t>
  </si>
  <si>
    <t xml:space="preserve">T1 r3 c4 | debt scalars</t>
  </si>
  <si>
    <t xml:space="preserve">T1 r3 c4 | debt service Y1..Y5</t>
  </si>
  <si>
    <t xml:space="preserve">T1 r3 c4 | levered CF Y0..Y5, IRR, EM</t>
  </si>
  <si>
    <t xml:space="preserve">T1 r3 c5 | NOI Y1..Y6, pretax Y6</t>
  </si>
  <si>
    <t xml:space="preserve">T1 r3 c5 | debt scalars</t>
  </si>
  <si>
    <t xml:space="preserve">T1 r3 c5 | debt service Y1..Y5</t>
  </si>
  <si>
    <t xml:space="preserve">T1 r3 c5 | levered CF Y0..Y5, IRR, EM</t>
  </si>
  <si>
    <t xml:space="preserve">T1 r4 c1 | NOI Y1..Y6, pretax Y6</t>
  </si>
  <si>
    <t xml:space="preserve">T1 r4 c1 | debt scalars</t>
  </si>
  <si>
    <t xml:space="preserve">T1 r4 c1 | debt service Y1..Y5</t>
  </si>
  <si>
    <t xml:space="preserve">T1 r4 c1 | levered CF Y0..Y5, IRR, EM</t>
  </si>
  <si>
    <t xml:space="preserve">T1 r4 c2 | NOI Y1..Y6, pretax Y6</t>
  </si>
  <si>
    <t xml:space="preserve">T1 r4 c2 | debt scalars</t>
  </si>
  <si>
    <t xml:space="preserve">T1 r4 c2 | debt service Y1..Y5</t>
  </si>
  <si>
    <t xml:space="preserve">T1 r4 c2 | levered CF Y0..Y5, IRR, EM</t>
  </si>
  <si>
    <t xml:space="preserve">T1 r4 c3 | NOI Y1..Y6, pretax Y6</t>
  </si>
  <si>
    <t xml:space="preserve">T1 r4 c3 | debt scalars</t>
  </si>
  <si>
    <t xml:space="preserve">T1 r4 c3 | debt service Y1..Y5</t>
  </si>
  <si>
    <t xml:space="preserve">T1 r4 c3 | levered CF Y0..Y5, IRR, EM</t>
  </si>
  <si>
    <t xml:space="preserve">T1 r4 c4 | NOI Y1..Y6, pretax Y6</t>
  </si>
  <si>
    <t xml:space="preserve">T1 r4 c4 | debt scalars</t>
  </si>
  <si>
    <t xml:space="preserve">T1 r4 c4 | debt service Y1..Y5</t>
  </si>
  <si>
    <t xml:space="preserve">T1 r4 c4 | levered CF Y0..Y5, IRR, EM</t>
  </si>
  <si>
    <t xml:space="preserve">T1 r4 c5 | NOI Y1..Y6, pretax Y6</t>
  </si>
  <si>
    <t xml:space="preserve">T1 r4 c5 | debt scalars</t>
  </si>
  <si>
    <t xml:space="preserve">T1 r4 c5 | debt service Y1..Y5</t>
  </si>
  <si>
    <t xml:space="preserve">T1 r4 c5 | levered CF Y0..Y5, IRR, EM</t>
  </si>
  <si>
    <t xml:space="preserve">T1 r5 c1 | NOI Y1..Y6, pretax Y6</t>
  </si>
  <si>
    <t xml:space="preserve">T1 r5 c1 | debt scalars</t>
  </si>
  <si>
    <t xml:space="preserve">T1 r5 c1 | debt service Y1..Y5</t>
  </si>
  <si>
    <t xml:space="preserve">T1 r5 c1 | levered CF Y0..Y5, IRR, EM</t>
  </si>
  <si>
    <t xml:space="preserve">T1 r5 c2 | NOI Y1..Y6, pretax Y6</t>
  </si>
  <si>
    <t xml:space="preserve">T1 r5 c2 | debt scalars</t>
  </si>
  <si>
    <t xml:space="preserve">T1 r5 c2 | debt service Y1..Y5</t>
  </si>
  <si>
    <t xml:space="preserve">T1 r5 c2 | levered CF Y0..Y5, IRR, EM</t>
  </si>
  <si>
    <t xml:space="preserve">T1 r5 c3 | NOI Y1..Y6, pretax Y6</t>
  </si>
  <si>
    <t xml:space="preserve">T1 r5 c3 | debt scalars</t>
  </si>
  <si>
    <t xml:space="preserve">T1 r5 c3 | debt service Y1..Y5</t>
  </si>
  <si>
    <t xml:space="preserve">T1 r5 c3 | levered CF Y0..Y5, IRR, EM</t>
  </si>
  <si>
    <t xml:space="preserve">T1 r5 c4 | NOI Y1..Y6, pretax Y6</t>
  </si>
  <si>
    <t xml:space="preserve">T1 r5 c4 | debt scalars</t>
  </si>
  <si>
    <t xml:space="preserve">T1 r5 c4 | debt service Y1..Y5</t>
  </si>
  <si>
    <t xml:space="preserve">T1 r5 c4 | levered CF Y0..Y5, IRR, EM</t>
  </si>
  <si>
    <t xml:space="preserve">T1 r5 c5 | NOI Y1..Y6, pretax Y6</t>
  </si>
  <si>
    <t xml:space="preserve">T1 r5 c5 | debt scalars</t>
  </si>
  <si>
    <t xml:space="preserve">T1 r5 c5 | debt service Y1..Y5</t>
  </si>
  <si>
    <t xml:space="preserve">T1 r5 c5 | levered CF Y0..Y5, IRR, EM</t>
  </si>
  <si>
    <t xml:space="preserve">T2 r1 c1 | Studio market rent/mo</t>
  </si>
  <si>
    <t xml:space="preserve">T2 r1 c1 | Studio prior-renovated rent/mo</t>
  </si>
  <si>
    <t xml:space="preserve">T2 r1 c1 | 1BR/1BA market rent/mo</t>
  </si>
  <si>
    <t xml:space="preserve">T2 r1 c1 | 1BR/1BA prior-renovated rent/mo</t>
  </si>
  <si>
    <t xml:space="preserve">T2 r1 c1 | 2BR/1BA market rent/mo</t>
  </si>
  <si>
    <t xml:space="preserve">T2 r1 c1 | 2BR/1BA prior-renovated rent/mo</t>
  </si>
  <si>
    <t xml:space="preserve">T2 r1 c1 | 2BR/2BA market rent/mo</t>
  </si>
  <si>
    <t xml:space="preserve">T2 r1 c1 | 2BR/2BA prior-renovated rent/mo</t>
  </si>
  <si>
    <t xml:space="preserve">T2 r1 c1 | scheduled rent (GPR) at shifted growth</t>
  </si>
  <si>
    <t xml:space="preserve">T2 r1 c1 | NOI Y1..Y6, pretax Y6</t>
  </si>
  <si>
    <t xml:space="preserve">T2 r1 c1 | debt scalars</t>
  </si>
  <si>
    <t xml:space="preserve">T2 r1 c1 | debt service Y1..Y5</t>
  </si>
  <si>
    <t xml:space="preserve">T2 r1 c1 | levered CF Y0..Y5, IRR, EM</t>
  </si>
  <si>
    <t xml:space="preserve">T2 r1 c2 | Studio market rent/mo</t>
  </si>
  <si>
    <t xml:space="preserve">T2 r1 c2 | Studio prior-renovated rent/mo</t>
  </si>
  <si>
    <t xml:space="preserve">T2 r1 c2 | 1BR/1BA market rent/mo</t>
  </si>
  <si>
    <t xml:space="preserve">T2 r1 c2 | 1BR/1BA prior-renovated rent/mo</t>
  </si>
  <si>
    <t xml:space="preserve">T2 r1 c2 | 2BR/1BA market rent/mo</t>
  </si>
  <si>
    <t xml:space="preserve">T2 r1 c2 | 2BR/1BA prior-renovated rent/mo</t>
  </si>
  <si>
    <t xml:space="preserve">T2 r1 c2 | 2BR/2BA market rent/mo</t>
  </si>
  <si>
    <t xml:space="preserve">T2 r1 c2 | 2BR/2BA prior-renovated rent/mo</t>
  </si>
  <si>
    <t xml:space="preserve">T2 r1 c2 | scheduled rent (GPR) at shifted growth</t>
  </si>
  <si>
    <t xml:space="preserve">T2 r1 c2 | NOI Y1..Y6, pretax Y6</t>
  </si>
  <si>
    <t xml:space="preserve">T2 r1 c2 | debt scalars</t>
  </si>
  <si>
    <t xml:space="preserve">T2 r1 c2 | debt service Y1..Y5</t>
  </si>
  <si>
    <t xml:space="preserve">T2 r1 c2 | levered CF Y0..Y5, IRR, EM</t>
  </si>
  <si>
    <t xml:space="preserve">T2 r1 c3 | Studio market rent/mo</t>
  </si>
  <si>
    <t xml:space="preserve">T2 r1 c3 | Studio prior-renovated rent/mo</t>
  </si>
  <si>
    <t xml:space="preserve">T2 r1 c3 | 1BR/1BA market rent/mo</t>
  </si>
  <si>
    <t xml:space="preserve">T2 r1 c3 | 1BR/1BA prior-renovated rent/mo</t>
  </si>
  <si>
    <t xml:space="preserve">T2 r1 c3 | 2BR/1BA market rent/mo</t>
  </si>
  <si>
    <t xml:space="preserve">T2 r1 c3 | 2BR/1BA prior-renovated rent/mo</t>
  </si>
  <si>
    <t xml:space="preserve">T2 r1 c3 | 2BR/2BA market rent/mo</t>
  </si>
  <si>
    <t xml:space="preserve">T2 r1 c3 | 2BR/2BA prior-renovated rent/mo</t>
  </si>
  <si>
    <t xml:space="preserve">T2 r1 c3 | scheduled rent (GPR) at shifted growth</t>
  </si>
  <si>
    <t xml:space="preserve">T2 r1 c3 | NOI Y1..Y6, pretax Y6</t>
  </si>
  <si>
    <t xml:space="preserve">T2 r1 c3 | debt scalars</t>
  </si>
  <si>
    <t xml:space="preserve">T2 r1 c3 | debt service Y1..Y5</t>
  </si>
  <si>
    <t xml:space="preserve">T2 r1 c3 | levered CF Y0..Y5, IRR, EM</t>
  </si>
  <si>
    <t xml:space="preserve">T2 r1 c4 | Studio market rent/mo</t>
  </si>
  <si>
    <t xml:space="preserve">T2 r1 c4 | Studio prior-renovated rent/mo</t>
  </si>
  <si>
    <t xml:space="preserve">T2 r1 c4 | 1BR/1BA market rent/mo</t>
  </si>
  <si>
    <t xml:space="preserve">T2 r1 c4 | 1BR/1BA prior-renovated rent/mo</t>
  </si>
  <si>
    <t xml:space="preserve">T2 r1 c4 | 2BR/1BA market rent/mo</t>
  </si>
  <si>
    <t xml:space="preserve">T2 r1 c4 | 2BR/1BA prior-renovated rent/mo</t>
  </si>
  <si>
    <t xml:space="preserve">T2 r1 c4 | 2BR/2BA market rent/mo</t>
  </si>
  <si>
    <t xml:space="preserve">T2 r1 c4 | 2BR/2BA prior-renovated rent/mo</t>
  </si>
  <si>
    <t xml:space="preserve">T2 r1 c4 | scheduled rent (GPR) at shifted growth</t>
  </si>
  <si>
    <t xml:space="preserve">T2 r1 c4 | NOI Y1..Y6, pretax Y6</t>
  </si>
  <si>
    <t xml:space="preserve">T2 r1 c4 | debt scalars</t>
  </si>
  <si>
    <t xml:space="preserve">T2 r1 c4 | debt service Y1..Y5</t>
  </si>
  <si>
    <t xml:space="preserve">T2 r1 c4 | levered CF Y0..Y5, IRR, EM</t>
  </si>
  <si>
    <t xml:space="preserve">T2 r1 c5 | Studio market rent/mo</t>
  </si>
  <si>
    <t xml:space="preserve">T2 r1 c5 | Studio prior-renovated rent/mo</t>
  </si>
  <si>
    <t xml:space="preserve">T2 r1 c5 | 1BR/1BA market rent/mo</t>
  </si>
  <si>
    <t xml:space="preserve">T2 r1 c5 | 1BR/1BA prior-renovated rent/mo</t>
  </si>
  <si>
    <t xml:space="preserve">T2 r1 c5 | 2BR/1BA market rent/mo</t>
  </si>
  <si>
    <t xml:space="preserve">T2 r1 c5 | 2BR/1BA prior-renovated rent/mo</t>
  </si>
  <si>
    <t xml:space="preserve">T2 r1 c5 | 2BR/2BA market rent/mo</t>
  </si>
  <si>
    <t xml:space="preserve">T2 r1 c5 | 2BR/2BA prior-renovated rent/mo</t>
  </si>
  <si>
    <t xml:space="preserve">T2 r1 c5 | scheduled rent (GPR) at shifted growth</t>
  </si>
  <si>
    <t xml:space="preserve">T2 r1 c5 | NOI Y1..Y6, pretax Y6</t>
  </si>
  <si>
    <t xml:space="preserve">T2 r1 c5 | debt scalars</t>
  </si>
  <si>
    <t xml:space="preserve">T2 r1 c5 | debt service Y1..Y5</t>
  </si>
  <si>
    <t xml:space="preserve">T2 r1 c5 | levered CF Y0..Y5, IRR, EM</t>
  </si>
  <si>
    <t xml:space="preserve">T2 r2 c1 | Studio market rent/mo</t>
  </si>
  <si>
    <t xml:space="preserve">T2 r2 c1 | Studio prior-renovated rent/mo</t>
  </si>
  <si>
    <t xml:space="preserve">T2 r2 c1 | 1BR/1BA market rent/mo</t>
  </si>
  <si>
    <t xml:space="preserve">T2 r2 c1 | 1BR/1BA prior-renovated rent/mo</t>
  </si>
  <si>
    <t xml:space="preserve">T2 r2 c1 | 2BR/1BA market rent/mo</t>
  </si>
  <si>
    <t xml:space="preserve">T2 r2 c1 | 2BR/1BA prior-renovated rent/mo</t>
  </si>
  <si>
    <t xml:space="preserve">T2 r2 c1 | 2BR/2BA market rent/mo</t>
  </si>
  <si>
    <t xml:space="preserve">T2 r2 c1 | 2BR/2BA prior-renovated rent/mo</t>
  </si>
  <si>
    <t xml:space="preserve">T2 r2 c1 | scheduled rent (GPR) at shifted growth</t>
  </si>
  <si>
    <t xml:space="preserve">T2 r2 c1 | NOI Y1..Y6, pretax Y6</t>
  </si>
  <si>
    <t xml:space="preserve">T2 r2 c1 | debt scalars</t>
  </si>
  <si>
    <t xml:space="preserve">T2 r2 c1 | debt service Y1..Y5</t>
  </si>
  <si>
    <t xml:space="preserve">T2 r2 c1 | levered CF Y0..Y5, IRR, EM</t>
  </si>
  <si>
    <t xml:space="preserve">T2 r2 c2 | Studio market rent/mo</t>
  </si>
  <si>
    <t xml:space="preserve">T2 r2 c2 | Studio prior-renovated rent/mo</t>
  </si>
  <si>
    <t xml:space="preserve">T2 r2 c2 | 1BR/1BA market rent/mo</t>
  </si>
  <si>
    <t xml:space="preserve">T2 r2 c2 | 1BR/1BA prior-renovated rent/mo</t>
  </si>
  <si>
    <t xml:space="preserve">T2 r2 c2 | 2BR/1BA market rent/mo</t>
  </si>
  <si>
    <t xml:space="preserve">T2 r2 c2 | 2BR/1BA prior-renovated rent/mo</t>
  </si>
  <si>
    <t xml:space="preserve">T2 r2 c2 | 2BR/2BA market rent/mo</t>
  </si>
  <si>
    <t xml:space="preserve">T2 r2 c2 | 2BR/2BA prior-renovated rent/mo</t>
  </si>
  <si>
    <t xml:space="preserve">T2 r2 c2 | scheduled rent (GPR) at shifted growth</t>
  </si>
  <si>
    <t xml:space="preserve">T2 r2 c2 | NOI Y1..Y6, pretax Y6</t>
  </si>
  <si>
    <t xml:space="preserve">T2 r2 c2 | debt scalars</t>
  </si>
  <si>
    <t xml:space="preserve">T2 r2 c2 | debt service Y1..Y5</t>
  </si>
  <si>
    <t xml:space="preserve">T2 r2 c2 | levered CF Y0..Y5, IRR, EM</t>
  </si>
  <si>
    <t xml:space="preserve">T2 r2 c3 | Studio market rent/mo</t>
  </si>
  <si>
    <t xml:space="preserve">T2 r2 c3 | Studio prior-renovated rent/mo</t>
  </si>
  <si>
    <t xml:space="preserve">T2 r2 c3 | 1BR/1BA market rent/mo</t>
  </si>
  <si>
    <t xml:space="preserve">T2 r2 c3 | 1BR/1BA prior-renovated rent/mo</t>
  </si>
  <si>
    <t xml:space="preserve">T2 r2 c3 | 2BR/1BA market rent/mo</t>
  </si>
  <si>
    <t xml:space="preserve">T2 r2 c3 | 2BR/1BA prior-renovated rent/mo</t>
  </si>
  <si>
    <t xml:space="preserve">T2 r2 c3 | 2BR/2BA market rent/mo</t>
  </si>
  <si>
    <t xml:space="preserve">T2 r2 c3 | 2BR/2BA prior-renovated rent/mo</t>
  </si>
  <si>
    <t xml:space="preserve">T2 r2 c3 | scheduled rent (GPR) at shifted growth</t>
  </si>
  <si>
    <t xml:space="preserve">T2 r2 c3 | NOI Y1..Y6, pretax Y6</t>
  </si>
  <si>
    <t xml:space="preserve">T2 r2 c3 | debt scalars</t>
  </si>
  <si>
    <t xml:space="preserve">T2 r2 c3 | debt service Y1..Y5</t>
  </si>
  <si>
    <t xml:space="preserve">T2 r2 c3 | levered CF Y0..Y5, IRR, EM</t>
  </si>
  <si>
    <t xml:space="preserve">T2 r2 c4 | Studio market rent/mo</t>
  </si>
  <si>
    <t xml:space="preserve">T2 r2 c4 | Studio prior-renovated rent/mo</t>
  </si>
  <si>
    <t xml:space="preserve">T2 r2 c4 | 1BR/1BA market rent/mo</t>
  </si>
  <si>
    <t xml:space="preserve">T2 r2 c4 | 1BR/1BA prior-renovated rent/mo</t>
  </si>
  <si>
    <t xml:space="preserve">T2 r2 c4 | 2BR/1BA market rent/mo</t>
  </si>
  <si>
    <t xml:space="preserve">T2 r2 c4 | 2BR/1BA prior-renovated rent/mo</t>
  </si>
  <si>
    <t xml:space="preserve">T2 r2 c4 | 2BR/2BA market rent/mo</t>
  </si>
  <si>
    <t xml:space="preserve">T2 r2 c4 | 2BR/2BA prior-renovated rent/mo</t>
  </si>
  <si>
    <t xml:space="preserve">T2 r2 c4 | scheduled rent (GPR) at shifted growth</t>
  </si>
  <si>
    <t xml:space="preserve">T2 r2 c4 | NOI Y1..Y6, pretax Y6</t>
  </si>
  <si>
    <t xml:space="preserve">T2 r2 c4 | debt scalars</t>
  </si>
  <si>
    <t xml:space="preserve">T2 r2 c4 | debt service Y1..Y5</t>
  </si>
  <si>
    <t xml:space="preserve">T2 r2 c4 | levered CF Y0..Y5, IRR, EM</t>
  </si>
  <si>
    <t xml:space="preserve">T2 r2 c5 | Studio market rent/mo</t>
  </si>
  <si>
    <t xml:space="preserve">T2 r2 c5 | Studio prior-renovated rent/mo</t>
  </si>
  <si>
    <t xml:space="preserve">T2 r2 c5 | 1BR/1BA market rent/mo</t>
  </si>
  <si>
    <t xml:space="preserve">T2 r2 c5 | 1BR/1BA prior-renovated rent/mo</t>
  </si>
  <si>
    <t xml:space="preserve">T2 r2 c5 | 2BR/1BA market rent/mo</t>
  </si>
  <si>
    <t xml:space="preserve">T2 r2 c5 | 2BR/1BA prior-renovated rent/mo</t>
  </si>
  <si>
    <t xml:space="preserve">T2 r2 c5 | 2BR/2BA market rent/mo</t>
  </si>
  <si>
    <t xml:space="preserve">T2 r2 c5 | 2BR/2BA prior-renovated rent/mo</t>
  </si>
  <si>
    <t xml:space="preserve">T2 r2 c5 | scheduled rent (GPR) at shifted growth</t>
  </si>
  <si>
    <t xml:space="preserve">T2 r2 c5 | NOI Y1..Y6, pretax Y6</t>
  </si>
  <si>
    <t xml:space="preserve">T2 r2 c5 | debt scalars</t>
  </si>
  <si>
    <t xml:space="preserve">T2 r2 c5 | debt service Y1..Y5</t>
  </si>
  <si>
    <t xml:space="preserve">T2 r2 c5 | levered CF Y0..Y5, IRR, EM</t>
  </si>
  <si>
    <t xml:space="preserve">T2 r3 c1 | Studio market rent/mo</t>
  </si>
  <si>
    <t xml:space="preserve">T2 r3 c1 | Studio prior-renovated rent/mo</t>
  </si>
  <si>
    <t xml:space="preserve">T2 r3 c1 | 1BR/1BA market rent/mo</t>
  </si>
  <si>
    <t xml:space="preserve">T2 r3 c1 | 1BR/1BA prior-renovated rent/mo</t>
  </si>
  <si>
    <t xml:space="preserve">T2 r3 c1 | 2BR/1BA market rent/mo</t>
  </si>
  <si>
    <t xml:space="preserve">T2 r3 c1 | 2BR/1BA prior-renovated rent/mo</t>
  </si>
  <si>
    <t xml:space="preserve">T2 r3 c1 | 2BR/2BA market rent/mo</t>
  </si>
  <si>
    <t xml:space="preserve">T2 r3 c1 | 2BR/2BA prior-renovated rent/mo</t>
  </si>
  <si>
    <t xml:space="preserve">T2 r3 c1 | scheduled rent (GPR) at shifted growth</t>
  </si>
  <si>
    <t xml:space="preserve">T2 r3 c1 | NOI Y1..Y6, pretax Y6</t>
  </si>
  <si>
    <t xml:space="preserve">T2 r3 c1 | debt scalars</t>
  </si>
  <si>
    <t xml:space="preserve">T2 r3 c1 | debt service Y1..Y5</t>
  </si>
  <si>
    <t xml:space="preserve">T2 r3 c1 | levered CF Y0..Y5, IRR, EM</t>
  </si>
  <si>
    <t xml:space="preserve">T2 r3 c2 | Studio market rent/mo</t>
  </si>
  <si>
    <t xml:space="preserve">T2 r3 c2 | Studio prior-renovated rent/mo</t>
  </si>
  <si>
    <t xml:space="preserve">T2 r3 c2 | 1BR/1BA market rent/mo</t>
  </si>
  <si>
    <t xml:space="preserve">T2 r3 c2 | 1BR/1BA prior-renovated rent/mo</t>
  </si>
  <si>
    <t xml:space="preserve">T2 r3 c2 | 2BR/1BA market rent/mo</t>
  </si>
  <si>
    <t xml:space="preserve">T2 r3 c2 | 2BR/1BA prior-renovated rent/mo</t>
  </si>
  <si>
    <t xml:space="preserve">T2 r3 c2 | 2BR/2BA market rent/mo</t>
  </si>
  <si>
    <t xml:space="preserve">T2 r3 c2 | 2BR/2BA prior-renovated rent/mo</t>
  </si>
  <si>
    <t xml:space="preserve">T2 r3 c2 | scheduled rent (GPR) at shifted growth</t>
  </si>
  <si>
    <t xml:space="preserve">T2 r3 c2 | NOI Y1..Y6, pretax Y6</t>
  </si>
  <si>
    <t xml:space="preserve">T2 r3 c2 | debt scalars</t>
  </si>
  <si>
    <t xml:space="preserve">T2 r3 c2 | debt service Y1..Y5</t>
  </si>
  <si>
    <t xml:space="preserve">T2 r3 c2 | levered CF Y0..Y5, IRR, EM</t>
  </si>
  <si>
    <t xml:space="preserve">T2 r3 c3 | Studio market rent/mo</t>
  </si>
  <si>
    <t xml:space="preserve">T2 r3 c3 | Studio prior-renovated rent/mo</t>
  </si>
  <si>
    <t xml:space="preserve">T2 r3 c3 | 1BR/1BA market rent/mo</t>
  </si>
  <si>
    <t xml:space="preserve">T2 r3 c3 | 1BR/1BA prior-renovated rent/mo</t>
  </si>
  <si>
    <t xml:space="preserve">T2 r3 c3 | 2BR/1BA market rent/mo</t>
  </si>
  <si>
    <t xml:space="preserve">T2 r3 c3 | 2BR/1BA prior-renovated rent/mo</t>
  </si>
  <si>
    <t xml:space="preserve">T2 r3 c3 | 2BR/2BA market rent/mo</t>
  </si>
  <si>
    <t xml:space="preserve">T2 r3 c3 | 2BR/2BA prior-renovated rent/mo</t>
  </si>
  <si>
    <t xml:space="preserve">T2 r3 c3 | scheduled rent (GPR) at shifted growth</t>
  </si>
  <si>
    <t xml:space="preserve">T2 r3 c3 | NOI Y1..Y6, pretax Y6</t>
  </si>
  <si>
    <t xml:space="preserve">T2 r3 c3 | debt scalars</t>
  </si>
  <si>
    <t xml:space="preserve">T2 r3 c3 | debt service Y1..Y5</t>
  </si>
  <si>
    <t xml:space="preserve">T2 r3 c3 | levered CF Y0..Y5, IRR, EM</t>
  </si>
  <si>
    <t xml:space="preserve">T2 r3 c4 | Studio market rent/mo</t>
  </si>
  <si>
    <t xml:space="preserve">T2 r3 c4 | Studio prior-renovated rent/mo</t>
  </si>
  <si>
    <t xml:space="preserve">T2 r3 c4 | 1BR/1BA market rent/mo</t>
  </si>
  <si>
    <t xml:space="preserve">T2 r3 c4 | 1BR/1BA prior-renovated rent/mo</t>
  </si>
  <si>
    <t xml:space="preserve">T2 r3 c4 | 2BR/1BA market rent/mo</t>
  </si>
  <si>
    <t xml:space="preserve">T2 r3 c4 | 2BR/1BA prior-renovated rent/mo</t>
  </si>
  <si>
    <t xml:space="preserve">T2 r3 c4 | 2BR/2BA market rent/mo</t>
  </si>
  <si>
    <t xml:space="preserve">T2 r3 c4 | 2BR/2BA prior-renovated rent/mo</t>
  </si>
  <si>
    <t xml:space="preserve">T2 r3 c4 | scheduled rent (GPR) at shifted growth</t>
  </si>
  <si>
    <t xml:space="preserve">T2 r3 c4 | NOI Y1..Y6, pretax Y6</t>
  </si>
  <si>
    <t xml:space="preserve">T2 r3 c4 | debt scalars</t>
  </si>
  <si>
    <t xml:space="preserve">T2 r3 c4 | debt service Y1..Y5</t>
  </si>
  <si>
    <t xml:space="preserve">T2 r3 c4 | levered CF Y0..Y5, IRR, EM</t>
  </si>
  <si>
    <t xml:space="preserve">T2 r3 c5 | Studio market rent/mo</t>
  </si>
  <si>
    <t xml:space="preserve">T2 r3 c5 | Studio prior-renovated rent/mo</t>
  </si>
  <si>
    <t xml:space="preserve">T2 r3 c5 | 1BR/1BA market rent/mo</t>
  </si>
  <si>
    <t xml:space="preserve">T2 r3 c5 | 1BR/1BA prior-renovated rent/mo</t>
  </si>
  <si>
    <t xml:space="preserve">T2 r3 c5 | 2BR/1BA market rent/mo</t>
  </si>
  <si>
    <t xml:space="preserve">T2 r3 c5 | 2BR/1BA prior-renovated rent/mo</t>
  </si>
  <si>
    <t xml:space="preserve">T2 r3 c5 | 2BR/2BA market rent/mo</t>
  </si>
  <si>
    <t xml:space="preserve">T2 r3 c5 | 2BR/2BA prior-renovated rent/mo</t>
  </si>
  <si>
    <t xml:space="preserve">T2 r3 c5 | scheduled rent (GPR) at shifted growth</t>
  </si>
  <si>
    <t xml:space="preserve">T2 r3 c5 | NOI Y1..Y6, pretax Y6</t>
  </si>
  <si>
    <t xml:space="preserve">T2 r3 c5 | debt scalars</t>
  </si>
  <si>
    <t xml:space="preserve">T2 r3 c5 | debt service Y1..Y5</t>
  </si>
  <si>
    <t xml:space="preserve">T2 r3 c5 | levered CF Y0..Y5, IRR, EM</t>
  </si>
  <si>
    <t xml:space="preserve">T2 r4 c1 | Studio market rent/mo</t>
  </si>
  <si>
    <t xml:space="preserve">T2 r4 c1 | Studio prior-renovated rent/mo</t>
  </si>
  <si>
    <t xml:space="preserve">T2 r4 c1 | 1BR/1BA market rent/mo</t>
  </si>
  <si>
    <t xml:space="preserve">T2 r4 c1 | 1BR/1BA prior-renovated rent/mo</t>
  </si>
  <si>
    <t xml:space="preserve">T2 r4 c1 | 2BR/1BA market rent/mo</t>
  </si>
  <si>
    <t xml:space="preserve">T2 r4 c1 | 2BR/1BA prior-renovated rent/mo</t>
  </si>
  <si>
    <t xml:space="preserve">T2 r4 c1 | 2BR/2BA market rent/mo</t>
  </si>
  <si>
    <t xml:space="preserve">T2 r4 c1 | 2BR/2BA prior-renovated rent/mo</t>
  </si>
  <si>
    <t xml:space="preserve">T2 r4 c1 | scheduled rent (GPR) at shifted growth</t>
  </si>
  <si>
    <t xml:space="preserve">T2 r4 c1 | NOI Y1..Y6, pretax Y6</t>
  </si>
  <si>
    <t xml:space="preserve">T2 r4 c1 | debt scalars</t>
  </si>
  <si>
    <t xml:space="preserve">T2 r4 c1 | debt service Y1..Y5</t>
  </si>
  <si>
    <t xml:space="preserve">T2 r4 c1 | levered CF Y0..Y5, IRR, EM</t>
  </si>
  <si>
    <t xml:space="preserve">T2 r4 c2 | Studio market rent/mo</t>
  </si>
  <si>
    <t xml:space="preserve">T2 r4 c2 | Studio prior-renovated rent/mo</t>
  </si>
  <si>
    <t xml:space="preserve">T2 r4 c2 | 1BR/1BA market rent/mo</t>
  </si>
  <si>
    <t xml:space="preserve">T2 r4 c2 | 1BR/1BA prior-renovated rent/mo</t>
  </si>
  <si>
    <t xml:space="preserve">T2 r4 c2 | 2BR/1BA market rent/mo</t>
  </si>
  <si>
    <t xml:space="preserve">T2 r4 c2 | 2BR/1BA prior-renovated rent/mo</t>
  </si>
  <si>
    <t xml:space="preserve">T2 r4 c2 | 2BR/2BA market rent/mo</t>
  </si>
  <si>
    <t xml:space="preserve">T2 r4 c2 | 2BR/2BA prior-renovated rent/mo</t>
  </si>
  <si>
    <t xml:space="preserve">T2 r4 c2 | scheduled rent (GPR) at shifted growth</t>
  </si>
  <si>
    <t xml:space="preserve">T2 r4 c2 | NOI Y1..Y6, pretax Y6</t>
  </si>
  <si>
    <t xml:space="preserve">T2 r4 c2 | debt scalars</t>
  </si>
  <si>
    <t xml:space="preserve">T2 r4 c2 | debt service Y1..Y5</t>
  </si>
  <si>
    <t xml:space="preserve">T2 r4 c2 | levered CF Y0..Y5, IRR, EM</t>
  </si>
  <si>
    <t xml:space="preserve">T2 r4 c3 | Studio market rent/mo</t>
  </si>
  <si>
    <t xml:space="preserve">T2 r4 c3 | Studio prior-renovated rent/mo</t>
  </si>
  <si>
    <t xml:space="preserve">T2 r4 c3 | 1BR/1BA market rent/mo</t>
  </si>
  <si>
    <t xml:space="preserve">T2 r4 c3 | 1BR/1BA prior-renovated rent/mo</t>
  </si>
  <si>
    <t xml:space="preserve">T2 r4 c3 | 2BR/1BA market rent/mo</t>
  </si>
  <si>
    <t xml:space="preserve">T2 r4 c3 | 2BR/1BA prior-renovated rent/mo</t>
  </si>
  <si>
    <t xml:space="preserve">T2 r4 c3 | 2BR/2BA market rent/mo</t>
  </si>
  <si>
    <t xml:space="preserve">T2 r4 c3 | 2BR/2BA prior-renovated rent/mo</t>
  </si>
  <si>
    <t xml:space="preserve">T2 r4 c3 | scheduled rent (GPR) at shifted growth</t>
  </si>
  <si>
    <t xml:space="preserve">T2 r4 c3 | NOI Y1..Y6, pretax Y6</t>
  </si>
  <si>
    <t xml:space="preserve">T2 r4 c3 | debt scalars</t>
  </si>
  <si>
    <t xml:space="preserve">T2 r4 c3 | debt service Y1..Y5</t>
  </si>
  <si>
    <t xml:space="preserve">T2 r4 c3 | levered CF Y0..Y5, IRR, EM</t>
  </si>
  <si>
    <t xml:space="preserve">T2 r4 c4 | Studio market rent/mo</t>
  </si>
  <si>
    <t xml:space="preserve">T2 r4 c4 | Studio prior-renovated rent/mo</t>
  </si>
  <si>
    <t xml:space="preserve">T2 r4 c4 | 1BR/1BA market rent/mo</t>
  </si>
  <si>
    <t xml:space="preserve">T2 r4 c4 | 1BR/1BA prior-renovated rent/mo</t>
  </si>
  <si>
    <t xml:space="preserve">T2 r4 c4 | 2BR/1BA market rent/mo</t>
  </si>
  <si>
    <t xml:space="preserve">T2 r4 c4 | 2BR/1BA prior-renovated rent/mo</t>
  </si>
  <si>
    <t xml:space="preserve">T2 r4 c4 | 2BR/2BA market rent/mo</t>
  </si>
  <si>
    <t xml:space="preserve">T2 r4 c4 | 2BR/2BA prior-renovated rent/mo</t>
  </si>
  <si>
    <t xml:space="preserve">T2 r4 c4 | scheduled rent (GPR) at shifted growth</t>
  </si>
  <si>
    <t xml:space="preserve">T2 r4 c4 | NOI Y1..Y6, pretax Y6</t>
  </si>
  <si>
    <t xml:space="preserve">T2 r4 c4 | debt scalars</t>
  </si>
  <si>
    <t xml:space="preserve">T2 r4 c4 | debt service Y1..Y5</t>
  </si>
  <si>
    <t xml:space="preserve">T2 r4 c4 | levered CF Y0..Y5, IRR, EM</t>
  </si>
  <si>
    <t xml:space="preserve">T2 r4 c5 | Studio market rent/mo</t>
  </si>
  <si>
    <t xml:space="preserve">T2 r4 c5 | Studio prior-renovated rent/mo</t>
  </si>
  <si>
    <t xml:space="preserve">T2 r4 c5 | 1BR/1BA market rent/mo</t>
  </si>
  <si>
    <t xml:space="preserve">T2 r4 c5 | 1BR/1BA prior-renovated rent/mo</t>
  </si>
  <si>
    <t xml:space="preserve">T2 r4 c5 | 2BR/1BA market rent/mo</t>
  </si>
  <si>
    <t xml:space="preserve">T2 r4 c5 | 2BR/1BA prior-renovated rent/mo</t>
  </si>
  <si>
    <t xml:space="preserve">T2 r4 c5 | 2BR/2BA market rent/mo</t>
  </si>
  <si>
    <t xml:space="preserve">T2 r4 c5 | 2BR/2BA prior-renovated rent/mo</t>
  </si>
  <si>
    <t xml:space="preserve">T2 r4 c5 | scheduled rent (GPR) at shifted growth</t>
  </si>
  <si>
    <t xml:space="preserve">T2 r4 c5 | NOI Y1..Y6, pretax Y6</t>
  </si>
  <si>
    <t xml:space="preserve">T2 r4 c5 | debt scalars</t>
  </si>
  <si>
    <t xml:space="preserve">T2 r4 c5 | debt service Y1..Y5</t>
  </si>
  <si>
    <t xml:space="preserve">T2 r4 c5 | levered CF Y0..Y5, IRR, EM</t>
  </si>
  <si>
    <t xml:space="preserve">T2 r5 c1 | Studio market rent/mo</t>
  </si>
  <si>
    <t xml:space="preserve">T2 r5 c1 | Studio prior-renovated rent/mo</t>
  </si>
  <si>
    <t xml:space="preserve">T2 r5 c1 | 1BR/1BA market rent/mo</t>
  </si>
  <si>
    <t xml:space="preserve">T2 r5 c1 | 1BR/1BA prior-renovated rent/mo</t>
  </si>
  <si>
    <t xml:space="preserve">T2 r5 c1 | 2BR/1BA market rent/mo</t>
  </si>
  <si>
    <t xml:space="preserve">T2 r5 c1 | 2BR/1BA prior-renovated rent/mo</t>
  </si>
  <si>
    <t xml:space="preserve">T2 r5 c1 | 2BR/2BA market rent/mo</t>
  </si>
  <si>
    <t xml:space="preserve">T2 r5 c1 | 2BR/2BA prior-renovated rent/mo</t>
  </si>
  <si>
    <t xml:space="preserve">T2 r5 c1 | scheduled rent (GPR) at shifted growth</t>
  </si>
  <si>
    <t xml:space="preserve">T2 r5 c1 | NOI Y1..Y6, pretax Y6</t>
  </si>
  <si>
    <t xml:space="preserve">T2 r5 c1 | debt scalars</t>
  </si>
  <si>
    <t xml:space="preserve">T2 r5 c1 | debt service Y1..Y5</t>
  </si>
  <si>
    <t xml:space="preserve">T2 r5 c1 | levered CF Y0..Y5, IRR, EM</t>
  </si>
  <si>
    <t xml:space="preserve">T2 r5 c2 | Studio market rent/mo</t>
  </si>
  <si>
    <t xml:space="preserve">T2 r5 c2 | Studio prior-renovated rent/mo</t>
  </si>
  <si>
    <t xml:space="preserve">T2 r5 c2 | 1BR/1BA market rent/mo</t>
  </si>
  <si>
    <t xml:space="preserve">T2 r5 c2 | 1BR/1BA prior-renovated rent/mo</t>
  </si>
  <si>
    <t xml:space="preserve">T2 r5 c2 | 2BR/1BA market rent/mo</t>
  </si>
  <si>
    <t xml:space="preserve">T2 r5 c2 | 2BR/1BA prior-renovated rent/mo</t>
  </si>
  <si>
    <t xml:space="preserve">T2 r5 c2 | 2BR/2BA market rent/mo</t>
  </si>
  <si>
    <t xml:space="preserve">T2 r5 c2 | 2BR/2BA prior-renovated rent/mo</t>
  </si>
  <si>
    <t xml:space="preserve">T2 r5 c2 | scheduled rent (GPR) at shifted growth</t>
  </si>
  <si>
    <t xml:space="preserve">T2 r5 c2 | NOI Y1..Y6, pretax Y6</t>
  </si>
  <si>
    <t xml:space="preserve">T2 r5 c2 | debt scalars</t>
  </si>
  <si>
    <t xml:space="preserve">T2 r5 c2 | debt service Y1..Y5</t>
  </si>
  <si>
    <t xml:space="preserve">T2 r5 c2 | levered CF Y0..Y5, IRR, EM</t>
  </si>
  <si>
    <t xml:space="preserve">T2 r5 c3 | Studio market rent/mo</t>
  </si>
  <si>
    <t xml:space="preserve">T2 r5 c3 | Studio prior-renovated rent/mo</t>
  </si>
  <si>
    <t xml:space="preserve">T2 r5 c3 | 1BR/1BA market rent/mo</t>
  </si>
  <si>
    <t xml:space="preserve">T2 r5 c3 | 1BR/1BA prior-renovated rent/mo</t>
  </si>
  <si>
    <t xml:space="preserve">T2 r5 c3 | 2BR/1BA market rent/mo</t>
  </si>
  <si>
    <t xml:space="preserve">T2 r5 c3 | 2BR/1BA prior-renovated rent/mo</t>
  </si>
  <si>
    <t xml:space="preserve">T2 r5 c3 | 2BR/2BA market rent/mo</t>
  </si>
  <si>
    <t xml:space="preserve">T2 r5 c3 | 2BR/2BA prior-renovated rent/mo</t>
  </si>
  <si>
    <t xml:space="preserve">T2 r5 c3 | scheduled rent (GPR) at shifted growth</t>
  </si>
  <si>
    <t xml:space="preserve">T2 r5 c3 | NOI Y1..Y6, pretax Y6</t>
  </si>
  <si>
    <t xml:space="preserve">T2 r5 c3 | debt scalars</t>
  </si>
  <si>
    <t xml:space="preserve">T2 r5 c3 | debt service Y1..Y5</t>
  </si>
  <si>
    <t xml:space="preserve">T2 r5 c3 | levered CF Y0..Y5, IRR, EM</t>
  </si>
  <si>
    <t xml:space="preserve">T2 r5 c4 | Studio market rent/mo</t>
  </si>
  <si>
    <t xml:space="preserve">T2 r5 c4 | Studio prior-renovated rent/mo</t>
  </si>
  <si>
    <t xml:space="preserve">T2 r5 c4 | 1BR/1BA market rent/mo</t>
  </si>
  <si>
    <t xml:space="preserve">T2 r5 c4 | 1BR/1BA prior-renovated rent/mo</t>
  </si>
  <si>
    <t xml:space="preserve">T2 r5 c4 | 2BR/1BA market rent/mo</t>
  </si>
  <si>
    <t xml:space="preserve">T2 r5 c4 | 2BR/1BA prior-renovated rent/mo</t>
  </si>
  <si>
    <t xml:space="preserve">T2 r5 c4 | 2BR/2BA market rent/mo</t>
  </si>
  <si>
    <t xml:space="preserve">T2 r5 c4 | 2BR/2BA prior-renovated rent/mo</t>
  </si>
  <si>
    <t xml:space="preserve">T2 r5 c4 | scheduled rent (GPR) at shifted growth</t>
  </si>
  <si>
    <t xml:space="preserve">T2 r5 c4 | NOI Y1..Y6, pretax Y6</t>
  </si>
  <si>
    <t xml:space="preserve">T2 r5 c4 | debt scalars</t>
  </si>
  <si>
    <t xml:space="preserve">T2 r5 c4 | debt service Y1..Y5</t>
  </si>
  <si>
    <t xml:space="preserve">T2 r5 c4 | levered CF Y0..Y5, IRR, EM</t>
  </si>
  <si>
    <t xml:space="preserve">T2 r5 c5 | Studio market rent/mo</t>
  </si>
  <si>
    <t xml:space="preserve">T2 r5 c5 | Studio prior-renovated rent/mo</t>
  </si>
  <si>
    <t xml:space="preserve">T2 r5 c5 | 1BR/1BA market rent/mo</t>
  </si>
  <si>
    <t xml:space="preserve">T2 r5 c5 | 1BR/1BA prior-renovated rent/mo</t>
  </si>
  <si>
    <t xml:space="preserve">T2 r5 c5 | 2BR/1BA market rent/mo</t>
  </si>
  <si>
    <t xml:space="preserve">T2 r5 c5 | 2BR/1BA prior-renovated rent/mo</t>
  </si>
  <si>
    <t xml:space="preserve">T2 r5 c5 | 2BR/2BA market rent/mo</t>
  </si>
  <si>
    <t xml:space="preserve">T2 r5 c5 | 2BR/2BA prior-renovated rent/mo</t>
  </si>
  <si>
    <t xml:space="preserve">T2 r5 c5 | scheduled rent (GPR) at shifted growth</t>
  </si>
  <si>
    <t xml:space="preserve">T2 r5 c5 | NOI Y1..Y6, pretax Y6</t>
  </si>
  <si>
    <t xml:space="preserve">T2 r5 c5 | debt scalars</t>
  </si>
  <si>
    <t xml:space="preserve">T2 r5 c5 | debt service Y1..Y5</t>
  </si>
  <si>
    <t xml:space="preserve">T2 r5 c5 | levered CF Y0..Y5, IRR, EM</t>
  </si>
  <si>
    <t xml:space="preserve">T3 r1 c1 | NOI Y1..Y6, pretax Y6</t>
  </si>
  <si>
    <t xml:space="preserve">T3 r1 c1 | debt scalars</t>
  </si>
  <si>
    <t xml:space="preserve">T3 r1 c1 | debt service Y1..Y5</t>
  </si>
  <si>
    <t xml:space="preserve">T3 r1 c1 | levered CF Y0..Y5, IRR, EM</t>
  </si>
  <si>
    <t xml:space="preserve">T3 r1 c2 | NOI Y1..Y6, pretax Y6</t>
  </si>
  <si>
    <t xml:space="preserve">T3 r1 c2 | debt scalars</t>
  </si>
  <si>
    <t xml:space="preserve">T3 r1 c2 | debt service Y1..Y5</t>
  </si>
  <si>
    <t xml:space="preserve">T3 r1 c2 | levered CF Y0..Y5, IRR, EM</t>
  </si>
  <si>
    <t xml:space="preserve">T3 r1 c3 | NOI Y1..Y6, pretax Y6</t>
  </si>
  <si>
    <t xml:space="preserve">T3 r1 c3 | debt scalars</t>
  </si>
  <si>
    <t xml:space="preserve">T3 r1 c3 | debt service Y1..Y5</t>
  </si>
  <si>
    <t xml:space="preserve">T3 r1 c3 | levered CF Y0..Y5, IRR, EM</t>
  </si>
  <si>
    <t xml:space="preserve">T3 r1 c4 | NOI Y1..Y6, pretax Y6</t>
  </si>
  <si>
    <t xml:space="preserve">T3 r1 c4 | debt scalars</t>
  </si>
  <si>
    <t xml:space="preserve">T3 r1 c4 | debt service Y1..Y5</t>
  </si>
  <si>
    <t xml:space="preserve">T3 r1 c4 | levered CF Y0..Y5, IRR, EM</t>
  </si>
  <si>
    <t xml:space="preserve">T3 r1 c5 | NOI Y1..Y6, pretax Y6</t>
  </si>
  <si>
    <t xml:space="preserve">T3 r1 c5 | debt scalars</t>
  </si>
  <si>
    <t xml:space="preserve">T3 r1 c5 | debt service Y1..Y5</t>
  </si>
  <si>
    <t xml:space="preserve">T3 r1 c5 | levered CF Y0..Y5, IRR, EM</t>
  </si>
  <si>
    <t xml:space="preserve">T3 r2 c1 | NOI Y1..Y6, pretax Y6</t>
  </si>
  <si>
    <t xml:space="preserve">T3 r2 c1 | debt scalars</t>
  </si>
  <si>
    <t xml:space="preserve">T3 r2 c1 | debt service Y1..Y5</t>
  </si>
  <si>
    <t xml:space="preserve">T3 r2 c1 | levered CF Y0..Y5, IRR, EM</t>
  </si>
  <si>
    <t xml:space="preserve">T3 r2 c2 | NOI Y1..Y6, pretax Y6</t>
  </si>
  <si>
    <t xml:space="preserve">T3 r2 c2 | debt scalars</t>
  </si>
  <si>
    <t xml:space="preserve">T3 r2 c2 | debt service Y1..Y5</t>
  </si>
  <si>
    <t xml:space="preserve">T3 r2 c2 | levered CF Y0..Y5, IRR, EM</t>
  </si>
  <si>
    <t xml:space="preserve">T3 r2 c3 | NOI Y1..Y6, pretax Y6</t>
  </si>
  <si>
    <t xml:space="preserve">T3 r2 c3 | debt scalars</t>
  </si>
  <si>
    <t xml:space="preserve">T3 r2 c3 | debt service Y1..Y5</t>
  </si>
  <si>
    <t xml:space="preserve">T3 r2 c3 | levered CF Y0..Y5, IRR, EM</t>
  </si>
  <si>
    <t xml:space="preserve">T3 r2 c4 | NOI Y1..Y6, pretax Y6</t>
  </si>
  <si>
    <t xml:space="preserve">T3 r2 c4 | debt scalars</t>
  </si>
  <si>
    <t xml:space="preserve">T3 r2 c4 | debt service Y1..Y5</t>
  </si>
  <si>
    <t xml:space="preserve">T3 r2 c4 | levered CF Y0..Y5, IRR, EM</t>
  </si>
  <si>
    <t xml:space="preserve">T3 r2 c5 | NOI Y1..Y6, pretax Y6</t>
  </si>
  <si>
    <t xml:space="preserve">T3 r2 c5 | debt scalars</t>
  </si>
  <si>
    <t xml:space="preserve">T3 r2 c5 | debt service Y1..Y5</t>
  </si>
  <si>
    <t xml:space="preserve">T3 r2 c5 | levered CF Y0..Y5, IRR, EM</t>
  </si>
  <si>
    <t xml:space="preserve">T3 r3 c1 | NOI Y1..Y6, pretax Y6</t>
  </si>
  <si>
    <t xml:space="preserve">T3 r3 c1 | debt scalars</t>
  </si>
  <si>
    <t xml:space="preserve">T3 r3 c1 | debt service Y1..Y5</t>
  </si>
  <si>
    <t xml:space="preserve">T3 r3 c1 | levered CF Y0..Y5, IRR, EM</t>
  </si>
  <si>
    <t xml:space="preserve">T3 r3 c2 | NOI Y1..Y6, pretax Y6</t>
  </si>
  <si>
    <t xml:space="preserve">T3 r3 c2 | debt scalars</t>
  </si>
  <si>
    <t xml:space="preserve">T3 r3 c2 | debt service Y1..Y5</t>
  </si>
  <si>
    <t xml:space="preserve">T3 r3 c2 | levered CF Y0..Y5, IRR, EM</t>
  </si>
  <si>
    <t xml:space="preserve">T3 r3 c3 | NOI Y1..Y6, pretax Y6</t>
  </si>
  <si>
    <t xml:space="preserve">T3 r3 c3 | debt scalars</t>
  </si>
  <si>
    <t xml:space="preserve">T3 r3 c3 | debt service Y1..Y5</t>
  </si>
  <si>
    <t xml:space="preserve">T3 r3 c3 | levered CF Y0..Y5, IRR, EM</t>
  </si>
  <si>
    <t xml:space="preserve">T3 r3 c4 | NOI Y1..Y6, pretax Y6</t>
  </si>
  <si>
    <t xml:space="preserve">T3 r3 c4 | debt scalars</t>
  </si>
  <si>
    <t xml:space="preserve">T3 r3 c4 | debt service Y1..Y5</t>
  </si>
  <si>
    <t xml:space="preserve">T3 r3 c4 | levered CF Y0..Y5, IRR, EM</t>
  </si>
  <si>
    <t xml:space="preserve">T3 r3 c5 | NOI Y1..Y6, pretax Y6</t>
  </si>
  <si>
    <t xml:space="preserve">T3 r3 c5 | debt scalars</t>
  </si>
  <si>
    <t xml:space="preserve">T3 r3 c5 | debt service Y1..Y5</t>
  </si>
  <si>
    <t xml:space="preserve">T3 r3 c5 | levered CF Y0..Y5, IRR, EM</t>
  </si>
  <si>
    <t xml:space="preserve">T3 r4 c1 | NOI Y1..Y6, pretax Y6</t>
  </si>
  <si>
    <t xml:space="preserve">T3 r4 c1 | debt scalars</t>
  </si>
  <si>
    <t xml:space="preserve">T3 r4 c1 | debt service Y1..Y5</t>
  </si>
  <si>
    <t xml:space="preserve">T3 r4 c1 | levered CF Y0..Y5, IRR, EM</t>
  </si>
  <si>
    <t xml:space="preserve">T3 r4 c2 | NOI Y1..Y6, pretax Y6</t>
  </si>
  <si>
    <t xml:space="preserve">T3 r4 c2 | debt scalars</t>
  </si>
  <si>
    <t xml:space="preserve">T3 r4 c2 | debt service Y1..Y5</t>
  </si>
  <si>
    <t xml:space="preserve">T3 r4 c2 | levered CF Y0..Y5, IRR, EM</t>
  </si>
  <si>
    <t xml:space="preserve">T3 r4 c3 | NOI Y1..Y6, pretax Y6</t>
  </si>
  <si>
    <t xml:space="preserve">T3 r4 c3 | debt scalars</t>
  </si>
  <si>
    <t xml:space="preserve">T3 r4 c3 | debt service Y1..Y5</t>
  </si>
  <si>
    <t xml:space="preserve">T3 r4 c3 | levered CF Y0..Y5, IRR, EM</t>
  </si>
  <si>
    <t xml:space="preserve">T3 r4 c4 | NOI Y1..Y6, pretax Y6</t>
  </si>
  <si>
    <t xml:space="preserve">T3 r4 c4 | debt scalars</t>
  </si>
  <si>
    <t xml:space="preserve">T3 r4 c4 | debt service Y1..Y5</t>
  </si>
  <si>
    <t xml:space="preserve">T3 r4 c4 | levered CF Y0..Y5, IRR, EM</t>
  </si>
  <si>
    <t xml:space="preserve">T3 r4 c5 | NOI Y1..Y6, pretax Y6</t>
  </si>
  <si>
    <t xml:space="preserve">T3 r4 c5 | debt scalars</t>
  </si>
  <si>
    <t xml:space="preserve">T3 r4 c5 | debt service Y1..Y5</t>
  </si>
  <si>
    <t xml:space="preserve">T3 r4 c5 | levered CF Y0..Y5, IRR, EM</t>
  </si>
  <si>
    <t xml:space="preserve">T3 r5 c1 | NOI Y1..Y6, pretax Y6</t>
  </si>
  <si>
    <t xml:space="preserve">T3 r5 c1 | debt scalars</t>
  </si>
  <si>
    <t xml:space="preserve">T3 r5 c1 | debt service Y1..Y5</t>
  </si>
  <si>
    <t xml:space="preserve">T3 r5 c1 | levered CF Y0..Y5, IRR, EM</t>
  </si>
  <si>
    <t xml:space="preserve">T3 r5 c2 | NOI Y1..Y6, pretax Y6</t>
  </si>
  <si>
    <t xml:space="preserve">T3 r5 c2 | debt scalars</t>
  </si>
  <si>
    <t xml:space="preserve">T3 r5 c2 | debt service Y1..Y5</t>
  </si>
  <si>
    <t xml:space="preserve">T3 r5 c2 | levered CF Y0..Y5, IRR, EM</t>
  </si>
  <si>
    <t xml:space="preserve">T3 r5 c3 | NOI Y1..Y6, pretax Y6</t>
  </si>
  <si>
    <t xml:space="preserve">T3 r5 c3 | debt scalars</t>
  </si>
  <si>
    <t xml:space="preserve">T3 r5 c3 | debt service Y1..Y5</t>
  </si>
  <si>
    <t xml:space="preserve">T3 r5 c3 | levered CF Y0..Y5, IRR, EM</t>
  </si>
  <si>
    <t xml:space="preserve">T3 r5 c4 | NOI Y1..Y6, pretax Y6</t>
  </si>
  <si>
    <t xml:space="preserve">T3 r5 c4 | debt scalars</t>
  </si>
  <si>
    <t xml:space="preserve">T3 r5 c4 | debt service Y1..Y5</t>
  </si>
  <si>
    <t xml:space="preserve">T3 r5 c4 | levered CF Y0..Y5, IRR, EM</t>
  </si>
  <si>
    <t xml:space="preserve">T3 r5 c5 | NOI Y1..Y6, pretax Y6</t>
  </si>
  <si>
    <t xml:space="preserve">T3 r5 c5 | debt scalars</t>
  </si>
  <si>
    <t xml:space="preserve">T3 r5 c5 | debt service Y1..Y5</t>
  </si>
  <si>
    <t xml:space="preserve">T3 r5 c5 | levered CF Y0..Y5, IRR, EM</t>
  </si>
  <si>
    <t xml:space="preserve">T4 r1 c1 | NOI Y1..Y6, pretax Y6</t>
  </si>
  <si>
    <t xml:space="preserve">T4 r1 c1 | debt scalars</t>
  </si>
  <si>
    <t xml:space="preserve">T4 r1 c1 | debt service Y1..Y5</t>
  </si>
  <si>
    <t xml:space="preserve">T4 r1 c1 | levered CF Y0..Y5, IRR, EM</t>
  </si>
  <si>
    <t xml:space="preserve">T4 r1 c2 | NOI Y1..Y6, pretax Y6</t>
  </si>
  <si>
    <t xml:space="preserve">T4 r1 c2 | debt scalars</t>
  </si>
  <si>
    <t xml:space="preserve">T4 r1 c2 | debt service Y1..Y5</t>
  </si>
  <si>
    <t xml:space="preserve">T4 r1 c2 | levered CF Y0..Y5, IRR, EM</t>
  </si>
  <si>
    <t xml:space="preserve">T4 r1 c3 | NOI Y1..Y6, pretax Y6</t>
  </si>
  <si>
    <t xml:space="preserve">T4 r1 c3 | debt scalars</t>
  </si>
  <si>
    <t xml:space="preserve">T4 r1 c3 | debt service Y1..Y5</t>
  </si>
  <si>
    <t xml:space="preserve">T4 r1 c3 | levered CF Y0..Y5, IRR, EM</t>
  </si>
  <si>
    <t xml:space="preserve">T4 r1 c4 | NOI Y1..Y6, pretax Y6</t>
  </si>
  <si>
    <t xml:space="preserve">T4 r1 c4 | debt scalars</t>
  </si>
  <si>
    <t xml:space="preserve">T4 r1 c4 | debt service Y1..Y5</t>
  </si>
  <si>
    <t xml:space="preserve">T4 r1 c4 | levered CF Y0..Y5, IRR, EM</t>
  </si>
  <si>
    <t xml:space="preserve">T4 r1 c5 | NOI Y1..Y6, pretax Y6</t>
  </si>
  <si>
    <t xml:space="preserve">T4 r1 c5 | debt scalars</t>
  </si>
  <si>
    <t xml:space="preserve">T4 r1 c5 | debt service Y1..Y5</t>
  </si>
  <si>
    <t xml:space="preserve">T4 r1 c5 | levered CF Y0..Y5, IRR, EM</t>
  </si>
  <si>
    <t xml:space="preserve">T4 r2 c1 | NOI Y1..Y6, pretax Y6</t>
  </si>
  <si>
    <t xml:space="preserve">T4 r2 c1 | debt scalars</t>
  </si>
  <si>
    <t xml:space="preserve">T4 r2 c1 | debt service Y1..Y5</t>
  </si>
  <si>
    <t xml:space="preserve">T4 r2 c1 | levered CF Y0..Y5, IRR, EM</t>
  </si>
  <si>
    <t xml:space="preserve">T4 r2 c2 | NOI Y1..Y6, pretax Y6</t>
  </si>
  <si>
    <t xml:space="preserve">T4 r2 c2 | debt scalars</t>
  </si>
  <si>
    <t xml:space="preserve">T4 r2 c2 | debt service Y1..Y5</t>
  </si>
  <si>
    <t xml:space="preserve">T4 r2 c2 | levered CF Y0..Y5, IRR, EM</t>
  </si>
  <si>
    <t xml:space="preserve">T4 r2 c3 | NOI Y1..Y6, pretax Y6</t>
  </si>
  <si>
    <t xml:space="preserve">T4 r2 c3 | debt scalars</t>
  </si>
  <si>
    <t xml:space="preserve">T4 r2 c3 | debt service Y1..Y5</t>
  </si>
  <si>
    <t xml:space="preserve">T4 r2 c3 | levered CF Y0..Y5, IRR, EM</t>
  </si>
  <si>
    <t xml:space="preserve">T4 r2 c4 | NOI Y1..Y6, pretax Y6</t>
  </si>
  <si>
    <t xml:space="preserve">T4 r2 c4 | debt scalars</t>
  </si>
  <si>
    <t xml:space="preserve">T4 r2 c4 | debt service Y1..Y5</t>
  </si>
  <si>
    <t xml:space="preserve">T4 r2 c4 | levered CF Y0..Y5, IRR, EM</t>
  </si>
  <si>
    <t xml:space="preserve">T4 r2 c5 | NOI Y1..Y6, pretax Y6</t>
  </si>
  <si>
    <t xml:space="preserve">T4 r2 c5 | debt scalars</t>
  </si>
  <si>
    <t xml:space="preserve">T4 r2 c5 | debt service Y1..Y5</t>
  </si>
  <si>
    <t xml:space="preserve">T4 r2 c5 | levered CF Y0..Y5, IRR, EM</t>
  </si>
  <si>
    <t xml:space="preserve">T4 r3 c1 | NOI Y1..Y6, pretax Y6</t>
  </si>
  <si>
    <t xml:space="preserve">T4 r3 c1 | debt scalars</t>
  </si>
  <si>
    <t xml:space="preserve">T4 r3 c1 | debt service Y1..Y5</t>
  </si>
  <si>
    <t xml:space="preserve">T4 r3 c1 | levered CF Y0..Y5, IRR, EM</t>
  </si>
  <si>
    <t xml:space="preserve">T4 r3 c2 | NOI Y1..Y6, pretax Y6</t>
  </si>
  <si>
    <t xml:space="preserve">T4 r3 c2 | debt scalars</t>
  </si>
  <si>
    <t xml:space="preserve">T4 r3 c2 | debt service Y1..Y5</t>
  </si>
  <si>
    <t xml:space="preserve">T4 r3 c2 | levered CF Y0..Y5, IRR, EM</t>
  </si>
  <si>
    <t xml:space="preserve">T4 r3 c3 | NOI Y1..Y6, pretax Y6</t>
  </si>
  <si>
    <t xml:space="preserve">T4 r3 c3 | debt scalars</t>
  </si>
  <si>
    <t xml:space="preserve">T4 r3 c3 | debt service Y1..Y5</t>
  </si>
  <si>
    <t xml:space="preserve">T4 r3 c3 | levered CF Y0..Y5, IRR, EM</t>
  </si>
  <si>
    <t xml:space="preserve">T4 r3 c4 | NOI Y1..Y6, pretax Y6</t>
  </si>
  <si>
    <t xml:space="preserve">T4 r3 c4 | debt scalars</t>
  </si>
  <si>
    <t xml:space="preserve">T4 r3 c4 | debt service Y1..Y5</t>
  </si>
  <si>
    <t xml:space="preserve">T4 r3 c4 | levered CF Y0..Y5, IRR, EM</t>
  </si>
  <si>
    <t xml:space="preserve">T4 r3 c5 | NOI Y1..Y6, pretax Y6</t>
  </si>
  <si>
    <t xml:space="preserve">T4 r3 c5 | debt scalars</t>
  </si>
  <si>
    <t xml:space="preserve">T4 r3 c5 | debt service Y1..Y5</t>
  </si>
  <si>
    <t xml:space="preserve">T4 r3 c5 | levered CF Y0..Y5, IRR, EM</t>
  </si>
  <si>
    <t xml:space="preserve">T4 r4 c1 | NOI Y1..Y6, pretax Y6</t>
  </si>
  <si>
    <t xml:space="preserve">T4 r4 c1 | debt scalars</t>
  </si>
  <si>
    <t xml:space="preserve">T4 r4 c1 | debt service Y1..Y5</t>
  </si>
  <si>
    <t xml:space="preserve">T4 r4 c1 | levered CF Y0..Y5, IRR, EM</t>
  </si>
  <si>
    <t xml:space="preserve">T4 r4 c2 | NOI Y1..Y6, pretax Y6</t>
  </si>
  <si>
    <t xml:space="preserve">T4 r4 c2 | debt scalars</t>
  </si>
  <si>
    <t xml:space="preserve">T4 r4 c2 | debt service Y1..Y5</t>
  </si>
  <si>
    <t xml:space="preserve">T4 r4 c2 | levered CF Y0..Y5, IRR, EM</t>
  </si>
  <si>
    <t xml:space="preserve">T4 r4 c3 | NOI Y1..Y6, pretax Y6</t>
  </si>
  <si>
    <t xml:space="preserve">T4 r4 c3 | debt scalars</t>
  </si>
  <si>
    <t xml:space="preserve">T4 r4 c3 | debt service Y1..Y5</t>
  </si>
  <si>
    <t xml:space="preserve">T4 r4 c3 | levered CF Y0..Y5, IRR, EM</t>
  </si>
  <si>
    <t xml:space="preserve">T4 r4 c4 | NOI Y1..Y6, pretax Y6</t>
  </si>
  <si>
    <t xml:space="preserve">T4 r4 c4 | debt scalars</t>
  </si>
  <si>
    <t xml:space="preserve">T4 r4 c4 | debt service Y1..Y5</t>
  </si>
  <si>
    <t xml:space="preserve">T4 r4 c4 | levered CF Y0..Y5, IRR, EM</t>
  </si>
  <si>
    <t xml:space="preserve">T4 r4 c5 | NOI Y1..Y6, pretax Y6</t>
  </si>
  <si>
    <t xml:space="preserve">T4 r4 c5 | debt scalars</t>
  </si>
  <si>
    <t xml:space="preserve">T4 r4 c5 | debt service Y1..Y5</t>
  </si>
  <si>
    <t xml:space="preserve">T4 r4 c5 | levered CF Y0..Y5, IRR, EM</t>
  </si>
  <si>
    <t xml:space="preserve">T4 r5 c1 | NOI Y1..Y6, pretax Y6</t>
  </si>
  <si>
    <t xml:space="preserve">T4 r5 c1 | debt scalars</t>
  </si>
  <si>
    <t xml:space="preserve">T4 r5 c1 | debt service Y1..Y5</t>
  </si>
  <si>
    <t xml:space="preserve">T4 r5 c1 | levered CF Y0..Y5, IRR, EM</t>
  </si>
  <si>
    <t xml:space="preserve">T4 r5 c2 | NOI Y1..Y6, pretax Y6</t>
  </si>
  <si>
    <t xml:space="preserve">T4 r5 c2 | debt scalars</t>
  </si>
  <si>
    <t xml:space="preserve">T4 r5 c2 | debt service Y1..Y5</t>
  </si>
  <si>
    <t xml:space="preserve">T4 r5 c2 | levered CF Y0..Y5, IRR, EM</t>
  </si>
  <si>
    <t xml:space="preserve">T4 r5 c3 | NOI Y1..Y6, pretax Y6</t>
  </si>
  <si>
    <t xml:space="preserve">T4 r5 c3 | debt scalars</t>
  </si>
  <si>
    <t xml:space="preserve">T4 r5 c3 | debt service Y1..Y5</t>
  </si>
  <si>
    <t xml:space="preserve">T4 r5 c3 | levered CF Y0..Y5, IRR, EM</t>
  </si>
  <si>
    <t xml:space="preserve">T4 r5 c4 | NOI Y1..Y6, pretax Y6</t>
  </si>
  <si>
    <t xml:space="preserve">T4 r5 c4 | debt scalars</t>
  </si>
  <si>
    <t xml:space="preserve">T4 r5 c4 | debt service Y1..Y5</t>
  </si>
  <si>
    <t xml:space="preserve">T4 r5 c4 | levered CF Y0..Y5, IRR, EM</t>
  </si>
  <si>
    <t xml:space="preserve">T4 r5 c5 | NOI Y1..Y6, pretax Y6</t>
  </si>
  <si>
    <t xml:space="preserve">T4 r5 c5 | debt scalars</t>
  </si>
  <si>
    <t xml:space="preserve">T4 r5 c5 | debt service Y1..Y5</t>
  </si>
  <si>
    <t xml:space="preserve">T4 r5 c5 | levered CF Y0..Y5, IRR, EM</t>
  </si>
  <si>
    <t xml:space="preserve">CHECKS</t>
  </si>
  <si>
    <t xml:space="preserve">1. SOURCES = USES</t>
  </si>
  <si>
    <t xml:space="preserve">Sources - Uses (Capital tab)</t>
  </si>
  <si>
    <t xml:space="preserve">2. SCENARIO B: LEVERED CF REBUILT FROM OPERATING + DEBT TABS (each year)</t>
  </si>
  <si>
    <t xml:space="preserve">Year 1: (Operating UCF - Debt Svc) - Returns Levered-from-Ops</t>
  </si>
  <si>
    <t xml:space="preserve">Year 2: (Operating UCF - Debt Svc) - Returns Levered-from-Ops</t>
  </si>
  <si>
    <t xml:space="preserve">Year 3: (Operating UCF - Debt Svc) - Returns Levered-from-Ops</t>
  </si>
  <si>
    <t xml:space="preserve">Year 4: (Operating UCF - Debt Svc) - Returns Levered-from-Ops</t>
  </si>
  <si>
    <t xml:space="preserve">Year 5: (Operating UCF - Debt Svc) - Returns Levered-from-Ops</t>
  </si>
  <si>
    <t xml:space="preserve">3. NOI RECOMPUTATION (EGI + Opex - NOI, each year)</t>
  </si>
  <si>
    <t xml:space="preserve">Year 1: EGI+OpexTotal-NOI</t>
  </si>
  <si>
    <t xml:space="preserve">Year 2: EGI+OpexTotal-NOI</t>
  </si>
  <si>
    <t xml:space="preserve">Year 3: EGI+OpexTotal-NOI</t>
  </si>
  <si>
    <t xml:space="preserve">Year 4: EGI+OpexTotal-NOI</t>
  </si>
  <si>
    <t xml:space="preserve">Year 5: EGI+OpexTotal-NOI</t>
  </si>
  <si>
    <t xml:space="preserve">4. SCENARIO A (BASE CASE) WATERFALL DISTRIBUTIONS = AVAILABLE CASH (each year)</t>
  </si>
  <si>
    <t xml:space="preserve">Year 1: LP+GP-Available</t>
  </si>
  <si>
    <t xml:space="preserve">Year 2: LP+GP-Available</t>
  </si>
  <si>
    <t xml:space="preserve">Year 3: LP+GP-Available</t>
  </si>
  <si>
    <t xml:space="preserve">Year 4: LP+GP-Available</t>
  </si>
  <si>
    <t xml:space="preserve">Year 5: LP+GP-Available</t>
  </si>
  <si>
    <t xml:space="preserve">5. SCENARIO A (BASE CASE) WATERFALL HURDLE BALANCES NEVER GO NEGATIVE</t>
  </si>
  <si>
    <t xml:space="preserve">MIN Tier-1 hurdle balance (should be &gt;= 0)</t>
  </si>
  <si>
    <t xml:space="preserve">MIN Tier-2 hurdle balance (should be &gt;= 0)</t>
  </si>
  <si>
    <t xml:space="preserve">6. LP EQUITY + GP EQUITY = TOTAL EQUITY</t>
  </si>
  <si>
    <t xml:space="preserve">Scenario B (Capital tab): LP+GP Equity - Total Equity</t>
  </si>
  <si>
    <t xml:space="preserve">Scenario A (base case, Returns (Assumed) tab): LP+GP Equity - Total Equity</t>
  </si>
  <si>
    <t xml:space="preserve">7. SCENARIO B DEBT SCHEDULE INTERNAL CONSISTENCY</t>
  </si>
  <si>
    <t xml:space="preserve">Loan - Cumulative Principal Paid - Year5 End Balance</t>
  </si>
  <si>
    <t xml:space="preserve">8. NOI BRIDGE TIES OUT (Day-0 + burn-off + capture = Year-1 Forward)</t>
  </si>
  <si>
    <t xml:space="preserve">Bridge sum - Operating Model Year-1 NOI</t>
  </si>
  <si>
    <t xml:space="preserve">9. SCENARIO A REFINANCE SCHEDULES ROLL FORWARD (loan - principal paid - Year-5 balance), each option</t>
  </si>
  <si>
    <t xml:space="preserve">Floating + cap: refi loan - principal - Year-5 balance</t>
  </si>
  <si>
    <t xml:space="preserve">5-yr fixed: refi loan - principal - Year-5 balance</t>
  </si>
  <si>
    <t xml:space="preserve">10-yr fixed: refi loan - principal - Year-5 balance</t>
  </si>
  <si>
    <t xml:space="preserve">Selected base-case cash flow = the chosen plan's cash flow (Year 5)</t>
  </si>
  <si>
    <t xml:space="preserve">10. SENSITIVITY GRIDS: BASE CELL = MODEL IRR (catches any drift between the grid blocks and the model tabs)</t>
  </si>
  <si>
    <t xml:space="preserve">Table 1 base cell - Scenario A levered IRR</t>
  </si>
  <si>
    <t xml:space="preserve">Table 2 base cell - Scenario A levered IRR</t>
  </si>
  <si>
    <t xml:space="preserve">Table 3 base cell - Scenario A levered IRR</t>
  </si>
  <si>
    <t xml:space="preserve">Table 4 base cell - Scenario B levered IRR</t>
  </si>
  <si>
    <t xml:space="preserve">11. FORMULA ERROR SCAN</t>
  </si>
  <si>
    <t xml:space="preserve">See Phase 3 verification report for a full-workbook #REF!/#DIV/0!/#VALUE!/#NAME? scan (done via LibreOffice headless recalculation + openpyxl re-read, not a formula on this tab).</t>
  </si>
  <si>
    <t xml:space="preserve">SUMMARY — Parkview Crossing</t>
  </si>
  <si>
    <t xml:space="preserve">97-unit garden apartment community (unit count per Broward Property Appraiser), Pompano Beach, FL, built 1958. Light value-add / core-plus: 75% of units already renovated by the prior owner; this plan finishes the remaining ~24 classic units, burns off loss-to-lease on the rest, and underwrites Florida's post-sale property-tax reassessment (and a tax-adjusted exit) explicitly rather than ignoring them.</t>
  </si>
  <si>
    <t xml:space="preserve">SOURCES &amp; USES — BASE CASE: Scenario A, assumed debt</t>
  </si>
  <si>
    <t xml:space="preserve">Total Uses (incl. loan assumption fee)</t>
  </si>
  <si>
    <t xml:space="preserve">Assumed Debt (First + Supplemental, Year-0)</t>
  </si>
  <si>
    <t xml:space="preserve">  GP Equity (10%)</t>
  </si>
  <si>
    <t xml:space="preserve">Exit plan (Scenario A base case)</t>
  </si>
  <si>
    <t xml:space="preserve">Capital Call at the Year-3 Refinance (Scenario A, selected plan)</t>
  </si>
  <si>
    <t xml:space="preserve">PEAK EQUITY (Scenario A)</t>
  </si>
  <si>
    <t xml:space="preserve">KEY METRICS (property-level, same under both debt scenarios unless labeled)</t>
  </si>
  <si>
    <t xml:space="preserve">2. In-Place Cap Rate, Day-0, reassessed tax (TRUE going-in)</t>
  </si>
  <si>
    <t xml:space="preserve">3. Year-1 Forward Cap Rate (includes partial-yr business plan)</t>
  </si>
  <si>
    <t xml:space="preserve">Exit Cap Rate (base case: Fort Lauderdale market 5.60% + 100 bps Class C / vintage spread)</t>
  </si>
  <si>
    <t xml:space="preserve">Assumed-Debt LTV at Close (after any lender-required paydown)</t>
  </si>
  <si>
    <t xml:space="preserve">Agency 10-yr Fixed Rate (Scenario B new debt; Scenario A plan 3 comparison)</t>
  </si>
  <si>
    <t xml:space="preserve">Scenario A Refinance Rate, selected plan (floating: 30-day SOFR + spread, capped)</t>
  </si>
  <si>
    <t xml:space="preserve">Hold Period (structural)</t>
  </si>
  <si>
    <t xml:space="preserve">RETURNS — BASE CASE: Scenario A, assumed debt</t>
  </si>
  <si>
    <t xml:space="preserve">Levered IRR (deal-level, Scenario A)</t>
  </si>
  <si>
    <t xml:space="preserve">Levered Equity Multiple (deal-level, Scenario A)</t>
  </si>
  <si>
    <t xml:space="preserve">LP IRR (Scenario A)</t>
  </si>
  <si>
    <t xml:space="preserve">LP Equity Multiple (Scenario A)</t>
  </si>
  <si>
    <t xml:space="preserve">GP IRR (Scenario A)</t>
  </si>
  <si>
    <t xml:space="preserve">GP Equity Multiple (Scenario A)</t>
  </si>
  <si>
    <t xml:space="preserve">GP Promote earned over hold ($, Scenario A)</t>
  </si>
  <si>
    <t xml:space="preserve">SCENARIO A EXIT PLANS — what to do when the 3.0% loan matures (Dec 2029)</t>
  </si>
  <si>
    <t xml:space="preserve">Base case = 2a. A 3.0% loan through 2029 is the reason to buy with assumed debt; selling at maturity (1) gives up two years of the renovated, burned-off NOI and pays acquisition and sale costs over a 3-year hold. Of the two refinances that can be prepaid cheaply at the 2031 sale, the floating loan with a 2-year cap costs less than the 5-year fixed, whose 4% prepayment premium in loan year 2 outweighs its fixed rate. The cap limits the rate risk to the strike.</t>
  </si>
  <si>
    <t xml:space="preserve">DEBT SCENARIO COMPARISON — deal-level (pre-promote) returns</t>
  </si>
  <si>
    <t xml:space="preserve">A: Assumed Debt (BASE CASE)</t>
  </si>
  <si>
    <t xml:space="preserve">B: New Debt (alternative)</t>
  </si>
  <si>
    <t xml:space="preserve">Year-0 Loan Amount</t>
  </si>
  <si>
    <t xml:space="preserve">Rate (A: blended assumed rate to Year 3, then the selected refi; B: agency fixed)</t>
  </si>
  <si>
    <t xml:space="preserve">Sponsor Equity Required</t>
  </si>
  <si>
    <t xml:space="preserve">Levered IRR (deal-level)</t>
  </si>
  <si>
    <t xml:space="preserve">Levered Equity Multiple (deal-level)</t>
  </si>
  <si>
    <t xml:space="preserve">Year-1 Cash-on-Cash</t>
  </si>
  <si>
    <t xml:space="preserve">BID PRICE — max price by target return, BOTH debt scenarios (solver output, not live formulas)</t>
  </si>
  <si>
    <t xml:space="preserve">From price_solve.py (repo root), which runs the same engine verify_model.py checks line by line against this workbook, and writes bid_prices.json, which this builder reads. Goal-seek is not expressible as static Excel formulas: re-run price_solve.py, then build_model.py, after any assumption change (price_solve.py flags stale rows). Held fixed: exit cap (a market input), assumed loan balances, rents, other opex, reno capex. Moves with price: reassessed tax, closing costs, Scenario B loan (LTV/DSCR), the assumption paydown test (Scenario A), equity.</t>
  </si>
  <si>
    <t xml:space="preserve">Scenario / Target</t>
  </si>
  <si>
    <t xml:space="preserve">Max Price</t>
  </si>
  <si>
    <t xml:space="preserve">$/Unit</t>
  </si>
  <si>
    <t xml:space="preserve">vs $13.8M ask</t>
  </si>
  <si>
    <t xml:space="preserve">Going-In (In-Place) Cap</t>
  </si>
  <si>
    <t xml:space="preserve">Deal IRR</t>
  </si>
  <si>
    <t xml:space="preserve">A: required paydown / B: loan</t>
  </si>
  <si>
    <t xml:space="preserve">A (base): LP IRR = 8%</t>
  </si>
  <si>
    <t xml:space="preserve">A (base): Levered IRR = 12%</t>
  </si>
  <si>
    <t xml:space="preserve">A (base): Levered IRR = 15%</t>
  </si>
  <si>
    <t xml:space="preserve">B (alt): LP IRR = 8%</t>
  </si>
  <si>
    <t xml:space="preserve">B (alt): Levered IRR = 12%</t>
  </si>
  <si>
    <t xml:space="preserve">B (alt): Levered IRR = 15%</t>
  </si>
  <si>
    <t xml:space="preserve">With pari passu capital, LP IRR = deal IRR until the 8% pref is met, so target (a) is the same price as an 8% deal IRR. Scenario A: below ~$12.6M the assumption test (75% max LTV on price, a judgment) forces a principal paydown at closing, which adds equity and removes 6.2% supplemental debt.</t>
  </si>
  <si>
    <t xml:space="preserve">DEAL THESIS</t>
  </si>
  <si>
    <t xml:space="preserve">Light value-add / core-plus acquisition of a 1958-vintage, 97-unit Broward County garden apartment community that is 75% already renovated. Return drivers: (1) finishing the ~24 remaining classic units on a bottom-up $20,460/unit scope, (2) loss-to-lease burn-off on units still priced below the broker-disclosed 20.76% market gap, (3) modest, Broward-Class-C-sourced market rent growth capped at 3.0% terminal, and (4) expense discipline given real insurance and property-tax exposure on a 68-year-old building. Property tax is modeled on Florida's actual post-sale reassessment mechanic (Fla. Stat. 193.011(8) cost-of-sale method), and exit value uses a tax-adjusted formula so the exit buyer's own reassessment isn't ignored. Roof condition and the building's 40/50-Year recertification status are undisclosed and treated as flagged diligence items, not assumptions.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</si>
</sst>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\$#,##0"/>
    <numFmt numFmtId="167" formatCode="0.0%"/>
    <numFmt numFmtId="168" formatCode="0.000000"/>
    <numFmt numFmtId="169" formatCode="#,##0.00"/>
    <numFmt numFmtId="170" formatCode="0.0"/>
    <numFmt numFmtId="171" formatCode="0.00%"/>
    <numFmt numFmtId="172" formatCode="0.00\x"/>
    <numFmt numFmtId="173" formatCode="0.0000%"/>
    <numFmt numFmtId="174" formatCode="0.00\x"/>
    <numFmt numFmtId="175" formatCode="\+0.00%;\-0.00%;0.00%"/>
    <numFmt numFmtId="176" formatCode="#,##0"/>
    <numFmt numFmtId="177" formatCode="0.000000%"/>
    <numFmt numFmtId="178" formatCode="0&quot; years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0" t="s">
        <v>3</v>
      </c>
      <c r="C6" s="4" t="n">
        <f aca="false">'Unit Mix'!$B$10</f>
        <v>97</v>
      </c>
      <c r="E6" s="2" t="s">
        <v>4</v>
      </c>
    </row>
    <row r="7" customFormat="false" ht="15" hidden="false" customHeight="false" outlineLevel="0" collapsed="false">
      <c r="A7" s="0" t="s">
        <v>5</v>
      </c>
      <c r="C7" s="5" t="n">
        <v>13800000</v>
      </c>
      <c r="E7" s="2" t="s">
        <v>6</v>
      </c>
    </row>
    <row r="8" customFormat="false" ht="15" hidden="false" customHeight="false" outlineLevel="0" collapsed="false">
      <c r="A8" s="0" t="s">
        <v>7</v>
      </c>
      <c r="C8" s="6" t="n">
        <v>0.07</v>
      </c>
      <c r="E8" s="2" t="s">
        <v>8</v>
      </c>
    </row>
    <row r="9" customFormat="false" ht="15" hidden="false" customHeight="false" outlineLevel="0" collapsed="false">
      <c r="A9" s="0" t="s">
        <v>9</v>
      </c>
      <c r="C9" s="7" t="n">
        <f aca="false">Assumptions!$C$7*Assumptions!$C$8</f>
        <v>966000</v>
      </c>
      <c r="E9" s="2" t="s">
        <v>10</v>
      </c>
    </row>
    <row r="10" customFormat="false" ht="15" hidden="false" customHeight="false" outlineLevel="0" collapsed="false">
      <c r="A10" s="0" t="s">
        <v>11</v>
      </c>
      <c r="C10" s="6" t="n">
        <v>0.015</v>
      </c>
      <c r="E10" s="2" t="s">
        <v>12</v>
      </c>
    </row>
    <row r="11" customFormat="false" ht="15" hidden="false" customHeight="false" outlineLevel="0" collapsed="false">
      <c r="A11" s="0" t="s">
        <v>13</v>
      </c>
      <c r="C11" s="7" t="n">
        <f aca="false">Assumptions!$C$7*Assumptions!$C$10</f>
        <v>207000</v>
      </c>
    </row>
    <row r="13" customFormat="false" ht="15" hidden="false" customHeight="false" outlineLevel="0" collapsed="false">
      <c r="A13" s="3" t="s">
        <v>14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0" t="s">
        <v>15</v>
      </c>
      <c r="C14" s="8" t="n">
        <v>0.020171</v>
      </c>
      <c r="E14" s="2" t="s">
        <v>16</v>
      </c>
    </row>
    <row r="15" customFormat="false" ht="15" hidden="false" customHeight="false" outlineLevel="0" collapsed="false">
      <c r="A15" s="0" t="s">
        <v>17</v>
      </c>
      <c r="C15" s="5" t="n">
        <v>10318700</v>
      </c>
      <c r="E15" s="2" t="s">
        <v>18</v>
      </c>
    </row>
    <row r="16" customFormat="false" ht="15" hidden="false" customHeight="false" outlineLevel="0" collapsed="false">
      <c r="A16" s="0" t="s">
        <v>19</v>
      </c>
      <c r="C16" s="6" t="n">
        <v>0.85</v>
      </c>
      <c r="E16" s="2" t="s">
        <v>20</v>
      </c>
    </row>
    <row r="17" customFormat="false" ht="15" hidden="false" customHeight="false" outlineLevel="0" collapsed="false">
      <c r="A17" s="0" t="s">
        <v>21</v>
      </c>
      <c r="C17" s="6" t="n">
        <v>0.1</v>
      </c>
      <c r="E17" s="2" t="s">
        <v>22</v>
      </c>
    </row>
    <row r="18" customFormat="false" ht="15" hidden="false" customHeight="false" outlineLevel="0" collapsed="false">
      <c r="A18" s="0" t="s">
        <v>23</v>
      </c>
      <c r="C18" s="9" t="n">
        <f aca="false">Assumptions!$C$61</f>
        <v>0.03</v>
      </c>
      <c r="E18" s="2" t="s">
        <v>24</v>
      </c>
    </row>
    <row r="19" customFormat="false" ht="15" hidden="false" customHeight="false" outlineLevel="0" collapsed="false">
      <c r="A19" s="0" t="s">
        <v>25</v>
      </c>
      <c r="C19" s="7" t="n">
        <f aca="false">Assumptions!$C$7*Assumptions!$C$16</f>
        <v>11730000</v>
      </c>
      <c r="E19" s="2" t="s">
        <v>26</v>
      </c>
    </row>
    <row r="20" customFormat="false" ht="15" hidden="false" customHeight="false" outlineLevel="0" collapsed="false">
      <c r="A20" s="0" t="s">
        <v>27</v>
      </c>
      <c r="C20" s="7" t="n">
        <f aca="false">Assumptions!$C$15*Assumptions!$C$14</f>
        <v>208138.4977</v>
      </c>
    </row>
    <row r="21" customFormat="false" ht="15" hidden="false" customHeight="false" outlineLevel="0" collapsed="false">
      <c r="A21" s="0" t="s">
        <v>28</v>
      </c>
      <c r="C21" s="7" t="n">
        <f aca="false">Assumptions!$C$19*Assumptions!$C$14</f>
        <v>236605.83</v>
      </c>
      <c r="E21" s="2" t="s">
        <v>29</v>
      </c>
    </row>
    <row r="23" customFormat="false" ht="15" hidden="false" customHeight="false" outlineLevel="0" collapsed="false">
      <c r="A23" s="3" t="s">
        <v>30</v>
      </c>
      <c r="B23" s="3"/>
      <c r="C23" s="3"/>
      <c r="D23" s="3"/>
      <c r="E23" s="3"/>
      <c r="F23" s="3"/>
    </row>
    <row r="24" customFormat="false" ht="15" hidden="false" customHeight="false" outlineLevel="0" collapsed="false">
      <c r="A24" s="0" t="s">
        <v>31</v>
      </c>
      <c r="C24" s="5" t="n">
        <v>7000</v>
      </c>
    </row>
    <row r="25" customFormat="false" ht="15" hidden="false" customHeight="false" outlineLevel="0" collapsed="false">
      <c r="A25" s="0" t="s">
        <v>32</v>
      </c>
      <c r="C25" s="5" t="n">
        <v>3500</v>
      </c>
    </row>
    <row r="26" customFormat="false" ht="15" hidden="false" customHeight="false" outlineLevel="0" collapsed="false">
      <c r="A26" s="0" t="s">
        <v>33</v>
      </c>
      <c r="C26" s="5" t="n">
        <v>1500</v>
      </c>
    </row>
    <row r="27" customFormat="false" ht="15" hidden="false" customHeight="false" outlineLevel="0" collapsed="false">
      <c r="A27" s="0" t="s">
        <v>34</v>
      </c>
      <c r="C27" s="5" t="n">
        <v>400</v>
      </c>
    </row>
    <row r="28" customFormat="false" ht="15" hidden="false" customHeight="false" outlineLevel="0" collapsed="false">
      <c r="A28" s="0" t="s">
        <v>35</v>
      </c>
      <c r="C28" s="5" t="n">
        <v>4000</v>
      </c>
    </row>
    <row r="29" customFormat="false" ht="15" hidden="false" customHeight="false" outlineLevel="0" collapsed="false">
      <c r="A29" s="0" t="s">
        <v>36</v>
      </c>
      <c r="C29" s="5" t="n">
        <v>1200</v>
      </c>
    </row>
    <row r="30" customFormat="false" ht="15" hidden="false" customHeight="false" outlineLevel="0" collapsed="false">
      <c r="A30" s="0" t="s">
        <v>37</v>
      </c>
      <c r="C30" s="5" t="n">
        <v>500</v>
      </c>
    </row>
    <row r="31" customFormat="false" ht="15" hidden="false" customHeight="false" outlineLevel="0" collapsed="false">
      <c r="A31" s="0" t="s">
        <v>38</v>
      </c>
      <c r="C31" s="5" t="n">
        <v>500</v>
      </c>
    </row>
    <row r="32" customFormat="false" ht="15" hidden="false" customHeight="false" outlineLevel="0" collapsed="false">
      <c r="A32" s="0" t="s">
        <v>39</v>
      </c>
      <c r="C32" s="10" t="n">
        <f aca="false">Assumptions!$C$24+Assumptions!$C$25+Assumptions!$C$26+Assumptions!$C$27+Assumptions!$C$28+Assumptions!$C$29+Assumptions!$C$30+Assumptions!$C$31</f>
        <v>18600</v>
      </c>
    </row>
    <row r="33" customFormat="false" ht="15" hidden="false" customHeight="false" outlineLevel="0" collapsed="false">
      <c r="A33" s="0" t="s">
        <v>40</v>
      </c>
      <c r="C33" s="6" t="n">
        <v>0.1</v>
      </c>
    </row>
    <row r="34" customFormat="false" ht="15" hidden="false" customHeight="false" outlineLevel="0" collapsed="false">
      <c r="A34" s="0" t="s">
        <v>41</v>
      </c>
      <c r="C34" s="7" t="n">
        <f aca="false">Assumptions!$C$32*Assumptions!$C$33</f>
        <v>1860</v>
      </c>
    </row>
    <row r="35" customFormat="false" ht="15" hidden="false" customHeight="false" outlineLevel="0" collapsed="false">
      <c r="A35" s="0" t="s">
        <v>42</v>
      </c>
      <c r="C35" s="10" t="n">
        <f aca="false">Assumptions!$C$32+Assumptions!$C$34</f>
        <v>20460</v>
      </c>
    </row>
    <row r="36" customFormat="false" ht="15" hidden="false" customHeight="false" outlineLevel="0" collapsed="false">
      <c r="A36" s="0" t="s">
        <v>43</v>
      </c>
      <c r="C36" s="11" t="n">
        <v>4</v>
      </c>
    </row>
    <row r="37" customFormat="false" ht="15" hidden="false" customHeight="false" outlineLevel="0" collapsed="false">
      <c r="A37" s="0" t="s">
        <v>44</v>
      </c>
      <c r="C37" s="5" t="n">
        <v>0</v>
      </c>
      <c r="E37" s="2" t="s">
        <v>45</v>
      </c>
    </row>
    <row r="38" customFormat="false" ht="15" hidden="false" customHeight="false" outlineLevel="0" collapsed="false">
      <c r="A38" s="0" t="s">
        <v>46</v>
      </c>
      <c r="C38" s="7" t="n">
        <f aca="false">Assumptions!$C$37*12</f>
        <v>0</v>
      </c>
    </row>
    <row r="39" customFormat="false" ht="15" hidden="false" customHeight="false" outlineLevel="0" collapsed="false">
      <c r="A39" s="0" t="s">
        <v>47</v>
      </c>
      <c r="C39" s="6" t="n">
        <v>0.5</v>
      </c>
      <c r="E39" s="2" t="s">
        <v>48</v>
      </c>
    </row>
    <row r="41" customFormat="false" ht="15" hidden="false" customHeight="false" outlineLevel="0" collapsed="false">
      <c r="A41" s="3" t="s">
        <v>49</v>
      </c>
      <c r="B41" s="3"/>
      <c r="C41" s="3"/>
      <c r="D41" s="3"/>
      <c r="E41" s="3"/>
      <c r="F41" s="3"/>
    </row>
    <row r="42" customFormat="false" ht="15" hidden="false" customHeight="false" outlineLevel="0" collapsed="false">
      <c r="A42" s="0" t="s">
        <v>50</v>
      </c>
      <c r="C42" s="6" t="n">
        <v>0.065</v>
      </c>
      <c r="E42" s="2" t="s">
        <v>51</v>
      </c>
    </row>
    <row r="43" customFormat="false" ht="15" hidden="false" customHeight="false" outlineLevel="0" collapsed="false">
      <c r="A43" s="0" t="s">
        <v>52</v>
      </c>
      <c r="C43" s="6" t="n">
        <v>0.01</v>
      </c>
    </row>
    <row r="44" customFormat="false" ht="15" hidden="false" customHeight="false" outlineLevel="0" collapsed="false">
      <c r="A44" s="0" t="s">
        <v>53</v>
      </c>
      <c r="C44" s="6" t="n">
        <v>0.005</v>
      </c>
    </row>
    <row r="45" customFormat="false" ht="15" hidden="false" customHeight="false" outlineLevel="0" collapsed="false">
      <c r="A45" s="0" t="s">
        <v>54</v>
      </c>
      <c r="C45" s="5" t="n">
        <v>15</v>
      </c>
      <c r="E45" s="2" t="s">
        <v>55</v>
      </c>
    </row>
    <row r="46" customFormat="false" ht="15" hidden="false" customHeight="false" outlineLevel="0" collapsed="false">
      <c r="A46" s="0" t="s">
        <v>56</v>
      </c>
      <c r="C46" s="6" t="n">
        <v>0.6</v>
      </c>
      <c r="E46" s="2" t="s">
        <v>57</v>
      </c>
    </row>
    <row r="47" customFormat="false" ht="15" hidden="false" customHeight="false" outlineLevel="0" collapsed="false">
      <c r="A47" s="0" t="s">
        <v>58</v>
      </c>
      <c r="C47" s="6" t="n">
        <v>0.5</v>
      </c>
      <c r="E47" s="2" t="s">
        <v>59</v>
      </c>
    </row>
    <row r="48" customFormat="false" ht="15" hidden="false" customHeight="false" outlineLevel="0" collapsed="false">
      <c r="A48" s="0" t="s">
        <v>60</v>
      </c>
      <c r="C48" s="6" t="n">
        <v>0.55</v>
      </c>
      <c r="E48" s="2" t="s">
        <v>61</v>
      </c>
    </row>
    <row r="49" customFormat="false" ht="15" hidden="false" customHeight="false" outlineLevel="0" collapsed="false">
      <c r="A49" s="0" t="s">
        <v>62</v>
      </c>
      <c r="C49" s="6" t="n">
        <v>0.65</v>
      </c>
      <c r="E49" s="2" t="s">
        <v>63</v>
      </c>
    </row>
    <row r="51" customFormat="false" ht="15" hidden="false" customHeight="false" outlineLevel="0" collapsed="false">
      <c r="A51" s="3" t="s">
        <v>64</v>
      </c>
      <c r="B51" s="3"/>
      <c r="C51" s="3"/>
      <c r="D51" s="3"/>
      <c r="E51" s="3"/>
      <c r="F51" s="3"/>
    </row>
    <row r="52" customFormat="false" ht="15" hidden="false" customHeight="false" outlineLevel="0" collapsed="false">
      <c r="A52" s="0" t="s">
        <v>65</v>
      </c>
      <c r="C52" s="6" t="n">
        <v>0.01</v>
      </c>
      <c r="E52" s="2" t="s">
        <v>66</v>
      </c>
    </row>
    <row r="53" customFormat="false" ht="15" hidden="false" customHeight="false" outlineLevel="0" collapsed="false">
      <c r="A53" s="0" t="s">
        <v>67</v>
      </c>
      <c r="C53" s="6" t="n">
        <v>0.0175</v>
      </c>
      <c r="E53" s="2" t="s">
        <v>68</v>
      </c>
    </row>
    <row r="54" customFormat="false" ht="15" hidden="false" customHeight="false" outlineLevel="0" collapsed="false">
      <c r="A54" s="0" t="s">
        <v>69</v>
      </c>
      <c r="C54" s="6" t="n">
        <v>0.025</v>
      </c>
      <c r="E54" s="2" t="s">
        <v>68</v>
      </c>
    </row>
    <row r="55" customFormat="false" ht="15" hidden="false" customHeight="false" outlineLevel="0" collapsed="false">
      <c r="A55" s="0" t="s">
        <v>70</v>
      </c>
      <c r="C55" s="6" t="n">
        <v>0.03</v>
      </c>
      <c r="E55" s="2" t="s">
        <v>71</v>
      </c>
    </row>
    <row r="56" customFormat="false" ht="15" hidden="false" customHeight="false" outlineLevel="0" collapsed="false">
      <c r="A56" s="0" t="s">
        <v>72</v>
      </c>
      <c r="C56" s="6" t="n">
        <v>0.03</v>
      </c>
      <c r="E56" s="2" t="s">
        <v>73</v>
      </c>
    </row>
    <row r="57" customFormat="false" ht="15" hidden="false" customHeight="false" outlineLevel="0" collapsed="false">
      <c r="A57" s="0" t="s">
        <v>74</v>
      </c>
      <c r="C57" s="6" t="n">
        <v>0.03</v>
      </c>
      <c r="E57" s="2" t="s">
        <v>73</v>
      </c>
    </row>
    <row r="58" customFormat="false" ht="15" hidden="false" customHeight="false" outlineLevel="0" collapsed="false">
      <c r="A58" s="0" t="s">
        <v>75</v>
      </c>
      <c r="C58" s="6" t="n">
        <v>0.03</v>
      </c>
      <c r="E58" s="2" t="s">
        <v>73</v>
      </c>
    </row>
    <row r="59" customFormat="false" ht="15" hidden="false" customHeight="false" outlineLevel="0" collapsed="false">
      <c r="A59" s="0" t="s">
        <v>76</v>
      </c>
      <c r="C59" s="6" t="n">
        <v>0.03</v>
      </c>
      <c r="E59" s="2" t="s">
        <v>73</v>
      </c>
    </row>
    <row r="60" customFormat="false" ht="15" hidden="false" customHeight="false" outlineLevel="0" collapsed="false">
      <c r="A60" s="0" t="s">
        <v>77</v>
      </c>
      <c r="C60" s="6" t="n">
        <v>0.03</v>
      </c>
      <c r="E60" s="2" t="s">
        <v>73</v>
      </c>
    </row>
    <row r="61" customFormat="false" ht="15" hidden="false" customHeight="false" outlineLevel="0" collapsed="false">
      <c r="A61" s="0" t="s">
        <v>78</v>
      </c>
      <c r="C61" s="6" t="n">
        <v>0.03</v>
      </c>
      <c r="E61" s="2" t="s">
        <v>73</v>
      </c>
    </row>
    <row r="63" customFormat="false" ht="15" hidden="false" customHeight="false" outlineLevel="0" collapsed="false">
      <c r="A63" s="3" t="s">
        <v>79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A64" s="0" t="s">
        <v>80</v>
      </c>
      <c r="C64" s="6" t="n">
        <v>0.035</v>
      </c>
    </row>
    <row r="65" customFormat="false" ht="15" hidden="false" customHeight="false" outlineLevel="0" collapsed="false">
      <c r="A65" s="0" t="s">
        <v>81</v>
      </c>
      <c r="C65" s="6" t="n">
        <v>0.07</v>
      </c>
      <c r="E65" s="2" t="s">
        <v>82</v>
      </c>
    </row>
    <row r="67" customFormat="false" ht="15" hidden="false" customHeight="false" outlineLevel="0" collapsed="false">
      <c r="A67" s="3" t="s">
        <v>83</v>
      </c>
      <c r="B67" s="3"/>
      <c r="C67" s="3"/>
      <c r="D67" s="3"/>
      <c r="E67" s="3"/>
      <c r="F67" s="3"/>
    </row>
    <row r="68" customFormat="false" ht="15" hidden="false" customHeight="false" outlineLevel="0" collapsed="false">
      <c r="A68" s="0" t="s">
        <v>84</v>
      </c>
      <c r="C68" s="5" t="n">
        <v>1400</v>
      </c>
    </row>
    <row r="69" customFormat="false" ht="15" hidden="false" customHeight="false" outlineLevel="0" collapsed="false">
      <c r="A69" s="0" t="s">
        <v>85</v>
      </c>
      <c r="C69" s="5" t="n">
        <v>1100</v>
      </c>
      <c r="E69" s="2" t="s">
        <v>86</v>
      </c>
    </row>
    <row r="70" customFormat="false" ht="15" hidden="false" customHeight="false" outlineLevel="0" collapsed="false">
      <c r="A70" s="0" t="s">
        <v>87</v>
      </c>
      <c r="C70" s="5" t="n">
        <v>350</v>
      </c>
    </row>
    <row r="71" customFormat="false" ht="15" hidden="false" customHeight="false" outlineLevel="0" collapsed="false">
      <c r="A71" s="0" t="s">
        <v>88</v>
      </c>
      <c r="C71" s="5" t="n">
        <v>280</v>
      </c>
      <c r="E71" s="2" t="s">
        <v>89</v>
      </c>
    </row>
    <row r="72" customFormat="false" ht="15" hidden="false" customHeight="false" outlineLevel="0" collapsed="false">
      <c r="A72" s="0" t="s">
        <v>90</v>
      </c>
      <c r="C72" s="5" t="n">
        <v>500</v>
      </c>
      <c r="E72" s="2" t="s">
        <v>91</v>
      </c>
    </row>
    <row r="73" customFormat="false" ht="15" hidden="false" customHeight="false" outlineLevel="0" collapsed="false">
      <c r="A73" s="0" t="s">
        <v>92</v>
      </c>
      <c r="C73" s="5" t="n">
        <v>2400</v>
      </c>
      <c r="E73" s="2" t="s">
        <v>93</v>
      </c>
    </row>
    <row r="74" customFormat="false" ht="15" hidden="false" customHeight="false" outlineLevel="0" collapsed="false">
      <c r="A74" s="0" t="s">
        <v>94</v>
      </c>
      <c r="C74" s="5" t="n">
        <v>1900</v>
      </c>
      <c r="E74" s="2" t="s">
        <v>95</v>
      </c>
    </row>
    <row r="75" customFormat="false" ht="15" hidden="false" customHeight="false" outlineLevel="0" collapsed="false">
      <c r="A75" s="0" t="s">
        <v>96</v>
      </c>
      <c r="C75" s="6" t="n">
        <v>0.035</v>
      </c>
    </row>
    <row r="76" customFormat="false" ht="15" hidden="false" customHeight="false" outlineLevel="0" collapsed="false">
      <c r="A76" s="0" t="s">
        <v>97</v>
      </c>
      <c r="C76" s="5" t="n">
        <v>375</v>
      </c>
      <c r="E76" s="2" t="s">
        <v>98</v>
      </c>
    </row>
    <row r="77" customFormat="false" ht="15" hidden="false" customHeight="false" outlineLevel="0" collapsed="false">
      <c r="A77" s="0" t="s">
        <v>99</v>
      </c>
      <c r="C77" s="5" t="n">
        <v>250</v>
      </c>
    </row>
    <row r="78" customFormat="false" ht="15" hidden="false" customHeight="false" outlineLevel="0" collapsed="false">
      <c r="A78" s="0" t="s">
        <v>100</v>
      </c>
      <c r="C78" s="5" t="n">
        <v>150</v>
      </c>
    </row>
    <row r="79" customFormat="false" ht="15" hidden="false" customHeight="false" outlineLevel="0" collapsed="false">
      <c r="A79" s="0" t="s">
        <v>101</v>
      </c>
      <c r="C79" s="5" t="n">
        <v>300</v>
      </c>
    </row>
    <row r="81" customFormat="false" ht="15" hidden="false" customHeight="false" outlineLevel="0" collapsed="false">
      <c r="A81" s="3" t="s">
        <v>102</v>
      </c>
      <c r="B81" s="3"/>
      <c r="C81" s="3"/>
      <c r="D81" s="3"/>
      <c r="E81" s="3"/>
      <c r="F81" s="3"/>
    </row>
    <row r="82" customFormat="false" ht="15" hidden="false" customHeight="false" outlineLevel="0" collapsed="false">
      <c r="A82" s="2" t="s">
        <v>103</v>
      </c>
    </row>
    <row r="83" customFormat="false" ht="15" hidden="false" customHeight="false" outlineLevel="0" collapsed="false">
      <c r="A83" s="0" t="s">
        <v>104</v>
      </c>
      <c r="C83" s="12" t="n">
        <v>7.1</v>
      </c>
      <c r="E83" s="2" t="s">
        <v>105</v>
      </c>
    </row>
    <row r="84" customFormat="false" ht="15" hidden="false" customHeight="false" outlineLevel="0" collapsed="false">
      <c r="A84" s="0" t="s">
        <v>106</v>
      </c>
      <c r="C84" s="12" t="n">
        <v>3.9</v>
      </c>
      <c r="E84" s="2" t="s">
        <v>107</v>
      </c>
    </row>
    <row r="85" customFormat="false" ht="15" hidden="false" customHeight="false" outlineLevel="0" collapsed="false">
      <c r="A85" s="0" t="s">
        <v>108</v>
      </c>
      <c r="C85" s="12" t="n">
        <v>16.1</v>
      </c>
      <c r="E85" s="2" t="s">
        <v>109</v>
      </c>
    </row>
    <row r="86" customFormat="false" ht="15" hidden="false" customHeight="false" outlineLevel="0" collapsed="false">
      <c r="A86" s="0" t="s">
        <v>110</v>
      </c>
      <c r="C86" s="12" t="n">
        <v>4.88</v>
      </c>
      <c r="E86" s="2" t="s">
        <v>111</v>
      </c>
    </row>
    <row r="87" customFormat="false" ht="15" hidden="false" customHeight="false" outlineLevel="0" collapsed="false">
      <c r="A87" s="0" t="s">
        <v>112</v>
      </c>
      <c r="C87" s="13" t="n">
        <v>3</v>
      </c>
      <c r="E87" s="2" t="s">
        <v>113</v>
      </c>
    </row>
    <row r="88" customFormat="false" ht="15" hidden="false" customHeight="false" outlineLevel="0" collapsed="false">
      <c r="A88" s="0" t="s">
        <v>114</v>
      </c>
      <c r="C88" s="11" t="n">
        <v>7</v>
      </c>
      <c r="E88" s="2" t="s">
        <v>115</v>
      </c>
    </row>
    <row r="89" customFormat="false" ht="15" hidden="false" customHeight="false" outlineLevel="0" collapsed="false">
      <c r="A89" s="0" t="s">
        <v>116</v>
      </c>
      <c r="C89" s="12" t="n">
        <v>40.64</v>
      </c>
      <c r="E89" s="2" t="s">
        <v>117</v>
      </c>
    </row>
    <row r="90" customFormat="false" ht="15" hidden="false" customHeight="false" outlineLevel="0" collapsed="false">
      <c r="A90" s="0" t="s">
        <v>118</v>
      </c>
      <c r="C90" s="10" t="n">
        <f aca="false">((Assumptions!$C$83+Assumptions!$C$87*Assumptions!$C$84)+(Assumptions!$C$85+Assumptions!$C$87*Assumptions!$C$86))*12+Assumptions!$C$88*Assumptions!$C$89*12/Assumptions!$C$6</f>
        <v>629.673402061856</v>
      </c>
    </row>
    <row r="91" customFormat="false" ht="15" hidden="false" customHeight="false" outlineLevel="0" collapsed="false">
      <c r="A91" s="0" t="s">
        <v>119</v>
      </c>
      <c r="C91" s="6" t="n">
        <v>0.06</v>
      </c>
      <c r="E91" s="2" t="s">
        <v>120</v>
      </c>
    </row>
    <row r="92" customFormat="false" ht="15" hidden="false" customHeight="false" outlineLevel="0" collapsed="false">
      <c r="A92" s="0" t="s">
        <v>121</v>
      </c>
      <c r="C92" s="11" t="n">
        <v>3</v>
      </c>
      <c r="E92" s="2" t="s">
        <v>122</v>
      </c>
    </row>
    <row r="93" customFormat="false" ht="15" hidden="false" customHeight="false" outlineLevel="0" collapsed="false">
      <c r="A93" s="0" t="s">
        <v>123</v>
      </c>
      <c r="C93" s="12" t="n">
        <v>457.63</v>
      </c>
      <c r="E93" s="2" t="s">
        <v>124</v>
      </c>
    </row>
    <row r="94" customFormat="false" ht="15" hidden="false" customHeight="false" outlineLevel="0" collapsed="false">
      <c r="A94" s="0" t="s">
        <v>125</v>
      </c>
      <c r="C94" s="10" t="n">
        <f aca="false">Assumptions!$C$92*Assumptions!$C$93*12/Assumptions!$C$6</f>
        <v>169.84206185567</v>
      </c>
    </row>
    <row r="96" customFormat="false" ht="15" hidden="false" customHeight="false" outlineLevel="0" collapsed="false">
      <c r="A96" s="3" t="s">
        <v>126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0" t="s">
        <v>127</v>
      </c>
      <c r="C97" s="11" t="n">
        <v>0</v>
      </c>
    </row>
    <row r="98" customFormat="false" ht="15" hidden="false" customHeight="false" outlineLevel="0" collapsed="false">
      <c r="A98" s="0" t="s">
        <v>128</v>
      </c>
      <c r="C98" s="5" t="n">
        <v>235000</v>
      </c>
      <c r="E98" s="2" t="s">
        <v>129</v>
      </c>
    </row>
    <row r="99" customFormat="false" ht="15" hidden="false" customHeight="false" outlineLevel="0" collapsed="false">
      <c r="A99" s="0" t="s">
        <v>130</v>
      </c>
      <c r="C99" s="11" t="n">
        <v>2</v>
      </c>
      <c r="E99" s="2" t="s">
        <v>131</v>
      </c>
    </row>
    <row r="100" customFormat="false" ht="15" hidden="false" customHeight="false" outlineLevel="0" collapsed="false">
      <c r="A100" s="0" t="s">
        <v>132</v>
      </c>
      <c r="C100" s="5" t="n">
        <v>10000</v>
      </c>
      <c r="E100" s="2" t="s">
        <v>133</v>
      </c>
    </row>
    <row r="101" customFormat="false" ht="15" hidden="false" customHeight="false" outlineLevel="0" collapsed="false">
      <c r="A101" s="0" t="s">
        <v>134</v>
      </c>
      <c r="C101" s="5" t="n">
        <v>150000</v>
      </c>
      <c r="E101" s="2" t="s">
        <v>135</v>
      </c>
    </row>
    <row r="103" customFormat="false" ht="15" hidden="false" customHeight="false" outlineLevel="0" collapsed="false">
      <c r="A103" s="3" t="s">
        <v>136</v>
      </c>
      <c r="B103" s="3"/>
      <c r="C103" s="3"/>
      <c r="D103" s="3"/>
      <c r="E103" s="3"/>
      <c r="F103" s="3"/>
    </row>
    <row r="104" customFormat="false" ht="15" hidden="false" customHeight="false" outlineLevel="0" collapsed="false">
      <c r="A104" s="2" t="s">
        <v>137</v>
      </c>
    </row>
    <row r="105" customFormat="false" ht="15" hidden="false" customHeight="false" outlineLevel="0" collapsed="false">
      <c r="A105" s="0" t="s">
        <v>138</v>
      </c>
      <c r="C105" s="14" t="n">
        <v>0.0524</v>
      </c>
      <c r="E105" s="2" t="s">
        <v>139</v>
      </c>
    </row>
    <row r="106" customFormat="false" ht="15" hidden="false" customHeight="false" outlineLevel="0" collapsed="false">
      <c r="A106" s="0" t="s">
        <v>140</v>
      </c>
      <c r="C106" s="14" t="n">
        <v>0.02</v>
      </c>
      <c r="E106" s="2" t="s">
        <v>141</v>
      </c>
    </row>
    <row r="107" customFormat="false" ht="15" hidden="false" customHeight="false" outlineLevel="0" collapsed="false">
      <c r="A107" s="0" t="s">
        <v>142</v>
      </c>
      <c r="C107" s="15" t="n">
        <f aca="false">Assumptions!$C$105+Assumptions!$C$106</f>
        <v>0.0724</v>
      </c>
    </row>
    <row r="108" customFormat="false" ht="15" hidden="false" customHeight="false" outlineLevel="0" collapsed="false">
      <c r="A108" s="0" t="s">
        <v>143</v>
      </c>
      <c r="C108" s="6" t="n">
        <v>0.75</v>
      </c>
      <c r="E108" s="2" t="s">
        <v>144</v>
      </c>
    </row>
    <row r="109" customFormat="false" ht="15" hidden="false" customHeight="false" outlineLevel="0" collapsed="false">
      <c r="A109" s="0" t="s">
        <v>145</v>
      </c>
      <c r="C109" s="16" t="n">
        <v>1.25</v>
      </c>
      <c r="E109" s="2" t="s">
        <v>146</v>
      </c>
    </row>
    <row r="110" customFormat="false" ht="15" hidden="false" customHeight="false" outlineLevel="0" collapsed="false">
      <c r="A110" s="0" t="s">
        <v>147</v>
      </c>
      <c r="C110" s="11" t="n">
        <v>0</v>
      </c>
      <c r="E110" s="2" t="s">
        <v>148</v>
      </c>
    </row>
    <row r="111" customFormat="false" ht="15" hidden="false" customHeight="false" outlineLevel="0" collapsed="false">
      <c r="A111" s="0" t="s">
        <v>149</v>
      </c>
      <c r="C111" s="11" t="n">
        <v>30</v>
      </c>
    </row>
    <row r="112" customFormat="false" ht="15" hidden="false" customHeight="false" outlineLevel="0" collapsed="false">
      <c r="A112" s="0" t="s">
        <v>150</v>
      </c>
      <c r="C112" s="6" t="n">
        <v>0.05</v>
      </c>
      <c r="E112" s="2" t="s">
        <v>151</v>
      </c>
    </row>
    <row r="113" customFormat="false" ht="15" hidden="false" customHeight="false" outlineLevel="0" collapsed="false">
      <c r="A113" s="0" t="s">
        <v>152</v>
      </c>
      <c r="C113" s="6" t="n">
        <v>0.05</v>
      </c>
    </row>
    <row r="114" customFormat="false" ht="15" hidden="false" customHeight="false" outlineLevel="0" collapsed="false">
      <c r="A114" s="0" t="s">
        <v>153</v>
      </c>
      <c r="C114" s="6" t="n">
        <v>0.04</v>
      </c>
    </row>
    <row r="115" customFormat="false" ht="15" hidden="false" customHeight="false" outlineLevel="0" collapsed="false">
      <c r="A115" s="0" t="s">
        <v>154</v>
      </c>
      <c r="C115" s="6" t="n">
        <v>0.04</v>
      </c>
    </row>
    <row r="116" customFormat="false" ht="15" hidden="false" customHeight="false" outlineLevel="0" collapsed="false">
      <c r="A116" s="0" t="s">
        <v>155</v>
      </c>
      <c r="C116" s="6" t="n">
        <v>0.03</v>
      </c>
    </row>
    <row r="117" customFormat="false" ht="15" hidden="false" customHeight="false" outlineLevel="0" collapsed="false">
      <c r="A117" s="0" t="s">
        <v>156</v>
      </c>
      <c r="C117" s="6" t="n">
        <v>0.03</v>
      </c>
    </row>
    <row r="118" customFormat="false" ht="15" hidden="false" customHeight="false" outlineLevel="0" collapsed="false">
      <c r="A118" s="0" t="s">
        <v>157</v>
      </c>
      <c r="C118" s="6" t="n">
        <v>0.02</v>
      </c>
    </row>
    <row r="119" customFormat="false" ht="15" hidden="false" customHeight="false" outlineLevel="0" collapsed="false">
      <c r="A119" s="0" t="s">
        <v>158</v>
      </c>
      <c r="C119" s="6" t="n">
        <v>0.02</v>
      </c>
    </row>
    <row r="120" customFormat="false" ht="15" hidden="false" customHeight="false" outlineLevel="0" collapsed="false">
      <c r="A120" s="0" t="s">
        <v>159</v>
      </c>
      <c r="C120" s="6" t="n">
        <v>0.01</v>
      </c>
    </row>
    <row r="121" customFormat="false" ht="15" hidden="false" customHeight="false" outlineLevel="0" collapsed="false">
      <c r="A121" s="0" t="s">
        <v>160</v>
      </c>
      <c r="C121" s="6" t="n">
        <v>0.01</v>
      </c>
    </row>
    <row r="123" customFormat="false" ht="15" hidden="false" customHeight="false" outlineLevel="0" collapsed="false">
      <c r="A123" s="3" t="s">
        <v>161</v>
      </c>
      <c r="B123" s="3"/>
      <c r="C123" s="3"/>
      <c r="D123" s="3"/>
      <c r="E123" s="3"/>
      <c r="F123" s="3"/>
    </row>
    <row r="124" customFormat="false" ht="15" hidden="false" customHeight="false" outlineLevel="0" collapsed="false">
      <c r="A124" s="0" t="s">
        <v>162</v>
      </c>
      <c r="C124" s="5" t="n">
        <v>5887000</v>
      </c>
      <c r="E124" s="2" t="s">
        <v>163</v>
      </c>
    </row>
    <row r="125" customFormat="false" ht="15" hidden="false" customHeight="false" outlineLevel="0" collapsed="false">
      <c r="A125" s="0" t="s">
        <v>164</v>
      </c>
      <c r="C125" s="6" t="n">
        <v>0.03</v>
      </c>
      <c r="E125" s="2" t="s">
        <v>165</v>
      </c>
    </row>
    <row r="126" customFormat="false" ht="15" hidden="false" customHeight="false" outlineLevel="0" collapsed="false">
      <c r="A126" s="0" t="s">
        <v>166</v>
      </c>
      <c r="C126" s="11" t="n">
        <v>3</v>
      </c>
      <c r="E126" s="2" t="s">
        <v>167</v>
      </c>
    </row>
    <row r="127" customFormat="false" ht="15" hidden="false" customHeight="false" outlineLevel="0" collapsed="false">
      <c r="A127" s="0" t="s">
        <v>168</v>
      </c>
      <c r="C127" s="5" t="n">
        <v>3563000</v>
      </c>
      <c r="E127" s="2" t="s">
        <v>169</v>
      </c>
    </row>
    <row r="128" customFormat="false" ht="15" hidden="false" customHeight="false" outlineLevel="0" collapsed="false">
      <c r="A128" s="0" t="s">
        <v>170</v>
      </c>
      <c r="C128" s="6" t="n">
        <v>0.062</v>
      </c>
      <c r="E128" s="2" t="s">
        <v>171</v>
      </c>
    </row>
    <row r="129" customFormat="false" ht="15" hidden="false" customHeight="false" outlineLevel="0" collapsed="false">
      <c r="A129" s="0" t="s">
        <v>172</v>
      </c>
      <c r="C129" s="9" t="n">
        <f aca="false">(Assumptions!$C$124*Assumptions!$C$125+Assumptions!$C$127*Assumptions!$C$128)/(Assumptions!$C$124+Assumptions!$C$127)</f>
        <v>0.0420651851851852</v>
      </c>
    </row>
    <row r="130" customFormat="false" ht="15" hidden="false" customHeight="false" outlineLevel="0" collapsed="false">
      <c r="A130" s="0" t="s">
        <v>173</v>
      </c>
      <c r="C130" s="11" t="n">
        <v>1</v>
      </c>
      <c r="E130" s="2" t="s">
        <v>174</v>
      </c>
    </row>
    <row r="131" customFormat="false" ht="15" hidden="false" customHeight="false" outlineLevel="0" collapsed="false">
      <c r="A131" s="0" t="s">
        <v>175</v>
      </c>
      <c r="C131" s="6" t="n">
        <v>0.005</v>
      </c>
      <c r="E131" s="2" t="s">
        <v>176</v>
      </c>
    </row>
    <row r="132" customFormat="false" ht="15" hidden="false" customHeight="false" outlineLevel="0" collapsed="false">
      <c r="A132" s="0" t="s">
        <v>177</v>
      </c>
      <c r="C132" s="6" t="n">
        <v>0.75</v>
      </c>
      <c r="E132" s="2" t="s">
        <v>178</v>
      </c>
    </row>
    <row r="134" customFormat="false" ht="15" hidden="false" customHeight="false" outlineLevel="0" collapsed="false">
      <c r="A134" s="3" t="s">
        <v>179</v>
      </c>
      <c r="B134" s="3"/>
      <c r="C134" s="3"/>
      <c r="D134" s="3"/>
      <c r="E134" s="3"/>
      <c r="F134" s="3"/>
    </row>
    <row r="135" customFormat="false" ht="15" hidden="false" customHeight="false" outlineLevel="0" collapsed="false">
      <c r="A135" s="2" t="s">
        <v>180</v>
      </c>
    </row>
    <row r="136" customFormat="false" ht="15" hidden="false" customHeight="false" outlineLevel="0" collapsed="false">
      <c r="A136" s="0" t="s">
        <v>181</v>
      </c>
      <c r="C136" s="11" t="n">
        <v>2</v>
      </c>
      <c r="E136" s="2" t="s">
        <v>182</v>
      </c>
    </row>
    <row r="137" customFormat="false" ht="15" hidden="false" customHeight="false" outlineLevel="0" collapsed="false">
      <c r="A137" s="0" t="s">
        <v>183</v>
      </c>
      <c r="C137" s="14" t="n">
        <v>0.0374</v>
      </c>
      <c r="E137" s="2" t="s">
        <v>184</v>
      </c>
    </row>
    <row r="138" customFormat="false" ht="15" hidden="false" customHeight="false" outlineLevel="0" collapsed="false">
      <c r="A138" s="0" t="s">
        <v>185</v>
      </c>
      <c r="C138" s="14" t="n">
        <v>0.03</v>
      </c>
      <c r="E138" s="2" t="s">
        <v>186</v>
      </c>
    </row>
    <row r="139" customFormat="false" ht="15" hidden="false" customHeight="false" outlineLevel="0" collapsed="false">
      <c r="A139" s="0" t="s">
        <v>187</v>
      </c>
      <c r="C139" s="15" t="n">
        <f aca="false">Assumptions!$C$137+Assumptions!$C$138</f>
        <v>0.0674</v>
      </c>
    </row>
    <row r="140" customFormat="false" ht="15" hidden="false" customHeight="false" outlineLevel="0" collapsed="false">
      <c r="A140" s="0" t="s">
        <v>188</v>
      </c>
      <c r="C140" s="14" t="n">
        <v>0.045</v>
      </c>
      <c r="E140" s="2" t="s">
        <v>189</v>
      </c>
    </row>
    <row r="141" customFormat="false" ht="15" hidden="false" customHeight="false" outlineLevel="0" collapsed="false">
      <c r="A141" s="0" t="s">
        <v>190</v>
      </c>
      <c r="C141" s="14" t="n">
        <v>0.0108</v>
      </c>
      <c r="E141" s="2" t="s">
        <v>191</v>
      </c>
    </row>
    <row r="142" customFormat="false" ht="15" hidden="false" customHeight="false" outlineLevel="0" collapsed="false">
      <c r="A142" s="0" t="s">
        <v>192</v>
      </c>
      <c r="C142" s="17" t="n">
        <f aca="false">Assumptions!$C$140+Assumptions!$C$138</f>
        <v>0.075</v>
      </c>
    </row>
    <row r="143" customFormat="false" ht="15" hidden="false" customHeight="false" outlineLevel="0" collapsed="false">
      <c r="A143" s="0" t="s">
        <v>193</v>
      </c>
      <c r="C143" s="11" t="n">
        <v>1</v>
      </c>
      <c r="E143" s="2" t="s">
        <v>194</v>
      </c>
    </row>
    <row r="144" customFormat="false" ht="15" hidden="false" customHeight="false" outlineLevel="0" collapsed="false">
      <c r="A144" s="0" t="s">
        <v>195</v>
      </c>
      <c r="C144" s="6" t="n">
        <v>0</v>
      </c>
      <c r="E144" s="2" t="s">
        <v>196</v>
      </c>
    </row>
    <row r="145" customFormat="false" ht="15" hidden="false" customHeight="false" outlineLevel="0" collapsed="false">
      <c r="A145" s="0" t="s">
        <v>197</v>
      </c>
      <c r="C145" s="14" t="n">
        <v>0.0506</v>
      </c>
      <c r="E145" s="2" t="s">
        <v>198</v>
      </c>
    </row>
    <row r="146" customFormat="false" ht="15" hidden="false" customHeight="false" outlineLevel="0" collapsed="false">
      <c r="A146" s="0" t="s">
        <v>199</v>
      </c>
      <c r="C146" s="15" t="n">
        <f aca="false">Assumptions!$C$145+Assumptions!$C$106</f>
        <v>0.0706</v>
      </c>
      <c r="E146" s="2" t="s">
        <v>200</v>
      </c>
    </row>
    <row r="147" customFormat="false" ht="15" hidden="false" customHeight="false" outlineLevel="0" collapsed="false">
      <c r="A147" s="0" t="s">
        <v>201</v>
      </c>
      <c r="C147" s="6" t="n">
        <v>0.05</v>
      </c>
      <c r="E147" s="2" t="s">
        <v>202</v>
      </c>
    </row>
    <row r="148" customFormat="false" ht="15" hidden="false" customHeight="false" outlineLevel="0" collapsed="false">
      <c r="A148" s="0" t="s">
        <v>203</v>
      </c>
      <c r="C148" s="6" t="n">
        <v>0.04</v>
      </c>
    </row>
    <row r="149" customFormat="false" ht="15" hidden="false" customHeight="false" outlineLevel="0" collapsed="false">
      <c r="A149" s="0" t="s">
        <v>204</v>
      </c>
      <c r="C149" s="6" t="n">
        <v>0.03</v>
      </c>
    </row>
    <row r="150" customFormat="false" ht="15" hidden="false" customHeight="false" outlineLevel="0" collapsed="false">
      <c r="A150" s="0" t="s">
        <v>205</v>
      </c>
      <c r="C150" s="6" t="n">
        <v>0.02</v>
      </c>
    </row>
    <row r="151" customFormat="false" ht="15" hidden="false" customHeight="false" outlineLevel="0" collapsed="false">
      <c r="A151" s="0" t="s">
        <v>206</v>
      </c>
      <c r="C151" s="6" t="n">
        <v>0.01</v>
      </c>
    </row>
    <row r="153" customFormat="false" ht="15" hidden="false" customHeight="false" outlineLevel="0" collapsed="false">
      <c r="A153" s="3" t="s">
        <v>207</v>
      </c>
      <c r="B153" s="3"/>
      <c r="C153" s="3"/>
      <c r="D153" s="3"/>
      <c r="E153" s="3"/>
      <c r="F153" s="3"/>
    </row>
    <row r="154" customFormat="false" ht="15" hidden="false" customHeight="false" outlineLevel="0" collapsed="false">
      <c r="A154" s="0" t="s">
        <v>208</v>
      </c>
      <c r="C154" s="18" t="n">
        <v>5</v>
      </c>
      <c r="E154" s="2" t="s">
        <v>209</v>
      </c>
    </row>
    <row r="155" customFormat="false" ht="15" hidden="false" customHeight="false" outlineLevel="0" collapsed="false">
      <c r="A155" s="0" t="s">
        <v>210</v>
      </c>
      <c r="C155" s="14" t="n">
        <v>0.056</v>
      </c>
      <c r="E155" s="2" t="s">
        <v>211</v>
      </c>
    </row>
    <row r="156" customFormat="false" ht="15" hidden="false" customHeight="false" outlineLevel="0" collapsed="false">
      <c r="A156" s="0" t="s">
        <v>212</v>
      </c>
      <c r="C156" s="14" t="n">
        <v>0.01</v>
      </c>
      <c r="E156" s="2" t="s">
        <v>213</v>
      </c>
    </row>
    <row r="157" customFormat="false" ht="15" hidden="false" customHeight="false" outlineLevel="0" collapsed="false">
      <c r="A157" s="0" t="s">
        <v>214</v>
      </c>
      <c r="C157" s="15" t="n">
        <f aca="false">Assumptions!$C$155+Assumptions!$C$156</f>
        <v>0.066</v>
      </c>
      <c r="E157" s="2" t="s">
        <v>215</v>
      </c>
    </row>
    <row r="158" customFormat="false" ht="15" hidden="false" customHeight="false" outlineLevel="0" collapsed="false">
      <c r="A158" s="0" t="s">
        <v>216</v>
      </c>
      <c r="C158" s="6" t="n">
        <v>0.02</v>
      </c>
    </row>
    <row r="160" customFormat="false" ht="15" hidden="false" customHeight="false" outlineLevel="0" collapsed="false">
      <c r="A160" s="3" t="s">
        <v>217</v>
      </c>
      <c r="B160" s="3"/>
      <c r="C160" s="3"/>
      <c r="D160" s="3"/>
      <c r="E160" s="3"/>
      <c r="F160" s="3"/>
    </row>
    <row r="161" customFormat="false" ht="15" hidden="false" customHeight="false" outlineLevel="0" collapsed="false">
      <c r="A161" s="0" t="s">
        <v>218</v>
      </c>
      <c r="C161" s="14" t="n">
        <v>0.005</v>
      </c>
      <c r="E161" s="2" t="s">
        <v>219</v>
      </c>
    </row>
    <row r="162" customFormat="false" ht="15" hidden="false" customHeight="false" outlineLevel="0" collapsed="false">
      <c r="A162" s="0" t="s">
        <v>220</v>
      </c>
      <c r="C162" s="6" t="n">
        <v>0.05</v>
      </c>
    </row>
    <row r="163" customFormat="false" ht="15" hidden="false" customHeight="false" outlineLevel="0" collapsed="false">
      <c r="A163" s="0" t="s">
        <v>221</v>
      </c>
      <c r="C163" s="14" t="n">
        <v>0.005</v>
      </c>
    </row>
    <row r="164" customFormat="false" ht="15" hidden="false" customHeight="false" outlineLevel="0" collapsed="false">
      <c r="A164" s="0" t="s">
        <v>222</v>
      </c>
      <c r="C164" s="6" t="n">
        <v>0.1</v>
      </c>
    </row>
    <row r="165" customFormat="false" ht="15" hidden="false" customHeight="false" outlineLevel="0" collapsed="false">
      <c r="A165" s="0" t="s">
        <v>223</v>
      </c>
      <c r="C165" s="5" t="n">
        <v>50</v>
      </c>
    </row>
    <row r="167" customFormat="false" ht="15" hidden="false" customHeight="false" outlineLevel="0" collapsed="false">
      <c r="A167" s="3" t="s">
        <v>224</v>
      </c>
      <c r="B167" s="3"/>
      <c r="C167" s="3"/>
      <c r="D167" s="3"/>
      <c r="E167" s="3"/>
      <c r="F167" s="3"/>
    </row>
    <row r="168" customFormat="false" ht="15" hidden="false" customHeight="false" outlineLevel="0" collapsed="false">
      <c r="A168" s="0" t="s">
        <v>225</v>
      </c>
      <c r="C168" s="6" t="n">
        <v>0.08</v>
      </c>
    </row>
    <row r="169" customFormat="false" ht="15" hidden="false" customHeight="false" outlineLevel="0" collapsed="false">
      <c r="A169" s="0" t="s">
        <v>226</v>
      </c>
      <c r="C169" s="6" t="n">
        <v>0.7</v>
      </c>
    </row>
    <row r="170" customFormat="false" ht="15" hidden="false" customHeight="false" outlineLevel="0" collapsed="false">
      <c r="A170" s="0" t="s">
        <v>227</v>
      </c>
      <c r="C170" s="6" t="n">
        <v>0.3</v>
      </c>
    </row>
    <row r="171" customFormat="false" ht="15" hidden="false" customHeight="false" outlineLevel="0" collapsed="false">
      <c r="A171" s="0" t="s">
        <v>228</v>
      </c>
      <c r="C171" s="6" t="n">
        <v>0.12</v>
      </c>
    </row>
    <row r="172" customFormat="false" ht="15" hidden="false" customHeight="false" outlineLevel="0" collapsed="false">
      <c r="A172" s="0" t="s">
        <v>229</v>
      </c>
      <c r="C172" s="6" t="n">
        <v>0.5</v>
      </c>
    </row>
    <row r="173" customFormat="false" ht="15" hidden="false" customHeight="false" outlineLevel="0" collapsed="false">
      <c r="A173" s="0" t="s">
        <v>230</v>
      </c>
      <c r="C173" s="6" t="n">
        <v>0.5</v>
      </c>
    </row>
    <row r="174" customFormat="false" ht="15" hidden="false" customHeight="false" outlineLevel="0" collapsed="false">
      <c r="A174" s="0" t="s">
        <v>231</v>
      </c>
      <c r="C174" s="6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1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232</v>
      </c>
    </row>
    <row r="3" customFormat="false" ht="15" hidden="false" customHeight="false" outlineLevel="0" collapsed="false">
      <c r="A3" s="2" t="s">
        <v>233</v>
      </c>
    </row>
    <row r="5" customFormat="false" ht="15" hidden="false" customHeight="false" outlineLevel="0" collapsed="false">
      <c r="A5" s="19" t="s">
        <v>234</v>
      </c>
      <c r="B5" s="19" t="s">
        <v>235</v>
      </c>
      <c r="C5" s="19" t="s">
        <v>236</v>
      </c>
      <c r="D5" s="19" t="s">
        <v>237</v>
      </c>
      <c r="E5" s="19" t="s">
        <v>238</v>
      </c>
      <c r="F5" s="19" t="s">
        <v>239</v>
      </c>
      <c r="G5" s="19" t="s">
        <v>240</v>
      </c>
      <c r="H5" s="19" t="s">
        <v>241</v>
      </c>
    </row>
    <row r="6" customFormat="false" ht="15" hidden="false" customHeight="false" outlineLevel="0" collapsed="false">
      <c r="A6" s="0" t="s">
        <v>242</v>
      </c>
      <c r="B6" s="11" t="n">
        <v>19</v>
      </c>
      <c r="C6" s="11" t="n">
        <v>5</v>
      </c>
      <c r="D6" s="20" t="n">
        <f aca="false">B6-C6</f>
        <v>14</v>
      </c>
      <c r="E6" s="11" t="n">
        <v>645</v>
      </c>
      <c r="F6" s="5" t="n">
        <v>1275</v>
      </c>
      <c r="G6" s="21" t="n">
        <f aca="false">F6+Assumptions!$C$49*(H6-F6)</f>
        <v>1453.75</v>
      </c>
      <c r="H6" s="5" t="n">
        <v>1550</v>
      </c>
    </row>
    <row r="7" customFormat="false" ht="15" hidden="false" customHeight="false" outlineLevel="0" collapsed="false">
      <c r="A7" s="0" t="s">
        <v>243</v>
      </c>
      <c r="B7" s="11" t="n">
        <v>51</v>
      </c>
      <c r="C7" s="11" t="n">
        <v>13</v>
      </c>
      <c r="D7" s="20" t="n">
        <f aca="false">B7-C7</f>
        <v>38</v>
      </c>
      <c r="E7" s="11" t="n">
        <v>685</v>
      </c>
      <c r="F7" s="5" t="n">
        <v>1475</v>
      </c>
      <c r="G7" s="21" t="n">
        <f aca="false">F7+Assumptions!$C$49*(H7-F7)</f>
        <v>1673.25</v>
      </c>
      <c r="H7" s="5" t="n">
        <v>1780</v>
      </c>
    </row>
    <row r="8" customFormat="false" ht="15" hidden="false" customHeight="false" outlineLevel="0" collapsed="false">
      <c r="A8" s="0" t="s">
        <v>244</v>
      </c>
      <c r="B8" s="11" t="n">
        <v>17</v>
      </c>
      <c r="C8" s="11" t="n">
        <v>4</v>
      </c>
      <c r="D8" s="20" t="n">
        <f aca="false">B8-C8</f>
        <v>13</v>
      </c>
      <c r="E8" s="11" t="n">
        <v>740</v>
      </c>
      <c r="F8" s="5" t="n">
        <v>1700</v>
      </c>
      <c r="G8" s="21" t="n">
        <f aca="false">F8+Assumptions!$C$49*(H8-F8)</f>
        <v>1927.5</v>
      </c>
      <c r="H8" s="5" t="n">
        <v>2050</v>
      </c>
    </row>
    <row r="9" customFormat="false" ht="15" hidden="false" customHeight="false" outlineLevel="0" collapsed="false">
      <c r="A9" s="0" t="s">
        <v>245</v>
      </c>
      <c r="B9" s="11" t="n">
        <v>10</v>
      </c>
      <c r="C9" s="11" t="n">
        <v>2</v>
      </c>
      <c r="D9" s="20" t="n">
        <f aca="false">B9-C9</f>
        <v>8</v>
      </c>
      <c r="E9" s="11" t="n">
        <v>740</v>
      </c>
      <c r="F9" s="5" t="n">
        <v>1825</v>
      </c>
      <c r="G9" s="21" t="n">
        <f aca="false">F9+Assumptions!$C$49*(H9-F9)</f>
        <v>2068.75</v>
      </c>
      <c r="H9" s="5" t="n">
        <v>2200</v>
      </c>
    </row>
    <row r="10" customFormat="false" ht="15" hidden="false" customHeight="false" outlineLevel="0" collapsed="false">
      <c r="A10" s="19" t="s">
        <v>246</v>
      </c>
      <c r="B10" s="4" t="n">
        <f aca="false">SUM(B6:B9)</f>
        <v>97</v>
      </c>
      <c r="C10" s="4" t="n">
        <f aca="false">SUM(C6:C9)</f>
        <v>24</v>
      </c>
      <c r="D10" s="4" t="n">
        <f aca="false">SUM(D6:D9)</f>
        <v>73</v>
      </c>
    </row>
    <row r="12" customFormat="false" ht="15" hidden="false" customHeight="false" outlineLevel="0" collapsed="false">
      <c r="A12" s="3" t="s">
        <v>247</v>
      </c>
      <c r="B12" s="3"/>
      <c r="C12" s="3"/>
      <c r="D12" s="3"/>
    </row>
    <row r="13" customFormat="false" ht="15" hidden="false" customHeight="false" outlineLevel="0" collapsed="false">
      <c r="A13" s="19" t="s">
        <v>234</v>
      </c>
      <c r="B13" s="19" t="s">
        <v>236</v>
      </c>
      <c r="C13" s="19" t="s">
        <v>248</v>
      </c>
      <c r="D13" s="19" t="s">
        <v>249</v>
      </c>
    </row>
    <row r="14" customFormat="false" ht="15" hidden="false" customHeight="false" outlineLevel="0" collapsed="false">
      <c r="A14" s="0" t="s">
        <v>242</v>
      </c>
      <c r="B14" s="20" t="n">
        <f aca="false">C6</f>
        <v>5</v>
      </c>
      <c r="C14" s="21" t="n">
        <f aca="false">Assumptions!$C$35</f>
        <v>20460</v>
      </c>
      <c r="D14" s="21" t="n">
        <f aca="false">B14*C14</f>
        <v>102300</v>
      </c>
    </row>
    <row r="15" customFormat="false" ht="15" hidden="false" customHeight="false" outlineLevel="0" collapsed="false">
      <c r="A15" s="0" t="s">
        <v>243</v>
      </c>
      <c r="B15" s="20" t="n">
        <f aca="false">C7</f>
        <v>13</v>
      </c>
      <c r="C15" s="21" t="n">
        <f aca="false">Assumptions!$C$35</f>
        <v>20460</v>
      </c>
      <c r="D15" s="21" t="n">
        <f aca="false">B15*C15</f>
        <v>265980</v>
      </c>
    </row>
    <row r="16" customFormat="false" ht="15" hidden="false" customHeight="false" outlineLevel="0" collapsed="false">
      <c r="A16" s="0" t="s">
        <v>244</v>
      </c>
      <c r="B16" s="20" t="n">
        <f aca="false">C8</f>
        <v>4</v>
      </c>
      <c r="C16" s="21" t="n">
        <f aca="false">Assumptions!$C$35</f>
        <v>20460</v>
      </c>
      <c r="D16" s="21" t="n">
        <f aca="false">B16*C16</f>
        <v>81840</v>
      </c>
    </row>
    <row r="17" customFormat="false" ht="15" hidden="false" customHeight="false" outlineLevel="0" collapsed="false">
      <c r="A17" s="0" t="s">
        <v>245</v>
      </c>
      <c r="B17" s="20" t="n">
        <f aca="false">C9</f>
        <v>2</v>
      </c>
      <c r="C17" s="21" t="n">
        <f aca="false">Assumptions!$C$35</f>
        <v>20460</v>
      </c>
      <c r="D17" s="21" t="n">
        <f aca="false">B17*C17</f>
        <v>40920</v>
      </c>
    </row>
    <row r="18" customFormat="false" ht="15" hidden="false" customHeight="false" outlineLevel="0" collapsed="false">
      <c r="A18" s="19" t="s">
        <v>250</v>
      </c>
      <c r="D18" s="10" t="n">
        <f aca="false">SUM(D14:D17)</f>
        <v>491040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251</v>
      </c>
    </row>
    <row r="4" customFormat="false" ht="15" hidden="false" customHeight="false" outlineLevel="0" collapsed="false">
      <c r="A4" s="19" t="s">
        <v>252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</row>
    <row r="5" customFormat="false" ht="15" hidden="false" customHeight="false" outlineLevel="0" collapsed="false">
      <c r="A5" s="0" t="s">
        <v>253</v>
      </c>
      <c r="B5" s="11" t="n">
        <v>2027</v>
      </c>
      <c r="C5" s="20" t="n">
        <f aca="false">B5+1</f>
        <v>2028</v>
      </c>
      <c r="D5" s="20" t="n">
        <f aca="false">C5+1</f>
        <v>2029</v>
      </c>
      <c r="E5" s="20" t="n">
        <f aca="false">D5+1</f>
        <v>2030</v>
      </c>
      <c r="F5" s="20" t="n">
        <f aca="false">E5+1</f>
        <v>2031</v>
      </c>
      <c r="G5" s="20" t="n">
        <f aca="false">F5+1</f>
        <v>2032</v>
      </c>
      <c r="H5" s="20" t="n">
        <f aca="false">G5+1</f>
        <v>2033</v>
      </c>
      <c r="I5" s="20" t="n">
        <f aca="false">H5+1</f>
        <v>2034</v>
      </c>
      <c r="J5" s="20" t="n">
        <f aca="false">I5+1</f>
        <v>2035</v>
      </c>
      <c r="K5" s="20" t="n">
        <f aca="false">J5+1</f>
        <v>2036</v>
      </c>
    </row>
    <row r="6" customFormat="false" ht="15" hidden="false" customHeight="false" outlineLevel="0" collapsed="false">
      <c r="A6" s="0" t="s">
        <v>254</v>
      </c>
      <c r="B6" s="22" t="n">
        <f aca="false">Assumptions!$C$52</f>
        <v>0.01</v>
      </c>
      <c r="C6" s="22" t="n">
        <f aca="false">Assumptions!$C$53</f>
        <v>0.0175</v>
      </c>
      <c r="D6" s="22" t="n">
        <f aca="false">Assumptions!$C$54</f>
        <v>0.025</v>
      </c>
      <c r="E6" s="22" t="n">
        <f aca="false">Assumptions!$C$55</f>
        <v>0.03</v>
      </c>
      <c r="F6" s="22" t="n">
        <f aca="false">Assumptions!$C$56</f>
        <v>0.03</v>
      </c>
      <c r="G6" s="22" t="n">
        <f aca="false">Assumptions!$C$57</f>
        <v>0.03</v>
      </c>
      <c r="H6" s="22" t="n">
        <f aca="false">Assumptions!$C$58</f>
        <v>0.03</v>
      </c>
      <c r="I6" s="22" t="n">
        <f aca="false">Assumptions!$C$59</f>
        <v>0.03</v>
      </c>
      <c r="J6" s="22" t="n">
        <f aca="false">Assumptions!$C$60</f>
        <v>0.03</v>
      </c>
      <c r="K6" s="22" t="n">
        <f aca="false">Assumptions!$C$61</f>
        <v>0.03</v>
      </c>
    </row>
    <row r="8" customFormat="false" ht="15" hidden="false" customHeight="false" outlineLevel="0" collapsed="false">
      <c r="A8" s="3" t="s">
        <v>255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false" outlineLevel="0" collapsed="false">
      <c r="A9" s="19" t="s">
        <v>256</v>
      </c>
      <c r="B9" s="21" t="n">
        <f aca="false">'Unit Mix'!$H$6*(1+B$6)</f>
        <v>1565.5</v>
      </c>
      <c r="C9" s="21" t="n">
        <f aca="false">B9*(1+C$6)</f>
        <v>1592.89625</v>
      </c>
      <c r="D9" s="21" t="n">
        <f aca="false">C9*(1+D$6)</f>
        <v>1632.71865625</v>
      </c>
      <c r="E9" s="21" t="n">
        <f aca="false">D9*(1+E$6)</f>
        <v>1681.7002159375</v>
      </c>
      <c r="F9" s="21" t="n">
        <f aca="false">E9*(1+F$6)</f>
        <v>1732.15122241563</v>
      </c>
      <c r="G9" s="21" t="n">
        <f aca="false">F9*(1+G$6)</f>
        <v>1784.11575908809</v>
      </c>
      <c r="H9" s="21" t="n">
        <f aca="false">G9*(1+H$6)</f>
        <v>1837.63923186074</v>
      </c>
      <c r="I9" s="21" t="n">
        <f aca="false">H9*(1+I$6)</f>
        <v>1892.76840881656</v>
      </c>
      <c r="J9" s="21" t="n">
        <f aca="false">I9*(1+J$6)</f>
        <v>1949.55146108106</v>
      </c>
      <c r="K9" s="21" t="n">
        <f aca="false">J9*(1+K$6)</f>
        <v>2008.03800491349</v>
      </c>
    </row>
    <row r="10" customFormat="false" ht="15" hidden="false" customHeight="false" outlineLevel="0" collapsed="false">
      <c r="A10" s="0" t="s">
        <v>257</v>
      </c>
      <c r="B10" s="21" t="n">
        <f aca="false">'Unit Mix'!$F$6*(1-Assumptions!$C$39)+(B9+Assumptions!$C$37)*Assumptions!$C$39</f>
        <v>1420.25</v>
      </c>
      <c r="C10" s="21" t="n">
        <f aca="false">C9+Assumptions!$C$37</f>
        <v>1592.89625</v>
      </c>
      <c r="D10" s="21" t="n">
        <f aca="false">D9+Assumptions!$C$37</f>
        <v>1632.71865625</v>
      </c>
      <c r="E10" s="21" t="n">
        <f aca="false">E9+Assumptions!$C$37</f>
        <v>1681.7002159375</v>
      </c>
      <c r="F10" s="21" t="n">
        <f aca="false">F9+Assumptions!$C$37</f>
        <v>1732.15122241563</v>
      </c>
      <c r="G10" s="21" t="n">
        <f aca="false">G9+Assumptions!$C$37</f>
        <v>1784.11575908809</v>
      </c>
      <c r="H10" s="21" t="n">
        <f aca="false">H9+Assumptions!$C$37</f>
        <v>1837.63923186074</v>
      </c>
      <c r="I10" s="21" t="n">
        <f aca="false">I9+Assumptions!$C$37</f>
        <v>1892.76840881656</v>
      </c>
      <c r="J10" s="21" t="n">
        <f aca="false">J9+Assumptions!$C$37</f>
        <v>1949.55146108106</v>
      </c>
      <c r="K10" s="21" t="n">
        <f aca="false">K9+Assumptions!$C$37</f>
        <v>2008.03800491349</v>
      </c>
    </row>
    <row r="11" customFormat="false" ht="15" hidden="false" customHeight="false" outlineLevel="0" collapsed="false">
      <c r="A11" s="0" t="s">
        <v>258</v>
      </c>
      <c r="B11" s="21" t="n">
        <f aca="false">'Unit Mix'!$G$6+Assumptions!$C$48*Assumptions!$C$47*(B9-'Unit Mix'!$G$6)</f>
        <v>1484.48125</v>
      </c>
      <c r="C11" s="21" t="n">
        <f aca="false">B11+Assumptions!$C$48*Assumptions!$C$47*(C9-B11)</f>
        <v>1514.295375</v>
      </c>
      <c r="D11" s="21" t="n">
        <f aca="false">C11+Assumptions!$C$48*Assumptions!$C$47*(D9-C11)</f>
        <v>1546.86177734375</v>
      </c>
      <c r="E11" s="21" t="n">
        <f aca="false">D11+Assumptions!$C$48*Assumptions!$C$47*(E9-D11)</f>
        <v>1583.94234795703</v>
      </c>
      <c r="F11" s="21" t="n">
        <f aca="false">E11+Assumptions!$C$48*Assumptions!$C$47*(F9-E11)</f>
        <v>1624.69978843314</v>
      </c>
      <c r="G11" s="21" t="n">
        <f aca="false">F11+Assumptions!$C$48*Assumptions!$C$47*(G9-F11)</f>
        <v>1668.53918036326</v>
      </c>
      <c r="H11" s="21" t="n">
        <f aca="false">G11+Assumptions!$C$48*Assumptions!$C$47*(H9-G11)</f>
        <v>1715.04169452506</v>
      </c>
      <c r="I11" s="21" t="n">
        <f aca="false">H11+Assumptions!$C$48*Assumptions!$C$47*(I9-H11)</f>
        <v>1763.91654095522</v>
      </c>
      <c r="J11" s="21" t="n">
        <f aca="false">I11+Assumptions!$C$48*Assumptions!$C$47*(J9-I11)</f>
        <v>1814.96614398983</v>
      </c>
      <c r="K11" s="21" t="n">
        <f aca="false">J11+Assumptions!$C$48*Assumptions!$C$47*(K9-J11)</f>
        <v>1868.06090574383</v>
      </c>
    </row>
    <row r="12" customFormat="false" ht="15" hidden="false" customHeight="false" outlineLevel="0" collapsed="false">
      <c r="A12" s="19" t="s">
        <v>259</v>
      </c>
      <c r="B12" s="21" t="n">
        <f aca="false">'Unit Mix'!$H$7*(1+B$6)</f>
        <v>1797.8</v>
      </c>
      <c r="C12" s="21" t="n">
        <f aca="false">B12*(1+C$6)</f>
        <v>1829.2615</v>
      </c>
      <c r="D12" s="21" t="n">
        <f aca="false">C12*(1+D$6)</f>
        <v>1874.9930375</v>
      </c>
      <c r="E12" s="21" t="n">
        <f aca="false">D12*(1+E$6)</f>
        <v>1931.242828625</v>
      </c>
      <c r="F12" s="21" t="n">
        <f aca="false">E12*(1+F$6)</f>
        <v>1989.18011348375</v>
      </c>
      <c r="G12" s="21" t="n">
        <f aca="false">F12*(1+G$6)</f>
        <v>2048.85551688826</v>
      </c>
      <c r="H12" s="21" t="n">
        <f aca="false">G12*(1+H$6)</f>
        <v>2110.32118239491</v>
      </c>
      <c r="I12" s="21" t="n">
        <f aca="false">H12*(1+I$6)</f>
        <v>2173.63081786676</v>
      </c>
      <c r="J12" s="21" t="n">
        <f aca="false">I12*(1+J$6)</f>
        <v>2238.83974240276</v>
      </c>
      <c r="K12" s="21" t="n">
        <f aca="false">J12*(1+K$6)</f>
        <v>2306.00493467484</v>
      </c>
    </row>
    <row r="13" customFormat="false" ht="15" hidden="false" customHeight="false" outlineLevel="0" collapsed="false">
      <c r="A13" s="0" t="s">
        <v>260</v>
      </c>
      <c r="B13" s="21" t="n">
        <f aca="false">'Unit Mix'!$F$7*(1-Assumptions!$C$39)+(B12+Assumptions!$C$37)*Assumptions!$C$39</f>
        <v>1636.4</v>
      </c>
      <c r="C13" s="21" t="n">
        <f aca="false">C12+Assumptions!$C$37</f>
        <v>1829.2615</v>
      </c>
      <c r="D13" s="21" t="n">
        <f aca="false">D12+Assumptions!$C$37</f>
        <v>1874.9930375</v>
      </c>
      <c r="E13" s="21" t="n">
        <f aca="false">E12+Assumptions!$C$37</f>
        <v>1931.242828625</v>
      </c>
      <c r="F13" s="21" t="n">
        <f aca="false">F12+Assumptions!$C$37</f>
        <v>1989.18011348375</v>
      </c>
      <c r="G13" s="21" t="n">
        <f aca="false">G12+Assumptions!$C$37</f>
        <v>2048.85551688826</v>
      </c>
      <c r="H13" s="21" t="n">
        <f aca="false">H12+Assumptions!$C$37</f>
        <v>2110.32118239491</v>
      </c>
      <c r="I13" s="21" t="n">
        <f aca="false">I12+Assumptions!$C$37</f>
        <v>2173.63081786676</v>
      </c>
      <c r="J13" s="21" t="n">
        <f aca="false">J12+Assumptions!$C$37</f>
        <v>2238.83974240276</v>
      </c>
      <c r="K13" s="21" t="n">
        <f aca="false">K12+Assumptions!$C$37</f>
        <v>2306.00493467484</v>
      </c>
    </row>
    <row r="14" customFormat="false" ht="15" hidden="false" customHeight="false" outlineLevel="0" collapsed="false">
      <c r="A14" s="0" t="s">
        <v>261</v>
      </c>
      <c r="B14" s="21" t="n">
        <f aca="false">'Unit Mix'!$G$7+Assumptions!$C$48*Assumptions!$C$47*(B12-'Unit Mix'!$G$7)</f>
        <v>1707.50125</v>
      </c>
      <c r="C14" s="21" t="n">
        <f aca="false">B14+Assumptions!$C$48*Assumptions!$C$47*(C12-B14)</f>
        <v>1740.98531875</v>
      </c>
      <c r="D14" s="21" t="n">
        <f aca="false">C14+Assumptions!$C$48*Assumptions!$C$47*(D12-C14)</f>
        <v>1777.83744140625</v>
      </c>
      <c r="E14" s="21" t="n">
        <f aca="false">D14+Assumptions!$C$48*Assumptions!$C$47*(E12-D14)</f>
        <v>1820.02392289141</v>
      </c>
      <c r="F14" s="21" t="n">
        <f aca="false">E14+Assumptions!$C$48*Assumptions!$C$47*(F12-E14)</f>
        <v>1866.5418753043</v>
      </c>
      <c r="G14" s="21" t="n">
        <f aca="false">F14+Assumptions!$C$48*Assumptions!$C$47*(G12-F14)</f>
        <v>1916.67812673989</v>
      </c>
      <c r="H14" s="21" t="n">
        <f aca="false">G14+Assumptions!$C$48*Assumptions!$C$47*(H12-G14)</f>
        <v>1969.92996704502</v>
      </c>
      <c r="I14" s="21" t="n">
        <f aca="false">H14+Assumptions!$C$48*Assumptions!$C$47*(I12-H14)</f>
        <v>2025.947701021</v>
      </c>
      <c r="J14" s="21" t="n">
        <f aca="false">I14+Assumptions!$C$48*Assumptions!$C$47*(J12-I14)</f>
        <v>2084.49301240098</v>
      </c>
      <c r="K14" s="21" t="n">
        <f aca="false">J14+Assumptions!$C$48*Assumptions!$C$47*(K12-J14)</f>
        <v>2145.40879102629</v>
      </c>
    </row>
    <row r="15" customFormat="false" ht="15" hidden="false" customHeight="false" outlineLevel="0" collapsed="false">
      <c r="A15" s="19" t="s">
        <v>262</v>
      </c>
      <c r="B15" s="21" t="n">
        <f aca="false">'Unit Mix'!$H$8*(1+B$6)</f>
        <v>2070.5</v>
      </c>
      <c r="C15" s="21" t="n">
        <f aca="false">B15*(1+C$6)</f>
        <v>2106.73375</v>
      </c>
      <c r="D15" s="21" t="n">
        <f aca="false">C15*(1+D$6)</f>
        <v>2159.40209375</v>
      </c>
      <c r="E15" s="21" t="n">
        <f aca="false">D15*(1+E$6)</f>
        <v>2224.1841565625</v>
      </c>
      <c r="F15" s="21" t="n">
        <f aca="false">E15*(1+F$6)</f>
        <v>2290.90968125938</v>
      </c>
      <c r="G15" s="21" t="n">
        <f aca="false">F15*(1+G$6)</f>
        <v>2359.63697169716</v>
      </c>
      <c r="H15" s="21" t="n">
        <f aca="false">G15*(1+H$6)</f>
        <v>2430.42608084807</v>
      </c>
      <c r="I15" s="21" t="n">
        <f aca="false">H15*(1+I$6)</f>
        <v>2503.33886327351</v>
      </c>
      <c r="J15" s="21" t="n">
        <f aca="false">I15*(1+J$6)</f>
        <v>2578.43902917172</v>
      </c>
      <c r="K15" s="21" t="n">
        <f aca="false">J15*(1+K$6)</f>
        <v>2655.79220004687</v>
      </c>
    </row>
    <row r="16" customFormat="false" ht="15" hidden="false" customHeight="false" outlineLevel="0" collapsed="false">
      <c r="A16" s="0" t="s">
        <v>263</v>
      </c>
      <c r="B16" s="21" t="n">
        <f aca="false">'Unit Mix'!$F$8*(1-Assumptions!$C$39)+(B15+Assumptions!$C$37)*Assumptions!$C$39</f>
        <v>1885.25</v>
      </c>
      <c r="C16" s="21" t="n">
        <f aca="false">C15+Assumptions!$C$37</f>
        <v>2106.73375</v>
      </c>
      <c r="D16" s="21" t="n">
        <f aca="false">D15+Assumptions!$C$37</f>
        <v>2159.40209375</v>
      </c>
      <c r="E16" s="21" t="n">
        <f aca="false">E15+Assumptions!$C$37</f>
        <v>2224.1841565625</v>
      </c>
      <c r="F16" s="21" t="n">
        <f aca="false">F15+Assumptions!$C$37</f>
        <v>2290.90968125938</v>
      </c>
      <c r="G16" s="21" t="n">
        <f aca="false">G15+Assumptions!$C$37</f>
        <v>2359.63697169716</v>
      </c>
      <c r="H16" s="21" t="n">
        <f aca="false">H15+Assumptions!$C$37</f>
        <v>2430.42608084807</v>
      </c>
      <c r="I16" s="21" t="n">
        <f aca="false">I15+Assumptions!$C$37</f>
        <v>2503.33886327351</v>
      </c>
      <c r="J16" s="21" t="n">
        <f aca="false">J15+Assumptions!$C$37</f>
        <v>2578.43902917172</v>
      </c>
      <c r="K16" s="21" t="n">
        <f aca="false">K15+Assumptions!$C$37</f>
        <v>2655.79220004687</v>
      </c>
    </row>
    <row r="17" customFormat="false" ht="15" hidden="false" customHeight="false" outlineLevel="0" collapsed="false">
      <c r="A17" s="0" t="s">
        <v>264</v>
      </c>
      <c r="B17" s="21" t="n">
        <f aca="false">'Unit Mix'!$G$8+Assumptions!$C$48*Assumptions!$C$47*(B15-'Unit Mix'!$G$8)</f>
        <v>1966.825</v>
      </c>
      <c r="C17" s="21" t="n">
        <f aca="false">B17+Assumptions!$C$48*Assumptions!$C$47*(C15-B17)</f>
        <v>2005.29990625</v>
      </c>
      <c r="D17" s="21" t="n">
        <f aca="false">C17+Assumptions!$C$48*Assumptions!$C$47*(D15-C17)</f>
        <v>2047.6780078125</v>
      </c>
      <c r="E17" s="21" t="n">
        <f aca="false">D17+Assumptions!$C$48*Assumptions!$C$47*(E15-D17)</f>
        <v>2096.21719871875</v>
      </c>
      <c r="F17" s="21" t="n">
        <f aca="false">E17+Assumptions!$C$48*Assumptions!$C$47*(F15-E17)</f>
        <v>2149.75763141742</v>
      </c>
      <c r="G17" s="21" t="n">
        <f aca="false">F17+Assumptions!$C$48*Assumptions!$C$47*(G15-F17)</f>
        <v>2207.47444999435</v>
      </c>
      <c r="H17" s="21" t="n">
        <f aca="false">G17+Assumptions!$C$48*Assumptions!$C$47*(H15-G17)</f>
        <v>2268.78614847912</v>
      </c>
      <c r="I17" s="21" t="n">
        <f aca="false">H17+Assumptions!$C$48*Assumptions!$C$47*(I15-H17)</f>
        <v>2333.28814504758</v>
      </c>
      <c r="J17" s="21" t="n">
        <f aca="false">I17+Assumptions!$C$48*Assumptions!$C$47*(J15-I17)</f>
        <v>2400.70463818172</v>
      </c>
      <c r="K17" s="21" t="n">
        <f aca="false">J17+Assumptions!$C$48*Assumptions!$C$47*(K15-J17)</f>
        <v>2470.85371769464</v>
      </c>
    </row>
    <row r="18" customFormat="false" ht="15" hidden="false" customHeight="false" outlineLevel="0" collapsed="false">
      <c r="A18" s="19" t="s">
        <v>265</v>
      </c>
      <c r="B18" s="21" t="n">
        <f aca="false">'Unit Mix'!$H$9*(1+B$6)</f>
        <v>2222</v>
      </c>
      <c r="C18" s="21" t="n">
        <f aca="false">B18*(1+C$6)</f>
        <v>2260.885</v>
      </c>
      <c r="D18" s="21" t="n">
        <f aca="false">C18*(1+D$6)</f>
        <v>2317.407125</v>
      </c>
      <c r="E18" s="21" t="n">
        <f aca="false">D18*(1+E$6)</f>
        <v>2386.92933875</v>
      </c>
      <c r="F18" s="21" t="n">
        <f aca="false">E18*(1+F$6)</f>
        <v>2458.5372189125</v>
      </c>
      <c r="G18" s="21" t="n">
        <f aca="false">F18*(1+G$6)</f>
        <v>2532.29333547988</v>
      </c>
      <c r="H18" s="21" t="n">
        <f aca="false">G18*(1+H$6)</f>
        <v>2608.26213554427</v>
      </c>
      <c r="I18" s="21" t="n">
        <f aca="false">H18*(1+I$6)</f>
        <v>2686.5099996106</v>
      </c>
      <c r="J18" s="21" t="n">
        <f aca="false">I18*(1+J$6)</f>
        <v>2767.10529959892</v>
      </c>
      <c r="K18" s="21" t="n">
        <f aca="false">J18*(1+K$6)</f>
        <v>2850.11845858689</v>
      </c>
    </row>
    <row r="19" customFormat="false" ht="15" hidden="false" customHeight="false" outlineLevel="0" collapsed="false">
      <c r="A19" s="0" t="s">
        <v>266</v>
      </c>
      <c r="B19" s="21" t="n">
        <f aca="false">'Unit Mix'!$F$9*(1-Assumptions!$C$39)+(B18+Assumptions!$C$37)*Assumptions!$C$39</f>
        <v>2023.5</v>
      </c>
      <c r="C19" s="21" t="n">
        <f aca="false">C18+Assumptions!$C$37</f>
        <v>2260.885</v>
      </c>
      <c r="D19" s="21" t="n">
        <f aca="false">D18+Assumptions!$C$37</f>
        <v>2317.407125</v>
      </c>
      <c r="E19" s="21" t="n">
        <f aca="false">E18+Assumptions!$C$37</f>
        <v>2386.92933875</v>
      </c>
      <c r="F19" s="21" t="n">
        <f aca="false">F18+Assumptions!$C$37</f>
        <v>2458.5372189125</v>
      </c>
      <c r="G19" s="21" t="n">
        <f aca="false">G18+Assumptions!$C$37</f>
        <v>2532.29333547988</v>
      </c>
      <c r="H19" s="21" t="n">
        <f aca="false">H18+Assumptions!$C$37</f>
        <v>2608.26213554427</v>
      </c>
      <c r="I19" s="21" t="n">
        <f aca="false">I18+Assumptions!$C$37</f>
        <v>2686.5099996106</v>
      </c>
      <c r="J19" s="21" t="n">
        <f aca="false">J18+Assumptions!$C$37</f>
        <v>2767.10529959892</v>
      </c>
      <c r="K19" s="21" t="n">
        <f aca="false">K18+Assumptions!$C$37</f>
        <v>2850.11845858689</v>
      </c>
    </row>
    <row r="20" customFormat="false" ht="15" hidden="false" customHeight="false" outlineLevel="0" collapsed="false">
      <c r="A20" s="0" t="s">
        <v>267</v>
      </c>
      <c r="B20" s="21" t="n">
        <f aca="false">'Unit Mix'!$G$9+Assumptions!$C$48*Assumptions!$C$47*(B18-'Unit Mix'!$G$9)</f>
        <v>2110.89375</v>
      </c>
      <c r="C20" s="21" t="n">
        <f aca="false">B20+Assumptions!$C$48*Assumptions!$C$47*(C18-B20)</f>
        <v>2152.14134375</v>
      </c>
      <c r="D20" s="21" t="n">
        <f aca="false">C20+Assumptions!$C$48*Assumptions!$C$47*(D18-C20)</f>
        <v>2197.58943359375</v>
      </c>
      <c r="E20" s="21" t="n">
        <f aca="false">D20+Assumptions!$C$48*Assumptions!$C$47*(E18-D20)</f>
        <v>2249.65790751172</v>
      </c>
      <c r="F20" s="21" t="n">
        <f aca="false">E20+Assumptions!$C$48*Assumptions!$C$47*(F18-E20)</f>
        <v>2307.09971814693</v>
      </c>
      <c r="G20" s="21" t="n">
        <f aca="false">F20+Assumptions!$C$48*Assumptions!$C$47*(G18-F20)</f>
        <v>2369.02796291349</v>
      </c>
      <c r="H20" s="21" t="n">
        <f aca="false">G20+Assumptions!$C$48*Assumptions!$C$47*(H18-G20)</f>
        <v>2434.81736038696</v>
      </c>
      <c r="I20" s="21" t="n">
        <f aca="false">H20+Assumptions!$C$48*Assumptions!$C$47*(I18-H20)</f>
        <v>2504.03283617346</v>
      </c>
      <c r="J20" s="21" t="n">
        <f aca="false">I20+Assumptions!$C$48*Assumptions!$C$47*(J18-I20)</f>
        <v>2576.37776361546</v>
      </c>
      <c r="K20" s="21" t="n">
        <f aca="false">J20+Assumptions!$C$48*Assumptions!$C$47*(K18-J20)</f>
        <v>2651.6564547326</v>
      </c>
    </row>
    <row r="22" customFormat="false" ht="15" hidden="false" customHeight="false" outlineLevel="0" collapsed="false">
      <c r="A22" s="3" t="s">
        <v>268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false" outlineLevel="0" collapsed="false">
      <c r="A23" s="19" t="s">
        <v>269</v>
      </c>
      <c r="B23" s="10" t="n">
        <f aca="false">('Unit Mix'!$B$6*B9+'Unit Mix'!$B$7*B12+'Unit Mix'!$B$8*B15+'Unit Mix'!$B$9*B18)*12</f>
        <v>2146209.6</v>
      </c>
      <c r="C23" s="10" t="n">
        <f aca="false">('Unit Mix'!$B$6*C9+'Unit Mix'!$B$7*C12+'Unit Mix'!$B$8*C15+'Unit Mix'!$B$9*C18)*12</f>
        <v>2183768.268</v>
      </c>
      <c r="D23" s="10" t="n">
        <f aca="false">('Unit Mix'!$B$6*D9+'Unit Mix'!$B$7*D12+'Unit Mix'!$B$8*D15+'Unit Mix'!$B$9*D18)*12</f>
        <v>2238362.4747</v>
      </c>
      <c r="E23" s="10" t="n">
        <f aca="false">('Unit Mix'!$B$6*E9+'Unit Mix'!$B$7*E12+'Unit Mix'!$B$8*E15+'Unit Mix'!$B$9*E18)*12</f>
        <v>2305513.348941</v>
      </c>
      <c r="F23" s="10" t="n">
        <f aca="false">('Unit Mix'!$B$6*F9+'Unit Mix'!$B$7*F12+'Unit Mix'!$B$8*F15+'Unit Mix'!$B$9*F18)*12</f>
        <v>2374678.74940923</v>
      </c>
      <c r="G23" s="10" t="n">
        <f aca="false">('Unit Mix'!$B$6*G9+'Unit Mix'!$B$7*G12+'Unit Mix'!$B$8*G15+'Unit Mix'!$B$9*G18)*12</f>
        <v>2445919.11189151</v>
      </c>
      <c r="H23" s="10" t="n">
        <f aca="false">('Unit Mix'!$B$6*H9+'Unit Mix'!$B$7*H12+'Unit Mix'!$B$8*H15+'Unit Mix'!$B$9*H18)*12</f>
        <v>2519296.68524825</v>
      </c>
      <c r="I23" s="10" t="n">
        <f aca="false">('Unit Mix'!$B$6*I9+'Unit Mix'!$B$7*I12+'Unit Mix'!$B$8*I15+'Unit Mix'!$B$9*I18)*12</f>
        <v>2594875.5858057</v>
      </c>
      <c r="J23" s="10" t="n">
        <f aca="false">('Unit Mix'!$B$6*J9+'Unit Mix'!$B$7*J12+'Unit Mix'!$B$8*J15+'Unit Mix'!$B$9*J18)*12</f>
        <v>2672721.85337987</v>
      </c>
      <c r="K23" s="10" t="n">
        <f aca="false">('Unit Mix'!$B$6*K9+'Unit Mix'!$B$7*K12+'Unit Mix'!$B$8*K15+'Unit Mix'!$B$9*K18)*12</f>
        <v>2752903.50898127</v>
      </c>
    </row>
    <row r="24" customFormat="false" ht="15" hidden="false" customHeight="false" outlineLevel="0" collapsed="false">
      <c r="A24" s="0" t="s">
        <v>270</v>
      </c>
      <c r="B24" s="21" t="n">
        <f aca="false">B25-B23</f>
        <v>-129176.28</v>
      </c>
      <c r="C24" s="21" t="n">
        <f aca="false">C25-C23</f>
        <v>-79721.9562749998</v>
      </c>
      <c r="D24" s="21" t="n">
        <f aca="false">D25-D23</f>
        <v>-87658.3632562505</v>
      </c>
      <c r="E24" s="21" t="n">
        <f aca="false">E25-E23</f>
        <v>-100280.045657738</v>
      </c>
      <c r="F24" s="21" t="n">
        <f aca="false">F25-F23</f>
        <v>-110532.597367725</v>
      </c>
      <c r="G24" s="21" t="n">
        <f aca="false">G25-G23</f>
        <v>-119100.584285442</v>
      </c>
      <c r="H24" s="21" t="n">
        <f aca="false">H25-H23</f>
        <v>-126481.308336601</v>
      </c>
      <c r="I24" s="21" t="n">
        <f aca="false">I25-I23</f>
        <v>-133036.334815582</v>
      </c>
      <c r="J24" s="21" t="n">
        <f aca="false">J25-J23</f>
        <v>-139028.85060099</v>
      </c>
      <c r="K24" s="21" t="n">
        <f aca="false">K25-K23</f>
        <v>-144650.7497812</v>
      </c>
    </row>
    <row r="25" customFormat="false" ht="15" hidden="false" customHeight="false" outlineLevel="0" collapsed="false">
      <c r="A25" s="19" t="s">
        <v>271</v>
      </c>
      <c r="B25" s="10" t="n">
        <f aca="false">('Unit Mix'!$C$6*B10+'Unit Mix'!$D$6*B11+'Unit Mix'!$C$7*B13+'Unit Mix'!$D$7*B14+'Unit Mix'!$C$8*B16+'Unit Mix'!$D$8*B17+'Unit Mix'!$C$9*B19+'Unit Mix'!$D$9*B20)*12</f>
        <v>2017033.32</v>
      </c>
      <c r="C25" s="10" t="n">
        <f aca="false">('Unit Mix'!$C$6*C10+'Unit Mix'!$D$6*C11+'Unit Mix'!$C$7*C13+'Unit Mix'!$D$7*C14+'Unit Mix'!$C$8*C16+'Unit Mix'!$D$8*C17+'Unit Mix'!$C$9*C19+'Unit Mix'!$D$9*C20)*12</f>
        <v>2104046.311725</v>
      </c>
      <c r="D25" s="10" t="n">
        <f aca="false">('Unit Mix'!$C$6*D10+'Unit Mix'!$D$6*D11+'Unit Mix'!$C$7*D13+'Unit Mix'!$D$7*D14+'Unit Mix'!$C$8*D16+'Unit Mix'!$D$8*D17+'Unit Mix'!$C$9*D19+'Unit Mix'!$D$9*D20)*12</f>
        <v>2150704.11144375</v>
      </c>
      <c r="E25" s="10" t="n">
        <f aca="false">('Unit Mix'!$C$6*E10+'Unit Mix'!$D$6*E11+'Unit Mix'!$C$7*E13+'Unit Mix'!$D$7*E14+'Unit Mix'!$C$8*E16+'Unit Mix'!$D$8*E17+'Unit Mix'!$C$9*E19+'Unit Mix'!$D$9*E20)*12</f>
        <v>2205233.30328326</v>
      </c>
      <c r="F25" s="10" t="n">
        <f aca="false">('Unit Mix'!$C$6*F10+'Unit Mix'!$D$6*F11+'Unit Mix'!$C$7*F13+'Unit Mix'!$D$7*F14+'Unit Mix'!$C$8*F16+'Unit Mix'!$D$8*F17+'Unit Mix'!$C$9*F19+'Unit Mix'!$D$9*F20)*12</f>
        <v>2264146.15204151</v>
      </c>
      <c r="G25" s="10" t="n">
        <f aca="false">('Unit Mix'!$C$6*G10+'Unit Mix'!$D$6*G11+'Unit Mix'!$C$7*G13+'Unit Mix'!$D$7*G14+'Unit Mix'!$C$8*G16+'Unit Mix'!$D$8*G17+'Unit Mix'!$C$9*G19+'Unit Mix'!$D$9*G20)*12</f>
        <v>2326818.52760607</v>
      </c>
      <c r="H25" s="10" t="n">
        <f aca="false">('Unit Mix'!$C$6*H10+'Unit Mix'!$D$6*H11+'Unit Mix'!$C$7*H13+'Unit Mix'!$D$7*H14+'Unit Mix'!$C$8*H16+'Unit Mix'!$D$8*H17+'Unit Mix'!$C$9*H19+'Unit Mix'!$D$9*H20)*12</f>
        <v>2392815.37691165</v>
      </c>
      <c r="I25" s="10" t="n">
        <f aca="false">('Unit Mix'!$C$6*I10+'Unit Mix'!$D$6*I11+'Unit Mix'!$C$7*I13+'Unit Mix'!$D$7*I14+'Unit Mix'!$C$8*I16+'Unit Mix'!$D$8*I17+'Unit Mix'!$C$9*I19+'Unit Mix'!$D$9*I20)*12</f>
        <v>2461839.25099012</v>
      </c>
      <c r="J25" s="10" t="n">
        <f aca="false">('Unit Mix'!$C$6*J10+'Unit Mix'!$D$6*J11+'Unit Mix'!$C$7*J13+'Unit Mix'!$D$7*J14+'Unit Mix'!$C$8*J16+'Unit Mix'!$D$8*J17+'Unit Mix'!$C$9*J19+'Unit Mix'!$D$9*J20)*12</f>
        <v>2533693.00277888</v>
      </c>
      <c r="K25" s="10" t="n">
        <f aca="false">('Unit Mix'!$C$6*K10+'Unit Mix'!$D$6*K11+'Unit Mix'!$C$7*K13+'Unit Mix'!$D$7*K14+'Unit Mix'!$C$8*K16+'Unit Mix'!$D$8*K17+'Unit Mix'!$C$9*K19+'Unit Mix'!$D$9*K20)*12</f>
        <v>2608252.75920007</v>
      </c>
    </row>
    <row r="26" customFormat="false" ht="15" hidden="false" customHeight="false" outlineLevel="0" collapsed="false">
      <c r="A26" s="0" t="s">
        <v>272</v>
      </c>
      <c r="B26" s="21" t="n">
        <f aca="false">-B25*Assumptions!$C$42</f>
        <v>-131107.1658</v>
      </c>
      <c r="C26" s="21" t="n">
        <f aca="false">-C25*Assumptions!$C$42</f>
        <v>-136763.010262125</v>
      </c>
      <c r="D26" s="21" t="n">
        <f aca="false">-D25*Assumptions!$C$42</f>
        <v>-139795.767243844</v>
      </c>
      <c r="E26" s="21" t="n">
        <f aca="false">-E25*Assumptions!$C$42</f>
        <v>-143340.164713412</v>
      </c>
      <c r="F26" s="21" t="n">
        <f aca="false">-F25*Assumptions!$C$42</f>
        <v>-147169.499882698</v>
      </c>
      <c r="G26" s="21" t="n">
        <f aca="false">-G25*Assumptions!$C$42</f>
        <v>-151243.204294394</v>
      </c>
      <c r="H26" s="21" t="n">
        <f aca="false">-H25*Assumptions!$C$42</f>
        <v>-155532.999499257</v>
      </c>
      <c r="I26" s="21" t="n">
        <f aca="false">-I25*Assumptions!$C$42</f>
        <v>-160019.551314358</v>
      </c>
      <c r="J26" s="21" t="n">
        <f aca="false">-J25*Assumptions!$C$42</f>
        <v>-164690.045180627</v>
      </c>
      <c r="K26" s="21" t="n">
        <f aca="false">-K25*Assumptions!$C$42</f>
        <v>-169536.429348004</v>
      </c>
    </row>
    <row r="27" customFormat="false" ht="15" hidden="false" customHeight="false" outlineLevel="0" collapsed="false">
      <c r="A27" s="0" t="s">
        <v>273</v>
      </c>
      <c r="B27" s="21" t="n">
        <f aca="false">-B25*Assumptions!$C$43</f>
        <v>-20170.3332</v>
      </c>
      <c r="C27" s="21" t="n">
        <f aca="false">-C25*Assumptions!$C$43</f>
        <v>-21040.46311725</v>
      </c>
      <c r="D27" s="21" t="n">
        <f aca="false">-D25*Assumptions!$C$43</f>
        <v>-21507.0411144375</v>
      </c>
      <c r="E27" s="21" t="n">
        <f aca="false">-E25*Assumptions!$C$43</f>
        <v>-22052.3330328326</v>
      </c>
      <c r="F27" s="21" t="n">
        <f aca="false">-F25*Assumptions!$C$43</f>
        <v>-22641.4615204151</v>
      </c>
      <c r="G27" s="21" t="n">
        <f aca="false">-G25*Assumptions!$C$43</f>
        <v>-23268.1852760607</v>
      </c>
      <c r="H27" s="21" t="n">
        <f aca="false">-H25*Assumptions!$C$43</f>
        <v>-23928.1537691165</v>
      </c>
      <c r="I27" s="21" t="n">
        <f aca="false">-I25*Assumptions!$C$43</f>
        <v>-24618.3925099012</v>
      </c>
      <c r="J27" s="21" t="n">
        <f aca="false">-J25*Assumptions!$C$43</f>
        <v>-25336.9300277888</v>
      </c>
      <c r="K27" s="21" t="n">
        <f aca="false">-K25*Assumptions!$C$43</f>
        <v>-26082.5275920007</v>
      </c>
    </row>
    <row r="28" customFormat="false" ht="15" hidden="false" customHeight="false" outlineLevel="0" collapsed="false">
      <c r="A28" s="0" t="s">
        <v>274</v>
      </c>
      <c r="B28" s="21" t="n">
        <f aca="false">-B25*Assumptions!$C$44</f>
        <v>-10085.1666</v>
      </c>
      <c r="C28" s="21" t="n">
        <f aca="false">-C25*Assumptions!$C$44</f>
        <v>-10520.231558625</v>
      </c>
      <c r="D28" s="21" t="n">
        <f aca="false">-D25*Assumptions!$C$44</f>
        <v>-10753.5205572187</v>
      </c>
      <c r="E28" s="21" t="n">
        <f aca="false">-E25*Assumptions!$C$44</f>
        <v>-11026.1665164163</v>
      </c>
      <c r="F28" s="21" t="n">
        <f aca="false">-F25*Assumptions!$C$44</f>
        <v>-11320.7307602075</v>
      </c>
      <c r="G28" s="21" t="n">
        <f aca="false">-G25*Assumptions!$C$44</f>
        <v>-11634.0926380303</v>
      </c>
      <c r="H28" s="21" t="n">
        <f aca="false">-H25*Assumptions!$C$44</f>
        <v>-11964.0768845583</v>
      </c>
      <c r="I28" s="21" t="n">
        <f aca="false">-I25*Assumptions!$C$44</f>
        <v>-12309.1962549506</v>
      </c>
      <c r="J28" s="21" t="n">
        <f aca="false">-J25*Assumptions!$C$44</f>
        <v>-12668.4650138944</v>
      </c>
      <c r="K28" s="21" t="n">
        <f aca="false">-K25*Assumptions!$C$44</f>
        <v>-13041.2637960003</v>
      </c>
    </row>
    <row r="29" customFormat="false" ht="15" hidden="false" customHeight="false" outlineLevel="0" collapsed="false">
      <c r="A29" s="0" t="s">
        <v>275</v>
      </c>
      <c r="B29" s="21" t="n">
        <f aca="false">Assumptions!$C$6*Assumptions!$C$45*12*(1+Assumptions!$C$64)^(B$4-1)</f>
        <v>17460</v>
      </c>
      <c r="C29" s="21" t="n">
        <f aca="false">Assumptions!$C$6*Assumptions!$C$45*12*(1+Assumptions!$C$64)^(C$4-1)</f>
        <v>18071.1</v>
      </c>
      <c r="D29" s="21" t="n">
        <f aca="false">Assumptions!$C$6*Assumptions!$C$45*12*(1+Assumptions!$C$64)^(D$4-1)</f>
        <v>18703.5885</v>
      </c>
      <c r="E29" s="21" t="n">
        <f aca="false">Assumptions!$C$6*Assumptions!$C$45*12*(1+Assumptions!$C$64)^(E$4-1)</f>
        <v>19358.2140975</v>
      </c>
      <c r="F29" s="21" t="n">
        <f aca="false">Assumptions!$C$6*Assumptions!$C$45*12*(1+Assumptions!$C$64)^(F$4-1)</f>
        <v>20035.7515909125</v>
      </c>
      <c r="G29" s="21" t="n">
        <f aca="false">Assumptions!$C$6*Assumptions!$C$45*12*(1+Assumptions!$C$64)^(G$4-1)</f>
        <v>20737.0028965944</v>
      </c>
      <c r="H29" s="21" t="n">
        <f aca="false">Assumptions!$C$6*Assumptions!$C$45*12*(1+Assumptions!$C$64)^(H$4-1)</f>
        <v>21462.7979979752</v>
      </c>
      <c r="I29" s="21" t="n">
        <f aca="false">Assumptions!$C$6*Assumptions!$C$45*12*(1+Assumptions!$C$64)^(I$4-1)</f>
        <v>22213.9959279044</v>
      </c>
      <c r="J29" s="21" t="n">
        <f aca="false">Assumptions!$C$6*Assumptions!$C$45*12*(1+Assumptions!$C$64)^(J$4-1)</f>
        <v>22991.485785381</v>
      </c>
      <c r="K29" s="21" t="n">
        <f aca="false">Assumptions!$C$6*Assumptions!$C$45*12*(1+Assumptions!$C$64)^(K$4-1)</f>
        <v>23796.1877878694</v>
      </c>
    </row>
    <row r="30" customFormat="false" ht="15" hidden="false" customHeight="false" outlineLevel="0" collapsed="false">
      <c r="A30" s="0" t="s">
        <v>276</v>
      </c>
      <c r="B30" s="21" t="n">
        <f aca="false">-Assumptions!$C$46*(B39+B40)</f>
        <v>46531.8</v>
      </c>
      <c r="C30" s="21" t="n">
        <f aca="false">-Assumptions!$C$46*(C39+C40)</f>
        <v>49076.5878</v>
      </c>
      <c r="D30" s="21" t="n">
        <f aca="false">-Assumptions!$C$46*(D39+D40)</f>
        <v>51765.413661</v>
      </c>
      <c r="E30" s="21" t="n">
        <f aca="false">-Assumptions!$C$46*(E39+E40)</f>
        <v>54606.617144415</v>
      </c>
      <c r="F30" s="21" t="n">
        <f aca="false">-Assumptions!$C$46*(F39+F40)</f>
        <v>57609.0275900663</v>
      </c>
      <c r="G30" s="21" t="n">
        <f aca="false">-Assumptions!$C$46*(G39+G40)</f>
        <v>60781.9931320513</v>
      </c>
      <c r="H30" s="21" t="n">
        <f aca="false">-Assumptions!$C$46*(H39+H40)</f>
        <v>64135.4114425856</v>
      </c>
      <c r="I30" s="21" t="n">
        <f aca="false">-Assumptions!$C$46*(I39+I40)</f>
        <v>67679.7623070434</v>
      </c>
      <c r="J30" s="21" t="n">
        <f aca="false">-Assumptions!$C$46*(J39+J40)</f>
        <v>71426.1421395953</v>
      </c>
      <c r="K30" s="21" t="n">
        <f aca="false">-Assumptions!$C$46*(K39+K40)</f>
        <v>75386.3005553949</v>
      </c>
    </row>
    <row r="31" customFormat="false" ht="15" hidden="false" customHeight="false" outlineLevel="0" collapsed="false">
      <c r="A31" s="19" t="s">
        <v>277</v>
      </c>
      <c r="B31" s="10" t="n">
        <f aca="false">SUM(B25:B30)</f>
        <v>1919662.4544</v>
      </c>
      <c r="C31" s="10" t="n">
        <f aca="false">SUM(C25:C30)</f>
        <v>2002870.294587</v>
      </c>
      <c r="D31" s="10" t="n">
        <f aca="false">SUM(D25:D30)</f>
        <v>2049116.78468925</v>
      </c>
      <c r="E31" s="10" t="n">
        <f aca="false">SUM(E25:E30)</f>
        <v>2102779.47026252</v>
      </c>
      <c r="F31" s="10" t="n">
        <f aca="false">SUM(F25:F30)</f>
        <v>2160659.23905916</v>
      </c>
      <c r="G31" s="10" t="n">
        <f aca="false">SUM(G25:G30)</f>
        <v>2222192.04142623</v>
      </c>
      <c r="H31" s="10" t="n">
        <f aca="false">SUM(H25:H30)</f>
        <v>2286988.35619928</v>
      </c>
      <c r="I31" s="10" t="n">
        <f aca="false">SUM(I25:I30)</f>
        <v>2354785.86914586</v>
      </c>
      <c r="J31" s="10" t="n">
        <f aca="false">SUM(J25:J30)</f>
        <v>2425415.19048155</v>
      </c>
      <c r="K31" s="10" t="n">
        <f aca="false">SUM(K25:K30)</f>
        <v>2498775.02680733</v>
      </c>
    </row>
    <row r="33" customFormat="false" ht="15" hidden="false" customHeight="false" outlineLevel="0" collapsed="false">
      <c r="A33" s="3" t="s">
        <v>278</v>
      </c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0" t="s">
        <v>279</v>
      </c>
      <c r="B34" s="21" t="n">
        <f aca="false">-Assumptions!$C$6*Assumptions!$C$68*(1+Assumptions!$C$64)^(B$4-1)</f>
        <v>-135800</v>
      </c>
      <c r="C34" s="21" t="n">
        <f aca="false">-Assumptions!$C$6*Assumptions!$C$68*(1+Assumptions!$C$64)^(C$4-1)</f>
        <v>-140553</v>
      </c>
      <c r="D34" s="21" t="n">
        <f aca="false">-Assumptions!$C$6*Assumptions!$C$68*(1+Assumptions!$C$64)^(D$4-1)</f>
        <v>-145472.355</v>
      </c>
      <c r="E34" s="21" t="n">
        <f aca="false">-Assumptions!$C$6*Assumptions!$C$68*(1+Assumptions!$C$64)^(E$4-1)</f>
        <v>-150563.887425</v>
      </c>
      <c r="F34" s="21" t="n">
        <f aca="false">-Assumptions!$C$6*Assumptions!$C$68*(1+Assumptions!$C$64)^(F$4-1)</f>
        <v>-155833.623484875</v>
      </c>
      <c r="G34" s="21" t="n">
        <f aca="false">-Assumptions!$C$6*Assumptions!$C$68*(1+Assumptions!$C$64)^(G$4-1)</f>
        <v>-161287.800306846</v>
      </c>
      <c r="H34" s="21" t="n">
        <f aca="false">-Assumptions!$C$6*Assumptions!$C$68*(1+Assumptions!$C$64)^(H$4-1)</f>
        <v>-166932.873317585</v>
      </c>
      <c r="I34" s="21" t="n">
        <f aca="false">-Assumptions!$C$6*Assumptions!$C$68*(1+Assumptions!$C$64)^(I$4-1)</f>
        <v>-172775.523883701</v>
      </c>
      <c r="J34" s="21" t="n">
        <f aca="false">-Assumptions!$C$6*Assumptions!$C$68*(1+Assumptions!$C$64)^(J$4-1)</f>
        <v>-178822.66721963</v>
      </c>
      <c r="K34" s="21" t="n">
        <f aca="false">-Assumptions!$C$6*Assumptions!$C$68*(1+Assumptions!$C$64)^(K$4-1)</f>
        <v>-185081.460572317</v>
      </c>
    </row>
    <row r="35" customFormat="false" ht="15" hidden="false" customHeight="false" outlineLevel="0" collapsed="false">
      <c r="A35" s="0" t="s">
        <v>85</v>
      </c>
      <c r="B35" s="21" t="n">
        <f aca="false">-Assumptions!$C$6*Assumptions!$C$69*(1+Assumptions!$C$64)^(B$4-1)</f>
        <v>-106700</v>
      </c>
      <c r="C35" s="21" t="n">
        <f aca="false">-Assumptions!$C$6*Assumptions!$C$69*(1+Assumptions!$C$64)^(C$4-1)</f>
        <v>-110434.5</v>
      </c>
      <c r="D35" s="21" t="n">
        <f aca="false">-Assumptions!$C$6*Assumptions!$C$69*(1+Assumptions!$C$64)^(D$4-1)</f>
        <v>-114299.7075</v>
      </c>
      <c r="E35" s="21" t="n">
        <f aca="false">-Assumptions!$C$6*Assumptions!$C$69*(1+Assumptions!$C$64)^(E$4-1)</f>
        <v>-118300.1972625</v>
      </c>
      <c r="F35" s="21" t="n">
        <f aca="false">-Assumptions!$C$6*Assumptions!$C$69*(1+Assumptions!$C$64)^(F$4-1)</f>
        <v>-122440.704166687</v>
      </c>
      <c r="G35" s="21" t="n">
        <f aca="false">-Assumptions!$C$6*Assumptions!$C$69*(1+Assumptions!$C$64)^(G$4-1)</f>
        <v>-126726.128812522</v>
      </c>
      <c r="H35" s="21" t="n">
        <f aca="false">-Assumptions!$C$6*Assumptions!$C$69*(1+Assumptions!$C$64)^(H$4-1)</f>
        <v>-131161.54332096</v>
      </c>
      <c r="I35" s="21" t="n">
        <f aca="false">-Assumptions!$C$6*Assumptions!$C$69*(1+Assumptions!$C$64)^(I$4-1)</f>
        <v>-135752.197337193</v>
      </c>
      <c r="J35" s="21" t="n">
        <f aca="false">-Assumptions!$C$6*Assumptions!$C$69*(1+Assumptions!$C$64)^(J$4-1)</f>
        <v>-140503.524243995</v>
      </c>
      <c r="K35" s="21" t="n">
        <f aca="false">-Assumptions!$C$6*Assumptions!$C$69*(1+Assumptions!$C$64)^(K$4-1)</f>
        <v>-145421.147592535</v>
      </c>
    </row>
    <row r="36" customFormat="false" ht="15" hidden="false" customHeight="false" outlineLevel="0" collapsed="false">
      <c r="A36" s="0" t="s">
        <v>87</v>
      </c>
      <c r="B36" s="21" t="n">
        <f aca="false">-Assumptions!$C$6*Assumptions!$C$70*(1+Assumptions!$C$64)^(B$4-1)</f>
        <v>-33950</v>
      </c>
      <c r="C36" s="21" t="n">
        <f aca="false">-Assumptions!$C$6*Assumptions!$C$70*(1+Assumptions!$C$64)^(C$4-1)</f>
        <v>-35138.25</v>
      </c>
      <c r="D36" s="21" t="n">
        <f aca="false">-Assumptions!$C$6*Assumptions!$C$70*(1+Assumptions!$C$64)^(D$4-1)</f>
        <v>-36368.08875</v>
      </c>
      <c r="E36" s="21" t="n">
        <f aca="false">-Assumptions!$C$6*Assumptions!$C$70*(1+Assumptions!$C$64)^(E$4-1)</f>
        <v>-37640.97185625</v>
      </c>
      <c r="F36" s="21" t="n">
        <f aca="false">-Assumptions!$C$6*Assumptions!$C$70*(1+Assumptions!$C$64)^(F$4-1)</f>
        <v>-38958.4058712187</v>
      </c>
      <c r="G36" s="21" t="n">
        <f aca="false">-Assumptions!$C$6*Assumptions!$C$70*(1+Assumptions!$C$64)^(G$4-1)</f>
        <v>-40321.9500767114</v>
      </c>
      <c r="H36" s="21" t="n">
        <f aca="false">-Assumptions!$C$6*Assumptions!$C$70*(1+Assumptions!$C$64)^(H$4-1)</f>
        <v>-41733.2183293963</v>
      </c>
      <c r="I36" s="21" t="n">
        <f aca="false">-Assumptions!$C$6*Assumptions!$C$70*(1+Assumptions!$C$64)^(I$4-1)</f>
        <v>-43193.8809709252</v>
      </c>
      <c r="J36" s="21" t="n">
        <f aca="false">-Assumptions!$C$6*Assumptions!$C$70*(1+Assumptions!$C$64)^(J$4-1)</f>
        <v>-44705.6668049075</v>
      </c>
      <c r="K36" s="21" t="n">
        <f aca="false">-Assumptions!$C$6*Assumptions!$C$70*(1+Assumptions!$C$64)^(K$4-1)</f>
        <v>-46270.3651430793</v>
      </c>
    </row>
    <row r="37" customFormat="false" ht="15" hidden="false" customHeight="false" outlineLevel="0" collapsed="false">
      <c r="A37" s="0" t="s">
        <v>280</v>
      </c>
      <c r="B37" s="21" t="n">
        <f aca="false">-Assumptions!$C$6*Assumptions!$C$71*(1+Assumptions!$C$64)^(B$4-1)</f>
        <v>-27160</v>
      </c>
      <c r="C37" s="21" t="n">
        <f aca="false">-Assumptions!$C$6*Assumptions!$C$71*(1+Assumptions!$C$64)^(C$4-1)</f>
        <v>-28110.6</v>
      </c>
      <c r="D37" s="21" t="n">
        <f aca="false">-Assumptions!$C$6*Assumptions!$C$71*(1+Assumptions!$C$64)^(D$4-1)</f>
        <v>-29094.471</v>
      </c>
      <c r="E37" s="21" t="n">
        <f aca="false">-Assumptions!$C$6*Assumptions!$C$71*(1+Assumptions!$C$64)^(E$4-1)</f>
        <v>-30112.777485</v>
      </c>
      <c r="F37" s="21" t="n">
        <f aca="false">-Assumptions!$C$6*Assumptions!$C$71*(1+Assumptions!$C$64)^(F$4-1)</f>
        <v>-31166.724696975</v>
      </c>
      <c r="G37" s="21" t="n">
        <f aca="false">-Assumptions!$C$6*Assumptions!$C$71*(1+Assumptions!$C$64)^(G$4-1)</f>
        <v>-32257.5600613691</v>
      </c>
      <c r="H37" s="21" t="n">
        <f aca="false">-Assumptions!$C$6*Assumptions!$C$71*(1+Assumptions!$C$64)^(H$4-1)</f>
        <v>-33386.574663517</v>
      </c>
      <c r="I37" s="21" t="n">
        <f aca="false">-Assumptions!$C$6*Assumptions!$C$71*(1+Assumptions!$C$64)^(I$4-1)</f>
        <v>-34555.1047767401</v>
      </c>
      <c r="J37" s="21" t="n">
        <f aca="false">-Assumptions!$C$6*Assumptions!$C$71*(1+Assumptions!$C$64)^(J$4-1)</f>
        <v>-35764.533443926</v>
      </c>
      <c r="K37" s="21" t="n">
        <f aca="false">-Assumptions!$C$6*Assumptions!$C$71*(1+Assumptions!$C$64)^(K$4-1)</f>
        <v>-37016.2921144634</v>
      </c>
    </row>
    <row r="38" customFormat="false" ht="15" hidden="false" customHeight="false" outlineLevel="0" collapsed="false">
      <c r="A38" s="0" t="s">
        <v>281</v>
      </c>
      <c r="B38" s="21" t="n">
        <f aca="false">-Assumptions!$C$6*Assumptions!$C$72*(1+Assumptions!$C$64)^(B$4-1)</f>
        <v>-48500</v>
      </c>
      <c r="C38" s="21" t="n">
        <f aca="false">-Assumptions!$C$6*Assumptions!$C$72*(1+Assumptions!$C$64)^(C$4-1)</f>
        <v>-50197.5</v>
      </c>
      <c r="D38" s="21" t="n">
        <f aca="false">-Assumptions!$C$6*Assumptions!$C$72*(1+Assumptions!$C$64)^(D$4-1)</f>
        <v>-51954.4125</v>
      </c>
      <c r="E38" s="21" t="n">
        <f aca="false">-Assumptions!$C$6*Assumptions!$C$72*(1+Assumptions!$C$64)^(E$4-1)</f>
        <v>-53772.8169375</v>
      </c>
      <c r="F38" s="21" t="n">
        <f aca="false">-Assumptions!$C$6*Assumptions!$C$72*(1+Assumptions!$C$64)^(F$4-1)</f>
        <v>-55654.8655303125</v>
      </c>
      <c r="G38" s="21" t="n">
        <f aca="false">-Assumptions!$C$6*Assumptions!$C$72*(1+Assumptions!$C$64)^(G$4-1)</f>
        <v>-57602.7858238734</v>
      </c>
      <c r="H38" s="21" t="n">
        <f aca="false">-Assumptions!$C$6*Assumptions!$C$72*(1+Assumptions!$C$64)^(H$4-1)</f>
        <v>-59618.883327709</v>
      </c>
      <c r="I38" s="21" t="n">
        <f aca="false">-Assumptions!$C$6*Assumptions!$C$72*(1+Assumptions!$C$64)^(I$4-1)</f>
        <v>-61705.5442441788</v>
      </c>
      <c r="J38" s="21" t="n">
        <f aca="false">-Assumptions!$C$6*Assumptions!$C$72*(1+Assumptions!$C$64)^(J$4-1)</f>
        <v>-63865.238292725</v>
      </c>
      <c r="K38" s="21" t="n">
        <f aca="false">-Assumptions!$C$6*Assumptions!$C$72*(1+Assumptions!$C$64)^(K$4-1)</f>
        <v>-66100.5216329704</v>
      </c>
    </row>
    <row r="39" customFormat="false" ht="15" hidden="false" customHeight="false" outlineLevel="0" collapsed="false">
      <c r="A39" s="0" t="s">
        <v>282</v>
      </c>
      <c r="B39" s="21" t="n">
        <f aca="false">-Assumptions!$C$6*Assumptions!$C$90*(1+Assumptions!$C$91)^(B$4-1)</f>
        <v>-61078.32</v>
      </c>
      <c r="C39" s="21" t="n">
        <f aca="false">-Assumptions!$C$6*Assumptions!$C$90*(1+Assumptions!$C$91)^(C$4-1)</f>
        <v>-64743.0192</v>
      </c>
      <c r="D39" s="21" t="n">
        <f aca="false">-Assumptions!$C$6*Assumptions!$C$90*(1+Assumptions!$C$91)^(D$4-1)</f>
        <v>-68627.600352</v>
      </c>
      <c r="E39" s="21" t="n">
        <f aca="false">-Assumptions!$C$6*Assumptions!$C$90*(1+Assumptions!$C$91)^(E$4-1)</f>
        <v>-72745.25637312</v>
      </c>
      <c r="F39" s="21" t="n">
        <f aca="false">-Assumptions!$C$6*Assumptions!$C$90*(1+Assumptions!$C$91)^(F$4-1)</f>
        <v>-77109.9717555072</v>
      </c>
      <c r="G39" s="21" t="n">
        <f aca="false">-Assumptions!$C$6*Assumptions!$C$90*(1+Assumptions!$C$91)^(G$4-1)</f>
        <v>-81736.5700608377</v>
      </c>
      <c r="H39" s="21" t="n">
        <f aca="false">-Assumptions!$C$6*Assumptions!$C$90*(1+Assumptions!$C$91)^(H$4-1)</f>
        <v>-86640.7642644879</v>
      </c>
      <c r="I39" s="21" t="n">
        <f aca="false">-Assumptions!$C$6*Assumptions!$C$90*(1+Assumptions!$C$91)^(I$4-1)</f>
        <v>-91839.2101203572</v>
      </c>
      <c r="J39" s="21" t="n">
        <f aca="false">-Assumptions!$C$6*Assumptions!$C$90*(1+Assumptions!$C$91)^(J$4-1)</f>
        <v>-97349.5627275786</v>
      </c>
      <c r="K39" s="21" t="n">
        <f aca="false">-Assumptions!$C$6*Assumptions!$C$90*(1+Assumptions!$C$91)^(K$4-1)</f>
        <v>-103190.536491233</v>
      </c>
    </row>
    <row r="40" customFormat="false" ht="15" hidden="false" customHeight="false" outlineLevel="0" collapsed="false">
      <c r="A40" s="0" t="s">
        <v>283</v>
      </c>
      <c r="B40" s="21" t="n">
        <f aca="false">-Assumptions!$C$6*Assumptions!$C$94*(1+Assumptions!$C$64)^(B$4-1)</f>
        <v>-16474.68</v>
      </c>
      <c r="C40" s="21" t="n">
        <f aca="false">-Assumptions!$C$6*Assumptions!$C$94*(1+Assumptions!$C$64)^(C$4-1)</f>
        <v>-17051.2938</v>
      </c>
      <c r="D40" s="21" t="n">
        <f aca="false">-Assumptions!$C$6*Assumptions!$C$94*(1+Assumptions!$C$64)^(D$4-1)</f>
        <v>-17648.089083</v>
      </c>
      <c r="E40" s="21" t="n">
        <f aca="false">-Assumptions!$C$6*Assumptions!$C$94*(1+Assumptions!$C$64)^(E$4-1)</f>
        <v>-18265.772200905</v>
      </c>
      <c r="F40" s="21" t="n">
        <f aca="false">-Assumptions!$C$6*Assumptions!$C$94*(1+Assumptions!$C$64)^(F$4-1)</f>
        <v>-18905.0742279367</v>
      </c>
      <c r="G40" s="21" t="n">
        <f aca="false">-Assumptions!$C$6*Assumptions!$C$94*(1+Assumptions!$C$64)^(G$4-1)</f>
        <v>-19566.7518259145</v>
      </c>
      <c r="H40" s="21" t="n">
        <f aca="false">-Assumptions!$C$6*Assumptions!$C$94*(1+Assumptions!$C$64)^(H$4-1)</f>
        <v>-20251.5881398215</v>
      </c>
      <c r="I40" s="21" t="n">
        <f aca="false">-Assumptions!$C$6*Assumptions!$C$94*(1+Assumptions!$C$64)^(I$4-1)</f>
        <v>-20960.3937247152</v>
      </c>
      <c r="J40" s="21" t="n">
        <f aca="false">-Assumptions!$C$6*Assumptions!$C$94*(1+Assumptions!$C$64)^(J$4-1)</f>
        <v>-21694.0075050802</v>
      </c>
      <c r="K40" s="21" t="n">
        <f aca="false">-Assumptions!$C$6*Assumptions!$C$94*(1+Assumptions!$C$64)^(K$4-1)</f>
        <v>-22453.297767758</v>
      </c>
    </row>
    <row r="41" customFormat="false" ht="15" hidden="false" customHeight="false" outlineLevel="0" collapsed="false">
      <c r="A41" s="0" t="s">
        <v>284</v>
      </c>
      <c r="B41" s="21" t="n">
        <f aca="false">-Assumptions!$C$6*(IF(Assumptions!$C$97=1,Assumptions!$C$74,Assumptions!$C$73))*(1+Assumptions!$C$65)^(B$4-1)</f>
        <v>-232800</v>
      </c>
      <c r="C41" s="21" t="n">
        <f aca="false">-Assumptions!$C$6*(IF(Assumptions!$C$97=1,Assumptions!$C$74,Assumptions!$C$73))*(1+Assumptions!$C$65)^(C$4-1)</f>
        <v>-249096</v>
      </c>
      <c r="D41" s="21" t="n">
        <f aca="false">-Assumptions!$C$6*(IF(Assumptions!$C$97=1,Assumptions!$C$74,Assumptions!$C$73))*(1+Assumptions!$C$65)^(D$4-1)</f>
        <v>-266532.72</v>
      </c>
      <c r="E41" s="21" t="n">
        <f aca="false">-Assumptions!$C$6*(IF(Assumptions!$C$97=1,Assumptions!$C$74,Assumptions!$C$73))*(1+Assumptions!$C$65)^(E$4-1)</f>
        <v>-285190.0104</v>
      </c>
      <c r="F41" s="21" t="n">
        <f aca="false">-Assumptions!$C$6*(IF(Assumptions!$C$97=1,Assumptions!$C$74,Assumptions!$C$73))*(1+Assumptions!$C$65)^(F$4-1)</f>
        <v>-305153.311128</v>
      </c>
      <c r="G41" s="21" t="n">
        <f aca="false">-Assumptions!$C$6*(IF(Assumptions!$C$97=1,Assumptions!$C$74,Assumptions!$C$73))*(1+Assumptions!$C$65)^(G$4-1)</f>
        <v>-326514.04290696</v>
      </c>
      <c r="H41" s="21" t="n">
        <f aca="false">-Assumptions!$C$6*(IF(Assumptions!$C$97=1,Assumptions!$C$74,Assumptions!$C$73))*(1+Assumptions!$C$65)^(H$4-1)</f>
        <v>-349370.025910447</v>
      </c>
      <c r="I41" s="21" t="n">
        <f aca="false">-Assumptions!$C$6*(IF(Assumptions!$C$97=1,Assumptions!$C$74,Assumptions!$C$73))*(1+Assumptions!$C$65)^(I$4-1)</f>
        <v>-373825.927724179</v>
      </c>
      <c r="J41" s="21" t="n">
        <f aca="false">-Assumptions!$C$6*(IF(Assumptions!$C$97=1,Assumptions!$C$74,Assumptions!$C$73))*(1+Assumptions!$C$65)^(J$4-1)</f>
        <v>-399993.742664871</v>
      </c>
      <c r="K41" s="21" t="n">
        <f aca="false">-Assumptions!$C$6*(IF(Assumptions!$C$97=1,Assumptions!$C$74,Assumptions!$C$73))*(1+Assumptions!$C$65)^(K$4-1)</f>
        <v>-427993.304651412</v>
      </c>
    </row>
    <row r="42" customFormat="false" ht="15" hidden="false" customHeight="false" outlineLevel="0" collapsed="false">
      <c r="A42" s="0" t="s">
        <v>285</v>
      </c>
      <c r="B42" s="21" t="n">
        <f aca="false">-Assumptions!$C$21</f>
        <v>-236605.83</v>
      </c>
      <c r="C42" s="21" t="n">
        <f aca="false">B42*(1+Assumptions!$C$18)</f>
        <v>-243704.0049</v>
      </c>
      <c r="D42" s="21" t="n">
        <f aca="false">C42*(1+Assumptions!$C$18)</f>
        <v>-251015.125047</v>
      </c>
      <c r="E42" s="21" t="n">
        <f aca="false">D42*(1+Assumptions!$C$18)</f>
        <v>-258545.57879841</v>
      </c>
      <c r="F42" s="21" t="n">
        <f aca="false">E42*(1+Assumptions!$C$18)</f>
        <v>-266301.946162362</v>
      </c>
      <c r="G42" s="21" t="n">
        <f aca="false">F42*(1+Assumptions!$C$18)</f>
        <v>-274291.004547233</v>
      </c>
      <c r="H42" s="21" t="n">
        <f aca="false">G42*(1+Assumptions!$C$18)</f>
        <v>-282519.73468365</v>
      </c>
      <c r="I42" s="21" t="n">
        <f aca="false">H42*(1+Assumptions!$C$18)</f>
        <v>-290995.32672416</v>
      </c>
      <c r="J42" s="21" t="n">
        <f aca="false">I42*(1+Assumptions!$C$18)</f>
        <v>-299725.186525885</v>
      </c>
      <c r="K42" s="21" t="n">
        <f aca="false">J42*(1+Assumptions!$C$18)</f>
        <v>-308716.942121661</v>
      </c>
    </row>
    <row r="43" customFormat="false" ht="15" hidden="false" customHeight="false" outlineLevel="0" collapsed="false">
      <c r="A43" s="0" t="s">
        <v>286</v>
      </c>
      <c r="B43" s="21" t="n">
        <f aca="false">-Assumptions!$C$6*Assumptions!$C$76*(1+Assumptions!$C$64)^(B$4-1)</f>
        <v>-36375</v>
      </c>
      <c r="C43" s="21" t="n">
        <f aca="false">-Assumptions!$C$6*Assumptions!$C$76*(1+Assumptions!$C$64)^(C$4-1)</f>
        <v>-37648.125</v>
      </c>
      <c r="D43" s="21" t="n">
        <f aca="false">-Assumptions!$C$6*Assumptions!$C$76*(1+Assumptions!$C$64)^(D$4-1)</f>
        <v>-38965.809375</v>
      </c>
      <c r="E43" s="21" t="n">
        <f aca="false">-Assumptions!$C$6*Assumptions!$C$76*(1+Assumptions!$C$64)^(E$4-1)</f>
        <v>-40329.612703125</v>
      </c>
      <c r="F43" s="21" t="n">
        <f aca="false">-Assumptions!$C$6*Assumptions!$C$76*(1+Assumptions!$C$64)^(F$4-1)</f>
        <v>-41741.1491477344</v>
      </c>
      <c r="G43" s="21" t="n">
        <f aca="false">-Assumptions!$C$6*Assumptions!$C$76*(1+Assumptions!$C$64)^(G$4-1)</f>
        <v>-43202.0893679051</v>
      </c>
      <c r="H43" s="21" t="n">
        <f aca="false">-Assumptions!$C$6*Assumptions!$C$76*(1+Assumptions!$C$64)^(H$4-1)</f>
        <v>-44714.1624957817</v>
      </c>
      <c r="I43" s="21" t="n">
        <f aca="false">-Assumptions!$C$6*Assumptions!$C$76*(1+Assumptions!$C$64)^(I$4-1)</f>
        <v>-46279.1581831341</v>
      </c>
      <c r="J43" s="21" t="n">
        <f aca="false">-Assumptions!$C$6*Assumptions!$C$76*(1+Assumptions!$C$64)^(J$4-1)</f>
        <v>-47898.9287195438</v>
      </c>
      <c r="K43" s="21" t="n">
        <f aca="false">-Assumptions!$C$6*Assumptions!$C$76*(1+Assumptions!$C$64)^(K$4-1)</f>
        <v>-49575.3912247278</v>
      </c>
    </row>
    <row r="44" customFormat="false" ht="15" hidden="false" customHeight="false" outlineLevel="0" collapsed="false">
      <c r="A44" s="0" t="s">
        <v>96</v>
      </c>
      <c r="B44" s="21" t="n">
        <f aca="false">-B31*Assumptions!$C$75</f>
        <v>-67188.185904</v>
      </c>
      <c r="C44" s="21" t="n">
        <f aca="false">-C31*Assumptions!$C$75</f>
        <v>-70100.460310545</v>
      </c>
      <c r="D44" s="21" t="n">
        <f aca="false">-D31*Assumptions!$C$75</f>
        <v>-71719.0874641238</v>
      </c>
      <c r="E44" s="21" t="n">
        <f aca="false">-E31*Assumptions!$C$75</f>
        <v>-73597.2814591881</v>
      </c>
      <c r="F44" s="21" t="n">
        <f aca="false">-F31*Assumptions!$C$75</f>
        <v>-75623.0733670707</v>
      </c>
      <c r="G44" s="21" t="n">
        <f aca="false">-G31*Assumptions!$C$75</f>
        <v>-77776.7214499179</v>
      </c>
      <c r="H44" s="21" t="n">
        <f aca="false">-H31*Assumptions!$C$75</f>
        <v>-80044.5924669748</v>
      </c>
      <c r="I44" s="21" t="n">
        <f aca="false">-I31*Assumptions!$C$75</f>
        <v>-82417.505420105</v>
      </c>
      <c r="J44" s="21" t="n">
        <f aca="false">-J31*Assumptions!$C$75</f>
        <v>-84889.5316668542</v>
      </c>
      <c r="K44" s="21" t="n">
        <f aca="false">-K31*Assumptions!$C$75</f>
        <v>-87457.1259382564</v>
      </c>
    </row>
    <row r="45" customFormat="false" ht="15" hidden="false" customHeight="false" outlineLevel="0" collapsed="false">
      <c r="A45" s="0" t="s">
        <v>99</v>
      </c>
      <c r="B45" s="21" t="n">
        <f aca="false">-Assumptions!$C$6*Assumptions!$C$77*(1+Assumptions!$C$64)^(B$4-1)</f>
        <v>-24250</v>
      </c>
      <c r="C45" s="21" t="n">
        <f aca="false">-Assumptions!$C$6*Assumptions!$C$77*(1+Assumptions!$C$64)^(C$4-1)</f>
        <v>-25098.75</v>
      </c>
      <c r="D45" s="21" t="n">
        <f aca="false">-Assumptions!$C$6*Assumptions!$C$77*(1+Assumptions!$C$64)^(D$4-1)</f>
        <v>-25977.20625</v>
      </c>
      <c r="E45" s="21" t="n">
        <f aca="false">-Assumptions!$C$6*Assumptions!$C$77*(1+Assumptions!$C$64)^(E$4-1)</f>
        <v>-26886.40846875</v>
      </c>
      <c r="F45" s="21" t="n">
        <f aca="false">-Assumptions!$C$6*Assumptions!$C$77*(1+Assumptions!$C$64)^(F$4-1)</f>
        <v>-27827.4327651562</v>
      </c>
      <c r="G45" s="21" t="n">
        <f aca="false">-Assumptions!$C$6*Assumptions!$C$77*(1+Assumptions!$C$64)^(G$4-1)</f>
        <v>-28801.3929119367</v>
      </c>
      <c r="H45" s="21" t="n">
        <f aca="false">-Assumptions!$C$6*Assumptions!$C$77*(1+Assumptions!$C$64)^(H$4-1)</f>
        <v>-29809.4416638545</v>
      </c>
      <c r="I45" s="21" t="n">
        <f aca="false">-Assumptions!$C$6*Assumptions!$C$77*(1+Assumptions!$C$64)^(I$4-1)</f>
        <v>-30852.7721220894</v>
      </c>
      <c r="J45" s="21" t="n">
        <f aca="false">-Assumptions!$C$6*Assumptions!$C$77*(1+Assumptions!$C$64)^(J$4-1)</f>
        <v>-31932.6191463625</v>
      </c>
      <c r="K45" s="21" t="n">
        <f aca="false">-Assumptions!$C$6*Assumptions!$C$77*(1+Assumptions!$C$64)^(K$4-1)</f>
        <v>-33050.2608164852</v>
      </c>
    </row>
    <row r="46" customFormat="false" ht="15" hidden="false" customHeight="false" outlineLevel="0" collapsed="false">
      <c r="A46" s="0" t="s">
        <v>100</v>
      </c>
      <c r="B46" s="21" t="n">
        <f aca="false">-Assumptions!$C$6*Assumptions!$C$78*(1+Assumptions!$C$64)^(B$4-1)</f>
        <v>-14550</v>
      </c>
      <c r="C46" s="21" t="n">
        <f aca="false">-Assumptions!$C$6*Assumptions!$C$78*(1+Assumptions!$C$64)^(C$4-1)</f>
        <v>-15059.25</v>
      </c>
      <c r="D46" s="21" t="n">
        <f aca="false">-Assumptions!$C$6*Assumptions!$C$78*(1+Assumptions!$C$64)^(D$4-1)</f>
        <v>-15586.32375</v>
      </c>
      <c r="E46" s="21" t="n">
        <f aca="false">-Assumptions!$C$6*Assumptions!$C$78*(1+Assumptions!$C$64)^(E$4-1)</f>
        <v>-16131.84508125</v>
      </c>
      <c r="F46" s="21" t="n">
        <f aca="false">-Assumptions!$C$6*Assumptions!$C$78*(1+Assumptions!$C$64)^(F$4-1)</f>
        <v>-16696.4596590937</v>
      </c>
      <c r="G46" s="21" t="n">
        <f aca="false">-Assumptions!$C$6*Assumptions!$C$78*(1+Assumptions!$C$64)^(G$4-1)</f>
        <v>-17280.835747162</v>
      </c>
      <c r="H46" s="21" t="n">
        <f aca="false">-Assumptions!$C$6*Assumptions!$C$78*(1+Assumptions!$C$64)^(H$4-1)</f>
        <v>-17885.6649983127</v>
      </c>
      <c r="I46" s="21" t="n">
        <f aca="false">-Assumptions!$C$6*Assumptions!$C$78*(1+Assumptions!$C$64)^(I$4-1)</f>
        <v>-18511.6632732536</v>
      </c>
      <c r="J46" s="21" t="n">
        <f aca="false">-Assumptions!$C$6*Assumptions!$C$78*(1+Assumptions!$C$64)^(J$4-1)</f>
        <v>-19159.5714878175</v>
      </c>
      <c r="K46" s="21" t="n">
        <f aca="false">-Assumptions!$C$6*Assumptions!$C$78*(1+Assumptions!$C$64)^(K$4-1)</f>
        <v>-19830.1564898911</v>
      </c>
    </row>
    <row r="47" customFormat="false" ht="15" hidden="false" customHeight="false" outlineLevel="0" collapsed="false">
      <c r="A47" s="19" t="s">
        <v>287</v>
      </c>
      <c r="B47" s="10" t="n">
        <f aca="false">SUM(B34:B46)</f>
        <v>-1041432.015904</v>
      </c>
      <c r="C47" s="10" t="n">
        <f aca="false">SUM(C34:C46)</f>
        <v>-1086934.75321055</v>
      </c>
      <c r="D47" s="10" t="n">
        <f aca="false">SUM(D34:D46)</f>
        <v>-1133260.99607112</v>
      </c>
      <c r="E47" s="10" t="n">
        <f aca="false">SUM(E34:E46)</f>
        <v>-1182082.416451</v>
      </c>
      <c r="F47" s="10" t="n">
        <f aca="false">SUM(F34:F46)</f>
        <v>-1233412.74196293</v>
      </c>
      <c r="G47" s="10" t="n">
        <f aca="false">SUM(G34:G46)</f>
        <v>-1287365.63389919</v>
      </c>
      <c r="H47" s="10" t="n">
        <f aca="false">SUM(H34:H46)</f>
        <v>-1344069.0675825</v>
      </c>
      <c r="I47" s="10" t="n">
        <f aca="false">SUM(I34:I46)</f>
        <v>-1403664.20850473</v>
      </c>
      <c r="J47" s="10" t="n">
        <f aca="false">SUM(J34:J46)</f>
        <v>-1466304.78044918</v>
      </c>
      <c r="K47" s="10" t="n">
        <f aca="false">SUM(K34:K46)</f>
        <v>-1532156.80255679</v>
      </c>
    </row>
    <row r="49" customFormat="false" ht="15" hidden="false" customHeight="false" outlineLevel="0" collapsed="false">
      <c r="A49" s="19" t="s">
        <v>288</v>
      </c>
      <c r="B49" s="10" t="n">
        <f aca="false">B31+B47</f>
        <v>878230.438496</v>
      </c>
      <c r="C49" s="10" t="n">
        <f aca="false">C31+C47</f>
        <v>915935.541376455</v>
      </c>
      <c r="D49" s="10" t="n">
        <f aca="false">D31+D47</f>
        <v>915855.788618126</v>
      </c>
      <c r="E49" s="10" t="n">
        <f aca="false">E31+E47</f>
        <v>920697.053811519</v>
      </c>
      <c r="F49" s="10" t="n">
        <f aca="false">F31+F47</f>
        <v>927246.497096234</v>
      </c>
      <c r="G49" s="10" t="n">
        <f aca="false">G31+G47</f>
        <v>934826.407527038</v>
      </c>
      <c r="H49" s="10" t="n">
        <f aca="false">H31+H47</f>
        <v>942919.288616782</v>
      </c>
      <c r="I49" s="10" t="n">
        <f aca="false">I31+I47</f>
        <v>951121.660641126</v>
      </c>
      <c r="J49" s="10" t="n">
        <f aca="false">J31+J47</f>
        <v>959110.410032371</v>
      </c>
      <c r="K49" s="10" t="n">
        <f aca="false">K31+K47</f>
        <v>966618.224250536</v>
      </c>
    </row>
    <row r="50" customFormat="false" ht="15" hidden="false" customHeight="false" outlineLevel="0" collapsed="false">
      <c r="A50" s="0" t="s">
        <v>289</v>
      </c>
      <c r="B50" s="21" t="n">
        <f aca="false">B49-B42</f>
        <v>1114836.268496</v>
      </c>
      <c r="C50" s="21" t="n">
        <f aca="false">C49-C42</f>
        <v>1159639.54627646</v>
      </c>
      <c r="D50" s="21" t="n">
        <f aca="false">D49-D42</f>
        <v>1166870.91366513</v>
      </c>
      <c r="E50" s="21" t="n">
        <f aca="false">E49-E42</f>
        <v>1179242.63260993</v>
      </c>
      <c r="F50" s="21" t="n">
        <f aca="false">F49-F42</f>
        <v>1193548.4432586</v>
      </c>
      <c r="G50" s="21" t="n">
        <f aca="false">G49-G42</f>
        <v>1209117.41207427</v>
      </c>
      <c r="H50" s="21" t="n">
        <f aca="false">H49-H42</f>
        <v>1225439.02330043</v>
      </c>
      <c r="I50" s="21" t="n">
        <f aca="false">I49-I42</f>
        <v>1242116.98736529</v>
      </c>
      <c r="J50" s="21" t="n">
        <f aca="false">J49-J42</f>
        <v>1258835.59655826</v>
      </c>
      <c r="K50" s="21" t="n">
        <f aca="false">K49-K42</f>
        <v>1275335.1663722</v>
      </c>
    </row>
    <row r="52" customFormat="false" ht="15" hidden="false" customHeight="false" outlineLevel="0" collapsed="false">
      <c r="A52" s="3" t="s">
        <v>290</v>
      </c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false" outlineLevel="0" collapsed="false">
      <c r="A53" s="0" t="s">
        <v>291</v>
      </c>
      <c r="B53" s="21" t="n">
        <f aca="false">-Assumptions!$C$6*Assumptions!$C$79*(1+Assumptions!$C$64)^(B$4-1)</f>
        <v>-29100</v>
      </c>
      <c r="C53" s="21" t="n">
        <f aca="false">-Assumptions!$C$6*Assumptions!$C$79*(1+Assumptions!$C$64)^(C$4-1)</f>
        <v>-30118.5</v>
      </c>
      <c r="D53" s="21" t="n">
        <f aca="false">-Assumptions!$C$6*Assumptions!$C$79*(1+Assumptions!$C$64)^(D$4-1)</f>
        <v>-31172.6475</v>
      </c>
      <c r="E53" s="21" t="n">
        <f aca="false">-Assumptions!$C$6*Assumptions!$C$79*(1+Assumptions!$C$64)^(E$4-1)</f>
        <v>-32263.6901625</v>
      </c>
      <c r="F53" s="21" t="n">
        <f aca="false">-Assumptions!$C$6*Assumptions!$C$79*(1+Assumptions!$C$64)^(F$4-1)</f>
        <v>-33392.9193181875</v>
      </c>
      <c r="G53" s="21" t="n">
        <f aca="false">-Assumptions!$C$6*Assumptions!$C$79*(1+Assumptions!$C$64)^(G$4-1)</f>
        <v>-34561.6714943241</v>
      </c>
      <c r="H53" s="21" t="n">
        <f aca="false">-Assumptions!$C$6*Assumptions!$C$79*(1+Assumptions!$C$64)^(H$4-1)</f>
        <v>-35771.3299966254</v>
      </c>
      <c r="I53" s="21" t="n">
        <f aca="false">-Assumptions!$C$6*Assumptions!$C$79*(1+Assumptions!$C$64)^(I$4-1)</f>
        <v>-37023.3265465073</v>
      </c>
      <c r="J53" s="21" t="n">
        <f aca="false">-Assumptions!$C$6*Assumptions!$C$79*(1+Assumptions!$C$64)^(J$4-1)</f>
        <v>-38319.142975635</v>
      </c>
      <c r="K53" s="21" t="n">
        <f aca="false">-Assumptions!$C$6*Assumptions!$C$79*(1+Assumptions!$C$64)^(K$4-1)</f>
        <v>-39660.3129797823</v>
      </c>
    </row>
    <row r="54" customFormat="false" ht="15" hidden="false" customHeight="false" outlineLevel="0" collapsed="false">
      <c r="A54" s="0" t="s">
        <v>292</v>
      </c>
      <c r="B54" s="21" t="n">
        <f aca="false">-IF(B$4=1,Assumptions!$C$97*Assumptions!$C$98,0)-IF(B$4=Assumptions!$C$99,Assumptions!$C$100+Assumptions!$C$101,0)</f>
        <v>-0</v>
      </c>
      <c r="C54" s="21" t="n">
        <f aca="false">-IF(C$4=1,Assumptions!$C$97*Assumptions!$C$98,0)-IF(C$4=Assumptions!$C$99,Assumptions!$C$100+Assumptions!$C$101,0)</f>
        <v>-160000</v>
      </c>
      <c r="D54" s="21" t="n">
        <f aca="false">-IF(D$4=1,Assumptions!$C$97*Assumptions!$C$98,0)-IF(D$4=Assumptions!$C$99,Assumptions!$C$100+Assumptions!$C$101,0)</f>
        <v>-0</v>
      </c>
      <c r="E54" s="21" t="n">
        <f aca="false">-IF(E$4=1,Assumptions!$C$97*Assumptions!$C$98,0)-IF(E$4=Assumptions!$C$99,Assumptions!$C$100+Assumptions!$C$101,0)</f>
        <v>-0</v>
      </c>
      <c r="F54" s="21" t="n">
        <f aca="false">-IF(F$4=1,Assumptions!$C$97*Assumptions!$C$98,0)-IF(F$4=Assumptions!$C$99,Assumptions!$C$100+Assumptions!$C$101,0)</f>
        <v>-0</v>
      </c>
      <c r="G54" s="21" t="n">
        <f aca="false">-IF(G$4=1,Assumptions!$C$97*Assumptions!$C$98,0)-IF(G$4=Assumptions!$C$99,Assumptions!$C$100+Assumptions!$C$101,0)</f>
        <v>-0</v>
      </c>
      <c r="H54" s="21" t="n">
        <f aca="false">-IF(H$4=1,Assumptions!$C$97*Assumptions!$C$98,0)-IF(H$4=Assumptions!$C$99,Assumptions!$C$100+Assumptions!$C$101,0)</f>
        <v>-0</v>
      </c>
      <c r="I54" s="21" t="n">
        <f aca="false">-IF(I$4=1,Assumptions!$C$97*Assumptions!$C$98,0)-IF(I$4=Assumptions!$C$99,Assumptions!$C$100+Assumptions!$C$101,0)</f>
        <v>-0</v>
      </c>
      <c r="J54" s="21" t="n">
        <f aca="false">-IF(J$4=1,Assumptions!$C$97*Assumptions!$C$98,0)-IF(J$4=Assumptions!$C$99,Assumptions!$C$100+Assumptions!$C$101,0)</f>
        <v>-0</v>
      </c>
      <c r="K54" s="21" t="n">
        <f aca="false">-IF(K$4=1,Assumptions!$C$97*Assumptions!$C$98,0)-IF(K$4=Assumptions!$C$99,Assumptions!$C$100+Assumptions!$C$101,0)</f>
        <v>-0</v>
      </c>
    </row>
    <row r="55" customFormat="false" ht="15" hidden="false" customHeight="false" outlineLevel="0" collapsed="false">
      <c r="A55" s="19" t="s">
        <v>293</v>
      </c>
      <c r="B55" s="10" t="n">
        <f aca="false">B49+B53+B54</f>
        <v>849130.438496</v>
      </c>
      <c r="C55" s="10" t="n">
        <f aca="false">C49+C53+C54</f>
        <v>725817.041376455</v>
      </c>
      <c r="D55" s="10" t="n">
        <f aca="false">D49+D53+D54</f>
        <v>884683.141118126</v>
      </c>
      <c r="E55" s="10" t="n">
        <f aca="false">E49+E53+E54</f>
        <v>888433.363649019</v>
      </c>
      <c r="F55" s="10" t="n">
        <f aca="false">F49+F53+F54</f>
        <v>893853.577778046</v>
      </c>
      <c r="G55" s="10" t="n">
        <f aca="false">G49+G53+G54</f>
        <v>900264.736032714</v>
      </c>
      <c r="H55" s="10" t="n">
        <f aca="false">H49+H53+H54</f>
        <v>907147.958620157</v>
      </c>
      <c r="I55" s="10" t="n">
        <f aca="false">I49+I53+I54</f>
        <v>914098.334094619</v>
      </c>
      <c r="J55" s="10" t="n">
        <f aca="false">J49+J53+J54</f>
        <v>920791.267056736</v>
      </c>
      <c r="K55" s="10" t="n">
        <f aca="false">K49+K53+K54</f>
        <v>926957.911270753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294</v>
      </c>
    </row>
    <row r="4" customFormat="false" ht="15" hidden="false" customHeight="false" outlineLevel="0" collapsed="false">
      <c r="A4" s="3" t="s">
        <v>295</v>
      </c>
      <c r="B4" s="3"/>
      <c r="C4" s="3"/>
    </row>
    <row r="5" customFormat="false" ht="15" hidden="false" customHeight="false" outlineLevel="0" collapsed="false">
      <c r="A5" s="0" t="s">
        <v>296</v>
      </c>
      <c r="C5" s="21" t="n">
        <f aca="false">'Operating Model'!$B$49</f>
        <v>878230.438496</v>
      </c>
    </row>
    <row r="6" customFormat="false" ht="15" hidden="false" customHeight="false" outlineLevel="0" collapsed="false">
      <c r="A6" s="0" t="s">
        <v>297</v>
      </c>
      <c r="C6" s="23" t="n">
        <f aca="false">-PMT(Assumptions!$C$107,Assumptions!$C$111,1)</f>
        <v>0.0825379333350227</v>
      </c>
    </row>
    <row r="7" customFormat="false" ht="15" hidden="false" customHeight="false" outlineLevel="0" collapsed="false">
      <c r="A7" s="0" t="s">
        <v>298</v>
      </c>
      <c r="C7" s="21" t="n">
        <f aca="false">Assumptions!$C$7*Assumptions!$C$108</f>
        <v>10350000</v>
      </c>
    </row>
    <row r="8" customFormat="false" ht="15" hidden="false" customHeight="false" outlineLevel="0" collapsed="false">
      <c r="A8" s="0" t="s">
        <v>299</v>
      </c>
      <c r="C8" s="21" t="n">
        <f aca="false">Debt!$C$5/(Assumptions!$C$109*Debt!$C$6)</f>
        <v>8512260.02891301</v>
      </c>
    </row>
    <row r="9" customFormat="false" ht="15" hidden="false" customHeight="false" outlineLevel="0" collapsed="false">
      <c r="A9" s="19" t="s">
        <v>300</v>
      </c>
      <c r="C9" s="10" t="n">
        <f aca="false">MIN(C7,C8)</f>
        <v>8512260.02891301</v>
      </c>
    </row>
    <row r="10" customFormat="false" ht="15" hidden="false" customHeight="false" outlineLevel="0" collapsed="false">
      <c r="A10" s="0" t="s">
        <v>301</v>
      </c>
      <c r="C10" s="0" t="str">
        <f aca="false">IF(C9=C7,"LTV","DSCR")</f>
        <v>DSCR</v>
      </c>
    </row>
    <row r="11" customFormat="false" ht="15" hidden="false" customHeight="false" outlineLevel="0" collapsed="false">
      <c r="A11" s="0" t="s">
        <v>302</v>
      </c>
      <c r="C11" s="22" t="n">
        <f aca="false">Debt!$C$9/Assumptions!$C$7</f>
        <v>0.616830436877754</v>
      </c>
    </row>
    <row r="12" customFormat="false" ht="15" hidden="false" customHeight="false" outlineLevel="0" collapsed="false">
      <c r="A12" s="0" t="s">
        <v>303</v>
      </c>
      <c r="C12" s="22" t="n">
        <f aca="false">Debt!$C$5/Debt!$C$9</f>
        <v>0.103172416668778</v>
      </c>
    </row>
    <row r="13" customFormat="false" ht="15" hidden="false" customHeight="false" outlineLevel="0" collapsed="false">
      <c r="A13" s="0" t="s">
        <v>304</v>
      </c>
      <c r="C13" s="24" t="n">
        <f aca="false">Debt!$C$5/E18</f>
        <v>1.25</v>
      </c>
    </row>
    <row r="15" customFormat="false" ht="15" hidden="false" customHeight="false" outlineLevel="0" collapsed="false">
      <c r="A15" s="3" t="s">
        <v>305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19" t="s">
        <v>252</v>
      </c>
      <c r="B16" s="19" t="s">
        <v>306</v>
      </c>
      <c r="C16" s="19" t="s">
        <v>307</v>
      </c>
      <c r="D16" s="19" t="s">
        <v>308</v>
      </c>
      <c r="E16" s="19" t="s">
        <v>309</v>
      </c>
      <c r="F16" s="19" t="s">
        <v>310</v>
      </c>
    </row>
    <row r="17" customFormat="false" ht="15" hidden="false" customHeight="false" outlineLevel="0" collapsed="false">
      <c r="A17" s="0" t="s">
        <v>311</v>
      </c>
      <c r="B17" s="21" t="n">
        <f aca="false">-PMT(Assumptions!$C$107,Assumptions!$C$111,Debt!$C$9)</f>
        <v>702584.3507968</v>
      </c>
    </row>
    <row r="18" customFormat="false" ht="15" hidden="false" customHeight="false" outlineLevel="0" collapsed="false">
      <c r="A18" s="20" t="n">
        <v>1</v>
      </c>
      <c r="B18" s="21" t="n">
        <f aca="false">Debt!$C$9</f>
        <v>8512260.02891301</v>
      </c>
      <c r="C18" s="21" t="n">
        <f aca="false">B18*Assumptions!$C$107</f>
        <v>616287.626093302</v>
      </c>
      <c r="D18" s="21" t="n">
        <f aca="false">IF(A18&lt;=Assumptions!$C$110,0,Debt!$B$17-C18)</f>
        <v>86296.7247034982</v>
      </c>
      <c r="E18" s="21" t="n">
        <f aca="false">C18+D18</f>
        <v>702584.3507968</v>
      </c>
      <c r="F18" s="21" t="n">
        <f aca="false">B18-D18</f>
        <v>8425963.30420951</v>
      </c>
    </row>
    <row r="19" customFormat="false" ht="15" hidden="false" customHeight="false" outlineLevel="0" collapsed="false">
      <c r="A19" s="20" t="n">
        <v>2</v>
      </c>
      <c r="B19" s="21" t="n">
        <f aca="false">F18</f>
        <v>8425963.30420951</v>
      </c>
      <c r="C19" s="21" t="n">
        <f aca="false">B19*Assumptions!$C$107</f>
        <v>610039.743224768</v>
      </c>
      <c r="D19" s="21" t="n">
        <f aca="false">IF(A19&lt;=Assumptions!$C$110,0,Debt!$B$17-C19)</f>
        <v>92544.6075720314</v>
      </c>
      <c r="E19" s="21" t="n">
        <f aca="false">C19+D19</f>
        <v>702584.3507968</v>
      </c>
      <c r="F19" s="21" t="n">
        <f aca="false">B19-D19</f>
        <v>8333418.69663748</v>
      </c>
    </row>
    <row r="20" customFormat="false" ht="15" hidden="false" customHeight="false" outlineLevel="0" collapsed="false">
      <c r="A20" s="20" t="n">
        <v>3</v>
      </c>
      <c r="B20" s="21" t="n">
        <f aca="false">F19</f>
        <v>8333418.69663748</v>
      </c>
      <c r="C20" s="21" t="n">
        <f aca="false">B20*Assumptions!$C$107</f>
        <v>603339.513636553</v>
      </c>
      <c r="D20" s="21" t="n">
        <f aca="false">IF(A20&lt;=Assumptions!$C$110,0,Debt!$B$17-C20)</f>
        <v>99244.8371602465</v>
      </c>
      <c r="E20" s="21" t="n">
        <f aca="false">C20+D20</f>
        <v>702584.3507968</v>
      </c>
      <c r="F20" s="21" t="n">
        <f aca="false">B20-D20</f>
        <v>8234173.85947723</v>
      </c>
    </row>
    <row r="21" customFormat="false" ht="15" hidden="false" customHeight="false" outlineLevel="0" collapsed="false">
      <c r="A21" s="20" t="n">
        <v>4</v>
      </c>
      <c r="B21" s="21" t="n">
        <f aca="false">F20</f>
        <v>8234173.85947723</v>
      </c>
      <c r="C21" s="21" t="n">
        <f aca="false">B21*Assumptions!$C$107</f>
        <v>596154.187426152</v>
      </c>
      <c r="D21" s="21" t="n">
        <f aca="false">IF(A21&lt;=Assumptions!$C$110,0,Debt!$B$17-C21)</f>
        <v>106430.163370648</v>
      </c>
      <c r="E21" s="21" t="n">
        <f aca="false">C21+D21</f>
        <v>702584.3507968</v>
      </c>
      <c r="F21" s="21" t="n">
        <f aca="false">B21-D21</f>
        <v>8127743.69610658</v>
      </c>
    </row>
    <row r="22" customFormat="false" ht="15" hidden="false" customHeight="false" outlineLevel="0" collapsed="false">
      <c r="A22" s="20" t="n">
        <v>5</v>
      </c>
      <c r="B22" s="21" t="n">
        <f aca="false">F21</f>
        <v>8127743.69610658</v>
      </c>
      <c r="C22" s="21" t="n">
        <f aca="false">B22*Assumptions!$C$107</f>
        <v>588448.643598117</v>
      </c>
      <c r="D22" s="21" t="n">
        <f aca="false">IF(A22&lt;=Assumptions!$C$110,0,Debt!$B$17-C22)</f>
        <v>114135.707198683</v>
      </c>
      <c r="E22" s="21" t="n">
        <f aca="false">C22+D22</f>
        <v>702584.3507968</v>
      </c>
      <c r="F22" s="21" t="n">
        <f aca="false">B22-D22</f>
        <v>8013607.9889079</v>
      </c>
    </row>
    <row r="24" customFormat="false" ht="15" hidden="false" customHeight="false" outlineLevel="0" collapsed="false">
      <c r="A24" s="0" t="s">
        <v>312</v>
      </c>
      <c r="C24" s="22" t="n">
        <f aca="false">INDEX(Assumptions!$C$112:$C$121,Assumptions!$C$154)</f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5"/>
  </cols>
  <sheetData>
    <row r="1" customFormat="false" ht="17.35" hidden="false" customHeight="false" outlineLevel="0" collapsed="false">
      <c r="A1" s="1" t="s">
        <v>313</v>
      </c>
    </row>
    <row r="4" customFormat="false" ht="15" hidden="false" customHeight="false" outlineLevel="0" collapsed="false">
      <c r="A4" s="3" t="s">
        <v>314</v>
      </c>
      <c r="B4" s="3"/>
    </row>
    <row r="5" customFormat="false" ht="15" hidden="false" customHeight="false" outlineLevel="0" collapsed="false">
      <c r="A5" s="0" t="s">
        <v>315</v>
      </c>
      <c r="B5" s="21" t="n">
        <f aca="false">Assumptions!$C$7</f>
        <v>13800000</v>
      </c>
    </row>
    <row r="6" customFormat="false" ht="15" hidden="false" customHeight="false" outlineLevel="0" collapsed="false">
      <c r="A6" s="0" t="s">
        <v>316</v>
      </c>
      <c r="B6" s="21" t="n">
        <f aca="false">Assumptions!$C$11</f>
        <v>207000</v>
      </c>
    </row>
    <row r="7" customFormat="false" ht="15" hidden="false" customHeight="false" outlineLevel="0" collapsed="false">
      <c r="A7" s="0" t="s">
        <v>317</v>
      </c>
      <c r="B7" s="21" t="n">
        <f aca="false">'Unit Mix'!$D$18</f>
        <v>491040</v>
      </c>
    </row>
    <row r="8" customFormat="false" ht="15" hidden="false" customHeight="false" outlineLevel="0" collapsed="false">
      <c r="A8" s="19" t="s">
        <v>318</v>
      </c>
      <c r="B8" s="10" t="n">
        <f aca="false">SUM(B5:B7)</f>
        <v>14498040</v>
      </c>
    </row>
    <row r="10" customFormat="false" ht="15" hidden="false" customHeight="false" outlineLevel="0" collapsed="false">
      <c r="A10" s="3" t="s">
        <v>319</v>
      </c>
      <c r="B10" s="3"/>
    </row>
    <row r="11" customFormat="false" ht="15" hidden="false" customHeight="false" outlineLevel="0" collapsed="false">
      <c r="A11" s="0" t="s">
        <v>320</v>
      </c>
      <c r="B11" s="21" t="n">
        <f aca="false">Debt!$C$9</f>
        <v>8512260.02891301</v>
      </c>
    </row>
    <row r="12" customFormat="false" ht="15" hidden="false" customHeight="false" outlineLevel="0" collapsed="false">
      <c r="A12" s="0" t="s">
        <v>321</v>
      </c>
      <c r="B12" s="21" t="n">
        <f aca="false">Capital!$B$8-B11</f>
        <v>5985779.97108699</v>
      </c>
    </row>
    <row r="13" customFormat="false" ht="15" hidden="false" customHeight="false" outlineLevel="0" collapsed="false">
      <c r="A13" s="19" t="s">
        <v>322</v>
      </c>
      <c r="B13" s="10" t="n">
        <f aca="false">SUM(B11:B12)</f>
        <v>14498040</v>
      </c>
    </row>
    <row r="15" customFormat="false" ht="15" hidden="false" customHeight="false" outlineLevel="0" collapsed="false">
      <c r="A15" s="3" t="s">
        <v>323</v>
      </c>
      <c r="B15" s="3"/>
    </row>
    <row r="16" customFormat="false" ht="15" hidden="false" customHeight="false" outlineLevel="0" collapsed="false">
      <c r="A16" s="0" t="s">
        <v>324</v>
      </c>
      <c r="B16" s="21" t="n">
        <f aca="false">Capital!$B$12*(1-Assumptions!$C$174)</f>
        <v>5387201.9739783</v>
      </c>
    </row>
    <row r="17" customFormat="false" ht="15" hidden="false" customHeight="false" outlineLevel="0" collapsed="false">
      <c r="A17" s="0" t="s">
        <v>325</v>
      </c>
      <c r="B17" s="21" t="n">
        <f aca="false">Capital!$B$12*Assumptions!$C$174</f>
        <v>598577.997108699</v>
      </c>
    </row>
    <row r="19" customFormat="false" ht="15" hidden="false" customHeight="false" outlineLevel="0" collapsed="false">
      <c r="A19" s="0" t="s">
        <v>326</v>
      </c>
      <c r="B19" s="21" t="n">
        <f aca="false">Capital!$B$13-Capital!$B$8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327</v>
      </c>
    </row>
    <row r="4" customFormat="false" ht="15" hidden="false" customHeight="false" outlineLevel="0" collapsed="false">
      <c r="A4" s="3" t="s">
        <v>328</v>
      </c>
      <c r="B4" s="3"/>
    </row>
    <row r="5" customFormat="false" ht="15" hidden="false" customHeight="false" outlineLevel="0" collapsed="false">
      <c r="A5" s="2" t="s">
        <v>329</v>
      </c>
    </row>
    <row r="6" customFormat="false" ht="15" hidden="false" customHeight="false" outlineLevel="0" collapsed="false">
      <c r="A6" s="0" t="s">
        <v>330</v>
      </c>
      <c r="B6" s="21" t="n">
        <f aca="false">(SUMPRODUCT('Unit Mix'!$C$6:$C$9,'Unit Mix'!$F$6:$F$9)+SUMPRODUCT('Unit Mix'!$D$6:$D$9,'Unit Mix'!$G$6:$G$9))*12</f>
        <v>1938522</v>
      </c>
    </row>
    <row r="7" customFormat="false" ht="15" hidden="false" customHeight="false" outlineLevel="0" collapsed="false">
      <c r="A7" s="0" t="s">
        <v>272</v>
      </c>
      <c r="B7" s="21" t="n">
        <f aca="false">-Returns!$B$6*Assumptions!$C$42</f>
        <v>-126003.93</v>
      </c>
    </row>
    <row r="8" customFormat="false" ht="15" hidden="false" customHeight="false" outlineLevel="0" collapsed="false">
      <c r="A8" s="0" t="s">
        <v>273</v>
      </c>
      <c r="B8" s="21" t="n">
        <f aca="false">-Returns!$B$6*Assumptions!$C$43</f>
        <v>-19385.22</v>
      </c>
    </row>
    <row r="9" customFormat="false" ht="15" hidden="false" customHeight="false" outlineLevel="0" collapsed="false">
      <c r="A9" s="0" t="s">
        <v>274</v>
      </c>
      <c r="B9" s="21" t="n">
        <f aca="false">-Returns!$B$6*Assumptions!$C$44</f>
        <v>-9692.61</v>
      </c>
    </row>
    <row r="10" customFormat="false" ht="15" hidden="false" customHeight="false" outlineLevel="0" collapsed="false">
      <c r="A10" s="0" t="s">
        <v>331</v>
      </c>
      <c r="B10" s="21" t="n">
        <f aca="false">('Operating Model'!$B$29+'Operating Model'!$B$30)</f>
        <v>63991.8</v>
      </c>
    </row>
    <row r="11" customFormat="false" ht="15" hidden="false" customHeight="false" outlineLevel="0" collapsed="false">
      <c r="A11" s="19" t="s">
        <v>332</v>
      </c>
      <c r="B11" s="10" t="n">
        <f aca="false">SUM(B6:B10)</f>
        <v>1847432.04</v>
      </c>
    </row>
    <row r="12" customFormat="false" ht="15" hidden="false" customHeight="false" outlineLevel="0" collapsed="false">
      <c r="A12" s="0" t="s">
        <v>333</v>
      </c>
      <c r="B12" s="21" t="n">
        <f aca="false">'Operating Model'!$B$34+'Operating Model'!$B$35+'Operating Model'!$B$36+'Operating Model'!$B$37+'Operating Model'!$B$38+'Operating Model'!$B$39+'Operating Model'!$B$40+'Operating Model'!$B$41+'Operating Model'!$B$42+'Operating Model'!$B$43+'Operating Model'!$B$45+'Operating Model'!$B$46</f>
        <v>-974243.83</v>
      </c>
    </row>
    <row r="13" customFormat="false" ht="15" hidden="false" customHeight="false" outlineLevel="0" collapsed="false">
      <c r="A13" s="0" t="s">
        <v>334</v>
      </c>
      <c r="B13" s="21" t="n">
        <f aca="false">-Returns!$B$11*Assumptions!$C$75</f>
        <v>-64660.1214</v>
      </c>
    </row>
    <row r="14" customFormat="false" ht="15" hidden="false" customHeight="false" outlineLevel="0" collapsed="false">
      <c r="A14" s="19" t="s">
        <v>335</v>
      </c>
      <c r="B14" s="10" t="n">
        <f aca="false">Returns!$B$11+B12+B13</f>
        <v>808528.0886</v>
      </c>
    </row>
    <row r="16" customFormat="false" ht="15" hidden="false" customHeight="false" outlineLevel="0" collapsed="false">
      <c r="A16" s="3" t="s">
        <v>336</v>
      </c>
      <c r="B16" s="3"/>
    </row>
    <row r="17" customFormat="false" ht="15" hidden="false" customHeight="false" outlineLevel="0" collapsed="false">
      <c r="A17" s="2" t="s">
        <v>337</v>
      </c>
    </row>
    <row r="18" customFormat="false" ht="15" hidden="false" customHeight="false" outlineLevel="0" collapsed="false">
      <c r="A18" s="0" t="s">
        <v>338</v>
      </c>
      <c r="B18" s="21" t="n">
        <f aca="false">(SUMPRODUCT('Unit Mix'!$C$6:$C$9,'Unit Mix'!$F$6:$F$9)+'Unit Mix'!$D$6*('Unit Mix'!$G$6+Assumptions!$C$48*Assumptions!$C$47*('Operating Model'!$B$9-'Unit Mix'!$G$6))+'Unit Mix'!$D$7*('Unit Mix'!$G$7+Assumptions!$C$48*Assumptions!$C$47*('Operating Model'!$B$12-'Unit Mix'!$G$7))+'Unit Mix'!$D$8*('Unit Mix'!$G$8+Assumptions!$C$48*Assumptions!$C$47*('Operating Model'!$B$15-'Unit Mix'!$G$8))+'Unit Mix'!$D$9*('Unit Mix'!$G$9+Assumptions!$C$48*Assumptions!$C$47*('Operating Model'!$B$18-'Unit Mix'!$G$9)))*12</f>
        <v>1969483.92</v>
      </c>
    </row>
    <row r="19" customFormat="false" ht="15" hidden="false" customHeight="false" outlineLevel="0" collapsed="false">
      <c r="A19" s="0" t="s">
        <v>339</v>
      </c>
      <c r="B19" s="21" t="n">
        <f aca="false">Returns!$B$18*(1-Assumptions!$C$42-Assumptions!$C$43-Assumptions!$C$44)+('Operating Model'!$B$29+'Operating Model'!$B$30)</f>
        <v>1875917.0064</v>
      </c>
    </row>
    <row r="20" customFormat="false" ht="15" hidden="false" customHeight="false" outlineLevel="0" collapsed="false">
      <c r="A20" s="0" t="s">
        <v>340</v>
      </c>
      <c r="B20" s="21" t="n">
        <f aca="false">Returns!$B$19+B12-Returns!$B$19*Assumptions!$C$75</f>
        <v>836016.081176</v>
      </c>
    </row>
    <row r="22" customFormat="false" ht="15" hidden="false" customHeight="false" outlineLevel="0" collapsed="false">
      <c r="A22" s="0" t="s">
        <v>341</v>
      </c>
      <c r="B22" s="21" t="n">
        <f aca="false">Returns!$B$14</f>
        <v>808528.0886</v>
      </c>
    </row>
    <row r="23" customFormat="false" ht="15" hidden="false" customHeight="false" outlineLevel="0" collapsed="false">
      <c r="A23" s="0" t="s">
        <v>342</v>
      </c>
      <c r="B23" s="21" t="n">
        <f aca="false">Returns!$B$20-Returns!$B$14</f>
        <v>27487.992576</v>
      </c>
    </row>
    <row r="24" customFormat="false" ht="15" hidden="false" customHeight="false" outlineLevel="0" collapsed="false">
      <c r="A24" s="0" t="s">
        <v>343</v>
      </c>
      <c r="B24" s="21" t="n">
        <f aca="false">'Operating Model'!$B$49-Returns!$B$20</f>
        <v>42214.35732</v>
      </c>
    </row>
    <row r="25" customFormat="false" ht="15" hidden="false" customHeight="false" outlineLevel="0" collapsed="false">
      <c r="A25" s="19" t="s">
        <v>344</v>
      </c>
      <c r="B25" s="10" t="n">
        <f aca="false">B22+B23+B24</f>
        <v>878230.438496</v>
      </c>
    </row>
    <row r="27" customFormat="false" ht="15" hidden="false" customHeight="false" outlineLevel="0" collapsed="false">
      <c r="A27" s="3" t="s">
        <v>345</v>
      </c>
      <c r="B27" s="3"/>
    </row>
    <row r="28" customFormat="false" ht="15" hidden="false" customHeight="false" outlineLevel="0" collapsed="false">
      <c r="A28" s="0" t="s">
        <v>346</v>
      </c>
      <c r="B28" s="22" t="n">
        <f aca="false">Assumptions!$C$8</f>
        <v>0.07</v>
      </c>
    </row>
    <row r="29" customFormat="false" ht="15" hidden="false" customHeight="false" outlineLevel="0" collapsed="false">
      <c r="A29" s="19" t="s">
        <v>347</v>
      </c>
      <c r="B29" s="25" t="n">
        <f aca="false">Returns!$B$14/Assumptions!$C$7</f>
        <v>0.0585889919275362</v>
      </c>
    </row>
    <row r="30" customFormat="false" ht="15" hidden="false" customHeight="false" outlineLevel="0" collapsed="false">
      <c r="A30" s="0" t="s">
        <v>348</v>
      </c>
      <c r="B30" s="22" t="n">
        <f aca="false">'Operating Model'!$B$49/Assumptions!$C$7</f>
        <v>0.0636398868475362</v>
      </c>
    </row>
    <row r="32" customFormat="false" ht="15" hidden="false" customHeight="false" outlineLevel="0" collapsed="false">
      <c r="A32" s="3" t="s">
        <v>349</v>
      </c>
      <c r="B32" s="3"/>
    </row>
    <row r="33" customFormat="false" ht="15" hidden="false" customHeight="false" outlineLevel="0" collapsed="false">
      <c r="A33" s="19" t="s">
        <v>350</v>
      </c>
      <c r="B33" s="15" t="n">
        <f aca="false">Assumptions!$C$157</f>
        <v>0.066</v>
      </c>
    </row>
    <row r="34" customFormat="false" ht="15" hidden="false" customHeight="false" outlineLevel="0" collapsed="false">
      <c r="A34" s="0" t="s">
        <v>351</v>
      </c>
      <c r="B34" s="26" t="n">
        <f aca="false">Returns!$B$33-Returns!$B$29</f>
        <v>0.00741100807246378</v>
      </c>
    </row>
    <row r="35" customFormat="false" ht="15" hidden="false" customHeight="false" outlineLevel="0" collapsed="false">
      <c r="A35" s="0" t="s">
        <v>352</v>
      </c>
      <c r="B35" s="22" t="n">
        <f aca="false">Assumptions!$C$14*Assumptions!$C$16</f>
        <v>0.01714535</v>
      </c>
    </row>
    <row r="36" customFormat="false" ht="15" hidden="false" customHeight="false" outlineLevel="0" collapsed="false">
      <c r="A36" s="0" t="s">
        <v>353</v>
      </c>
      <c r="B36" s="21" t="n">
        <f aca="false">'Operating Model'!$G$50</f>
        <v>1209117.41207427</v>
      </c>
    </row>
    <row r="37" customFormat="false" ht="15" hidden="false" customHeight="false" outlineLevel="0" collapsed="false">
      <c r="A37" s="19" t="s">
        <v>354</v>
      </c>
      <c r="B37" s="10" t="n">
        <f aca="false">Returns!$B$36/(Returns!$B$33+Returns!$B$35)</f>
        <v>14542213.2695848</v>
      </c>
    </row>
    <row r="38" customFormat="false" ht="15" hidden="false" customHeight="false" outlineLevel="0" collapsed="false">
      <c r="A38" s="0" t="s">
        <v>355</v>
      </c>
      <c r="B38" s="21" t="n">
        <f aca="false">-Returns!$B$37*Assumptions!$C$158</f>
        <v>-290844.265391696</v>
      </c>
    </row>
    <row r="39" customFormat="false" ht="15" hidden="false" customHeight="false" outlineLevel="0" collapsed="false">
      <c r="A39" s="0" t="s">
        <v>356</v>
      </c>
      <c r="B39" s="21" t="n">
        <f aca="false">-Debt!$F$22</f>
        <v>-8013607.9889079</v>
      </c>
    </row>
    <row r="40" customFormat="false" ht="15" hidden="false" customHeight="false" outlineLevel="0" collapsed="false">
      <c r="A40" s="0" t="s">
        <v>357</v>
      </c>
      <c r="B40" s="21" t="n">
        <f aca="false">Returns!$B$39*Debt!$C$24</f>
        <v>-240408.239667237</v>
      </c>
    </row>
    <row r="41" customFormat="false" ht="15" hidden="false" customHeight="false" outlineLevel="0" collapsed="false">
      <c r="A41" s="19" t="s">
        <v>358</v>
      </c>
      <c r="B41" s="10" t="n">
        <f aca="false">Returns!$B$37+Returns!$B$38+Returns!$B$39+B40</f>
        <v>5997352.77561795</v>
      </c>
    </row>
    <row r="42" customFormat="false" ht="15" hidden="false" customHeight="false" outlineLevel="0" collapsed="false">
      <c r="A42" s="0" t="s">
        <v>359</v>
      </c>
      <c r="B42" s="21" t="n">
        <f aca="false">Returns!$B$37+Returns!$B$38</f>
        <v>14251369.0041931</v>
      </c>
    </row>
    <row r="44" customFormat="false" ht="15" hidden="false" customHeight="false" outlineLevel="0" collapsed="false">
      <c r="A44" s="3" t="s">
        <v>360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19"/>
      <c r="B45" s="19" t="s">
        <v>361</v>
      </c>
      <c r="C45" s="19" t="s">
        <v>362</v>
      </c>
      <c r="D45" s="19" t="s">
        <v>363</v>
      </c>
      <c r="E45" s="19" t="s">
        <v>364</v>
      </c>
      <c r="F45" s="19" t="s">
        <v>365</v>
      </c>
      <c r="G45" s="19" t="s">
        <v>366</v>
      </c>
    </row>
    <row r="46" customFormat="false" ht="15" hidden="false" customHeight="false" outlineLevel="0" collapsed="false">
      <c r="A46" s="0" t="s">
        <v>367</v>
      </c>
      <c r="C46" s="21" t="n">
        <f aca="false">'Operating Model'!$B$55</f>
        <v>849130.438496</v>
      </c>
      <c r="D46" s="21" t="n">
        <f aca="false">'Operating Model'!$C$55</f>
        <v>725817.041376455</v>
      </c>
      <c r="E46" s="21" t="n">
        <f aca="false">'Operating Model'!$D$55</f>
        <v>884683.141118126</v>
      </c>
      <c r="F46" s="21" t="n">
        <f aca="false">'Operating Model'!$E$55</f>
        <v>888433.363649019</v>
      </c>
      <c r="G46" s="21" t="n">
        <f aca="false">'Operating Model'!$F$55</f>
        <v>893853.577778046</v>
      </c>
    </row>
    <row r="47" customFormat="false" ht="15" hidden="false" customHeight="false" outlineLevel="0" collapsed="false">
      <c r="A47" s="0" t="s">
        <v>368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f aca="false">Returns!$B$42</f>
        <v>14251369.0041931</v>
      </c>
    </row>
    <row r="48" customFormat="false" ht="15" hidden="false" customHeight="false" outlineLevel="0" collapsed="false">
      <c r="A48" s="19" t="s">
        <v>369</v>
      </c>
      <c r="B48" s="10" t="n">
        <f aca="false">-B56</f>
        <v>-14498040</v>
      </c>
      <c r="C48" s="10" t="n">
        <f aca="false">C46+C47</f>
        <v>849130.438496</v>
      </c>
      <c r="D48" s="10" t="n">
        <f aca="false">D46+D47</f>
        <v>725817.041376455</v>
      </c>
      <c r="E48" s="10" t="n">
        <f aca="false">E46+E47</f>
        <v>884683.141118126</v>
      </c>
      <c r="F48" s="10" t="n">
        <f aca="false">F46+F47</f>
        <v>888433.363649019</v>
      </c>
      <c r="G48" s="10" t="n">
        <f aca="false">G46+G47</f>
        <v>15145222.5819711</v>
      </c>
    </row>
    <row r="49" customFormat="false" ht="15" hidden="false" customHeight="false" outlineLevel="0" collapsed="false">
      <c r="A49" s="0" t="s">
        <v>370</v>
      </c>
      <c r="C49" s="21" t="n">
        <f aca="false">-Debt!$E$18</f>
        <v>-702584.3507968</v>
      </c>
      <c r="D49" s="21" t="n">
        <f aca="false">-Debt!$E$19</f>
        <v>-702584.3507968</v>
      </c>
      <c r="E49" s="21" t="n">
        <f aca="false">-Debt!$E$20</f>
        <v>-702584.3507968</v>
      </c>
      <c r="F49" s="21" t="n">
        <f aca="false">-Debt!$E$21</f>
        <v>-702584.3507968</v>
      </c>
      <c r="G49" s="21" t="n">
        <f aca="false">-Debt!$E$22</f>
        <v>-702584.3507968</v>
      </c>
    </row>
    <row r="50" customFormat="false" ht="15" hidden="false" customHeight="false" outlineLevel="0" collapsed="false">
      <c r="A50" s="0" t="s">
        <v>371</v>
      </c>
      <c r="C50" s="21" t="n">
        <f aca="false">C46+C49</f>
        <v>146546.0876992</v>
      </c>
      <c r="D50" s="21" t="n">
        <f aca="false">D46+D49</f>
        <v>23232.6905796553</v>
      </c>
      <c r="E50" s="21" t="n">
        <f aca="false">E46+E49</f>
        <v>182098.790321326</v>
      </c>
      <c r="F50" s="21" t="n">
        <f aca="false">F46+F49</f>
        <v>185849.012852219</v>
      </c>
      <c r="G50" s="21" t="n">
        <f aca="false">G46+G49</f>
        <v>191269.226981246</v>
      </c>
    </row>
    <row r="51" customFormat="false" ht="15" hidden="false" customHeight="false" outlineLevel="0" collapsed="false">
      <c r="A51" s="0" t="s">
        <v>372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f aca="false">Returns!$B$41</f>
        <v>5997352.77561795</v>
      </c>
    </row>
    <row r="52" customFormat="false" ht="15" hidden="false" customHeight="false" outlineLevel="0" collapsed="false">
      <c r="A52" s="19" t="s">
        <v>373</v>
      </c>
      <c r="B52" s="10" t="n">
        <f aca="false">-B55</f>
        <v>-5985779.97108699</v>
      </c>
      <c r="C52" s="10" t="n">
        <f aca="false">C50+C51</f>
        <v>146546.0876992</v>
      </c>
      <c r="D52" s="10" t="n">
        <f aca="false">D50+D51</f>
        <v>23232.6905796553</v>
      </c>
      <c r="E52" s="10" t="n">
        <f aca="false">E50+E51</f>
        <v>182098.790321326</v>
      </c>
      <c r="F52" s="10" t="n">
        <f aca="false">F50+F51</f>
        <v>185849.012852219</v>
      </c>
      <c r="G52" s="10" t="n">
        <f aca="false">G50+G51</f>
        <v>6188622.0025992</v>
      </c>
    </row>
    <row r="54" customFormat="false" ht="15" hidden="false" customHeight="false" outlineLevel="0" collapsed="false">
      <c r="A54" s="3" t="s">
        <v>374</v>
      </c>
      <c r="B54" s="3"/>
    </row>
    <row r="55" customFormat="false" ht="15" hidden="false" customHeight="false" outlineLevel="0" collapsed="false">
      <c r="A55" s="0" t="s">
        <v>375</v>
      </c>
      <c r="B55" s="21" t="n">
        <f aca="false">Capital!$B$12</f>
        <v>5985779.97108699</v>
      </c>
    </row>
    <row r="56" customFormat="false" ht="15" hidden="false" customHeight="false" outlineLevel="0" collapsed="false">
      <c r="A56" s="0" t="s">
        <v>376</v>
      </c>
      <c r="B56" s="21" t="n">
        <f aca="false">Capital!$B$8</f>
        <v>14498040</v>
      </c>
    </row>
    <row r="57" customFormat="false" ht="15" hidden="false" customHeight="false" outlineLevel="0" collapsed="false">
      <c r="A57" s="0" t="s">
        <v>377</v>
      </c>
      <c r="B57" s="22" t="n">
        <f aca="false">IFERROR(IRR(B48:G48),"N/A - no sign change / undefined")</f>
        <v>0.0552856148143237</v>
      </c>
    </row>
    <row r="58" customFormat="false" ht="15" hidden="false" customHeight="false" outlineLevel="0" collapsed="false">
      <c r="A58" s="0" t="s">
        <v>378</v>
      </c>
      <c r="B58" s="22" t="n">
        <f aca="false">IFERROR(IRR(B52:G52),"N/A - no sign change / undefined")</f>
        <v>0.0245228004269767</v>
      </c>
    </row>
    <row r="59" customFormat="false" ht="15" hidden="false" customHeight="false" outlineLevel="0" collapsed="false">
      <c r="A59" s="0" t="s">
        <v>379</v>
      </c>
      <c r="B59" s="24" t="n">
        <f aca="false">SUM(C48:G48)/B56</f>
        <v>1.27557149563739</v>
      </c>
    </row>
    <row r="60" customFormat="false" ht="15" hidden="false" customHeight="false" outlineLevel="0" collapsed="false">
      <c r="A60" s="0" t="s">
        <v>380</v>
      </c>
      <c r="B60" s="24" t="n">
        <f aca="false">SUM(C52:G52)/B55</f>
        <v>1.12372132229079</v>
      </c>
    </row>
    <row r="61" customFormat="false" ht="15" hidden="false" customHeight="false" outlineLevel="0" collapsed="false">
      <c r="A61" s="0" t="s">
        <v>381</v>
      </c>
      <c r="B61" s="21" t="n">
        <f aca="false">B55</f>
        <v>5985779.97108699</v>
      </c>
    </row>
    <row r="63" customFormat="false" ht="15" hidden="false" customHeight="false" outlineLevel="0" collapsed="false">
      <c r="A63" s="3" t="s">
        <v>382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C64" s="22" t="n">
        <f aca="false">C50/B55</f>
        <v>0.0244823712877952</v>
      </c>
      <c r="D64" s="22" t="n">
        <f aca="false">D50/B55</f>
        <v>0.00388131382908757</v>
      </c>
      <c r="E64" s="22" t="n">
        <f aca="false">E50/B55</f>
        <v>0.0304218984327714</v>
      </c>
      <c r="F64" s="22" t="n">
        <f aca="false">F50/B55</f>
        <v>0.0310484203812907</v>
      </c>
      <c r="G64" s="22" t="n">
        <f aca="false">G50/B55</f>
        <v>0.0319539354779378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383</v>
      </c>
    </row>
    <row r="3" customFormat="false" ht="15" hidden="false" customHeight="false" outlineLevel="0" collapsed="false">
      <c r="A3" s="2" t="s">
        <v>384</v>
      </c>
    </row>
    <row r="5" customFormat="false" ht="15" hidden="false" customHeight="false" outlineLevel="0" collapsed="false">
      <c r="A5" s="3" t="s">
        <v>385</v>
      </c>
      <c r="B5" s="3"/>
    </row>
    <row r="6" customFormat="false" ht="15" hidden="false" customHeight="false" outlineLevel="0" collapsed="false">
      <c r="A6" s="0" t="s">
        <v>386</v>
      </c>
      <c r="B6" s="21" t="n">
        <f aca="false">Assumptions!$C$7*Assumptions!$C$132</f>
        <v>10350000</v>
      </c>
    </row>
    <row r="7" customFormat="false" ht="15" hidden="false" customHeight="false" outlineLevel="0" collapsed="false">
      <c r="A7" s="19" t="s">
        <v>387</v>
      </c>
      <c r="B7" s="10" t="n">
        <f aca="false">MAX(0,Assumptions!$C$124+Assumptions!$C$127-B6)</f>
        <v>0</v>
      </c>
    </row>
    <row r="8" customFormat="false" ht="15" hidden="false" customHeight="false" outlineLevel="0" collapsed="false">
      <c r="A8" s="0" t="s">
        <v>388</v>
      </c>
      <c r="B8" s="21" t="n">
        <f aca="false">MIN('Debt (Assumed)'!$B$7,Assumptions!$C$127)</f>
        <v>0</v>
      </c>
    </row>
    <row r="9" customFormat="false" ht="15" hidden="false" customHeight="false" outlineLevel="0" collapsed="false">
      <c r="A9" s="0" t="s">
        <v>389</v>
      </c>
      <c r="B9" s="21" t="n">
        <f aca="false">'Debt (Assumed)'!$B$7-B8</f>
        <v>0</v>
      </c>
    </row>
    <row r="10" customFormat="false" ht="15" hidden="false" customHeight="false" outlineLevel="0" collapsed="false">
      <c r="A10" s="0" t="s">
        <v>390</v>
      </c>
      <c r="B10" s="21" t="n">
        <f aca="false">Assumptions!$C$124-B9</f>
        <v>5887000</v>
      </c>
    </row>
    <row r="11" customFormat="false" ht="15" hidden="false" customHeight="false" outlineLevel="0" collapsed="false">
      <c r="A11" s="0" t="s">
        <v>391</v>
      </c>
      <c r="B11" s="21" t="n">
        <f aca="false">Assumptions!$C$127-B8</f>
        <v>3563000</v>
      </c>
    </row>
    <row r="13" customFormat="false" ht="15" hidden="false" customHeight="false" outlineLevel="0" collapsed="false">
      <c r="A13" s="19"/>
      <c r="B13" s="19" t="s">
        <v>362</v>
      </c>
      <c r="C13" s="19" t="s">
        <v>363</v>
      </c>
      <c r="D13" s="19" t="s">
        <v>364</v>
      </c>
      <c r="E13" s="19" t="s">
        <v>365</v>
      </c>
      <c r="F13" s="19" t="s">
        <v>366</v>
      </c>
    </row>
    <row r="14" customFormat="false" ht="15" hidden="false" customHeight="false" outlineLevel="0" collapsed="false">
      <c r="A14" s="3" t="s">
        <v>392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0" t="s">
        <v>393</v>
      </c>
      <c r="B15" s="21" t="n">
        <f aca="false">'Debt (Assumed)'!$B$10</f>
        <v>5887000</v>
      </c>
      <c r="C15" s="21" t="n">
        <f aca="false">IF('Operating Model'!$C$4&lt;=Assumptions!$C$126,IF('Operating Model'!$B$4&lt;=Assumptions!$C$126,B18,'Debt (Assumed)'!$B$10),0)</f>
        <v>5887000</v>
      </c>
      <c r="D15" s="21" t="n">
        <f aca="false">IF('Operating Model'!$D$4&lt;=Assumptions!$C$126,IF('Operating Model'!$C$4&lt;=Assumptions!$C$126,C18,'Debt (Assumed)'!$B$10),0)</f>
        <v>5887000</v>
      </c>
      <c r="E15" s="21" t="n">
        <f aca="false">IF('Operating Model'!$E$4&lt;=Assumptions!$C$126,IF('Operating Model'!$D$4&lt;=Assumptions!$C$126,D18,'Debt (Assumed)'!$B$10),0)</f>
        <v>0</v>
      </c>
      <c r="F15" s="21" t="n">
        <f aca="false">IF('Operating Model'!$F$4&lt;=Assumptions!$C$126,IF('Operating Model'!$E$4&lt;=Assumptions!$C$126,E18,'Debt (Assumed)'!$B$10),0)</f>
        <v>0</v>
      </c>
    </row>
    <row r="16" customFormat="false" ht="15" hidden="false" customHeight="false" outlineLevel="0" collapsed="false">
      <c r="A16" s="0" t="s">
        <v>307</v>
      </c>
      <c r="B16" s="21" t="n">
        <f aca="false">IF('Operating Model'!$B$4&lt;=Assumptions!$C$126,B15*Assumptions!$C$125,0)</f>
        <v>176610</v>
      </c>
      <c r="C16" s="21" t="n">
        <f aca="false">IF('Operating Model'!$C$4&lt;=Assumptions!$C$126,C15*Assumptions!$C$125,0)</f>
        <v>176610</v>
      </c>
      <c r="D16" s="21" t="n">
        <f aca="false">IF('Operating Model'!$D$4&lt;=Assumptions!$C$126,D15*Assumptions!$C$125,0)</f>
        <v>176610</v>
      </c>
      <c r="E16" s="21" t="n">
        <f aca="false">IF('Operating Model'!$E$4&lt;=Assumptions!$C$126,E15*Assumptions!$C$125,0)</f>
        <v>0</v>
      </c>
      <c r="F16" s="21" t="n">
        <f aca="false">IF('Operating Model'!$F$4&lt;=Assumptions!$C$126,F15*Assumptions!$C$125,0)</f>
        <v>0</v>
      </c>
    </row>
    <row r="17" customFormat="false" ht="15" hidden="false" customHeight="false" outlineLevel="0" collapsed="false">
      <c r="A17" s="0" t="s">
        <v>394</v>
      </c>
      <c r="B17" s="21" t="n">
        <f aca="false">IF('Operating Model'!$B$4&lt;=Assumptions!$C$126,IF(Assumptions!$C$130=1,0,(-PMT(Assumptions!$C$125,Assumptions!$C$111,'Debt (Assumed)'!$B$10)-B16)),0)</f>
        <v>0</v>
      </c>
      <c r="C17" s="21" t="n">
        <f aca="false">IF('Operating Model'!$C$4&lt;=Assumptions!$C$126,IF(Assumptions!$C$130=1,0,(-PMT(Assumptions!$C$125,Assumptions!$C$111,'Debt (Assumed)'!$B$10)-C16)),0)</f>
        <v>0</v>
      </c>
      <c r="D17" s="21" t="n">
        <f aca="false">IF('Operating Model'!$D$4&lt;=Assumptions!$C$126,IF(Assumptions!$C$130=1,0,(-PMT(Assumptions!$C$125,Assumptions!$C$111,'Debt (Assumed)'!$B$10)-D16)),0)</f>
        <v>0</v>
      </c>
      <c r="E17" s="21" t="n">
        <f aca="false">IF('Operating Model'!$E$4&lt;=Assumptions!$C$126,IF(Assumptions!$C$130=1,0,(-PMT(Assumptions!$C$125,Assumptions!$C$111,'Debt (Assumed)'!$B$10)-E16)),0)</f>
        <v>0</v>
      </c>
      <c r="F17" s="21" t="n">
        <f aca="false">IF('Operating Model'!$F$4&lt;=Assumptions!$C$126,IF(Assumptions!$C$130=1,0,(-PMT(Assumptions!$C$125,Assumptions!$C$111,'Debt (Assumed)'!$B$10)-F16)),0)</f>
        <v>0</v>
      </c>
    </row>
    <row r="18" customFormat="false" ht="15" hidden="false" customHeight="false" outlineLevel="0" collapsed="false">
      <c r="A18" s="0" t="s">
        <v>395</v>
      </c>
      <c r="B18" s="21" t="n">
        <f aca="false">IF('Operating Model'!$B$4&lt;=Assumptions!$C$126,B15-B17,0)</f>
        <v>5887000</v>
      </c>
      <c r="C18" s="21" t="n">
        <f aca="false">IF('Operating Model'!$C$4&lt;=Assumptions!$C$126,C15-C17,0)</f>
        <v>5887000</v>
      </c>
      <c r="D18" s="21" t="n">
        <f aca="false">IF('Operating Model'!$D$4&lt;=Assumptions!$C$126,D15-D17,0)</f>
        <v>5887000</v>
      </c>
      <c r="E18" s="21" t="n">
        <f aca="false">IF('Operating Model'!$E$4&lt;=Assumptions!$C$126,E15-E17,0)</f>
        <v>0</v>
      </c>
      <c r="F18" s="21" t="n">
        <f aca="false">IF('Operating Model'!$F$4&lt;=Assumptions!$C$126,F15-F17,0)</f>
        <v>0</v>
      </c>
    </row>
    <row r="20" customFormat="false" ht="15" hidden="false" customHeight="false" outlineLevel="0" collapsed="false">
      <c r="A20" s="3" t="s">
        <v>396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0" t="s">
        <v>393</v>
      </c>
      <c r="B21" s="21" t="n">
        <f aca="false">'Debt (Assumed)'!$B$11</f>
        <v>3563000</v>
      </c>
      <c r="C21" s="21" t="n">
        <f aca="false">IF('Operating Model'!$C$4&lt;=Assumptions!$C$126,IF('Operating Model'!$B$4&lt;=Assumptions!$C$126,B24,'Debt (Assumed)'!$B$11),0)</f>
        <v>3563000</v>
      </c>
      <c r="D21" s="21" t="n">
        <f aca="false">IF('Operating Model'!$D$4&lt;=Assumptions!$C$126,IF('Operating Model'!$C$4&lt;=Assumptions!$C$126,C24,'Debt (Assumed)'!$B$11),0)</f>
        <v>3563000</v>
      </c>
      <c r="E21" s="21" t="n">
        <f aca="false">IF('Operating Model'!$E$4&lt;=Assumptions!$C$126,IF('Operating Model'!$D$4&lt;=Assumptions!$C$126,D24,'Debt (Assumed)'!$B$11),0)</f>
        <v>0</v>
      </c>
      <c r="F21" s="21" t="n">
        <f aca="false">IF('Operating Model'!$F$4&lt;=Assumptions!$C$126,IF('Operating Model'!$E$4&lt;=Assumptions!$C$126,E24,'Debt (Assumed)'!$B$11),0)</f>
        <v>0</v>
      </c>
    </row>
    <row r="22" customFormat="false" ht="15" hidden="false" customHeight="false" outlineLevel="0" collapsed="false">
      <c r="A22" s="0" t="s">
        <v>307</v>
      </c>
      <c r="B22" s="21" t="n">
        <f aca="false">IF('Operating Model'!$B$4&lt;=Assumptions!$C$126,B21*Assumptions!$C$128,0)</f>
        <v>220906</v>
      </c>
      <c r="C22" s="21" t="n">
        <f aca="false">IF('Operating Model'!$C$4&lt;=Assumptions!$C$126,C21*Assumptions!$C$128,0)</f>
        <v>220906</v>
      </c>
      <c r="D22" s="21" t="n">
        <f aca="false">IF('Operating Model'!$D$4&lt;=Assumptions!$C$126,D21*Assumptions!$C$128,0)</f>
        <v>220906</v>
      </c>
      <c r="E22" s="21" t="n">
        <f aca="false">IF('Operating Model'!$E$4&lt;=Assumptions!$C$126,E21*Assumptions!$C$128,0)</f>
        <v>0</v>
      </c>
      <c r="F22" s="21" t="n">
        <f aca="false">IF('Operating Model'!$F$4&lt;=Assumptions!$C$126,F21*Assumptions!$C$128,0)</f>
        <v>0</v>
      </c>
    </row>
    <row r="23" customFormat="false" ht="15" hidden="false" customHeight="false" outlineLevel="0" collapsed="false">
      <c r="A23" s="0" t="s">
        <v>394</v>
      </c>
      <c r="B23" s="21" t="n">
        <f aca="false">IF('Operating Model'!$B$4&lt;=Assumptions!$C$126,IF(Assumptions!$C$130=1,0,(-PMT(Assumptions!$C$128,Assumptions!$C$111,'Debt (Assumed)'!$B$11)-B22)),0)</f>
        <v>0</v>
      </c>
      <c r="C23" s="21" t="n">
        <f aca="false">IF('Operating Model'!$C$4&lt;=Assumptions!$C$126,IF(Assumptions!$C$130=1,0,(-PMT(Assumptions!$C$128,Assumptions!$C$111,'Debt (Assumed)'!$B$11)-C22)),0)</f>
        <v>0</v>
      </c>
      <c r="D23" s="21" t="n">
        <f aca="false">IF('Operating Model'!$D$4&lt;=Assumptions!$C$126,IF(Assumptions!$C$130=1,0,(-PMT(Assumptions!$C$128,Assumptions!$C$111,'Debt (Assumed)'!$B$11)-D22)),0)</f>
        <v>0</v>
      </c>
      <c r="E23" s="21" t="n">
        <f aca="false">IF('Operating Model'!$E$4&lt;=Assumptions!$C$126,IF(Assumptions!$C$130=1,0,(-PMT(Assumptions!$C$128,Assumptions!$C$111,'Debt (Assumed)'!$B$11)-E22)),0)</f>
        <v>0</v>
      </c>
      <c r="F23" s="21" t="n">
        <f aca="false">IF('Operating Model'!$F$4&lt;=Assumptions!$C$126,IF(Assumptions!$C$130=1,0,(-PMT(Assumptions!$C$128,Assumptions!$C$111,'Debt (Assumed)'!$B$11)-F22)),0)</f>
        <v>0</v>
      </c>
    </row>
    <row r="24" customFormat="false" ht="15" hidden="false" customHeight="false" outlineLevel="0" collapsed="false">
      <c r="A24" s="0" t="s">
        <v>395</v>
      </c>
      <c r="B24" s="21" t="n">
        <f aca="false">IF('Operating Model'!$B$4&lt;=Assumptions!$C$126,B21-B23,0)</f>
        <v>3563000</v>
      </c>
      <c r="C24" s="21" t="n">
        <f aca="false">IF('Operating Model'!$C$4&lt;=Assumptions!$C$126,C21-C23,0)</f>
        <v>3563000</v>
      </c>
      <c r="D24" s="21" t="n">
        <f aca="false">IF('Operating Model'!$D$4&lt;=Assumptions!$C$126,D21-D23,0)</f>
        <v>3563000</v>
      </c>
      <c r="E24" s="21" t="n">
        <f aca="false">IF('Operating Model'!$E$4&lt;=Assumptions!$C$126,E21-E23,0)</f>
        <v>0</v>
      </c>
      <c r="F24" s="21" t="n">
        <f aca="false">IF('Operating Model'!$F$4&lt;=Assumptions!$C$126,F21-F23,0)</f>
        <v>0</v>
      </c>
    </row>
    <row r="26" customFormat="false" ht="15" hidden="false" customHeight="false" outlineLevel="0" collapsed="false">
      <c r="A26" s="3" t="s">
        <v>397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0" t="s">
        <v>398</v>
      </c>
      <c r="B27" s="21" t="n">
        <f aca="false">B16+B17+B22+B23</f>
        <v>397516</v>
      </c>
      <c r="C27" s="21" t="n">
        <f aca="false">C16+C17+C22+C23</f>
        <v>397516</v>
      </c>
      <c r="D27" s="21" t="n">
        <f aca="false">D16+D17+D22+D23</f>
        <v>397516</v>
      </c>
      <c r="E27" s="21" t="n">
        <f aca="false">E16+E17+E22+E23</f>
        <v>0</v>
      </c>
      <c r="F27" s="21" t="n">
        <f aca="false">F16+F17+F22+F23</f>
        <v>0</v>
      </c>
    </row>
    <row r="28" customFormat="false" ht="15" hidden="false" customHeight="false" outlineLevel="0" collapsed="false">
      <c r="A28" s="0" t="s">
        <v>399</v>
      </c>
      <c r="B28" s="21" t="n">
        <f aca="false">INDEX(B18:F18,Assumptions!$C$126)+INDEX(B24:F24,Assumptions!$C$126)</f>
        <v>9450000</v>
      </c>
    </row>
    <row r="29" customFormat="false" ht="15" hidden="false" customHeight="false" outlineLevel="0" collapsed="false">
      <c r="A29" s="0" t="s">
        <v>400</v>
      </c>
      <c r="B29" s="21" t="n">
        <f aca="false">INDEX('Operating Model'!$B$49:$K$49,Assumptions!$C$126+1)</f>
        <v>920697.053811519</v>
      </c>
    </row>
    <row r="30" customFormat="false" ht="15" hidden="false" customHeight="false" outlineLevel="0" collapsed="false">
      <c r="A30" s="0" t="s">
        <v>401</v>
      </c>
      <c r="B30" s="21" t="n">
        <f aca="false">'Debt (Assumed)'!$B$29/Returns!$B$33</f>
        <v>13949955.3607806</v>
      </c>
    </row>
    <row r="32" customFormat="false" ht="15" hidden="false" customHeight="false" outlineLevel="0" collapsed="false">
      <c r="A32" s="3" t="s">
        <v>402</v>
      </c>
      <c r="B32" s="3"/>
      <c r="C32" s="3"/>
      <c r="D32" s="3"/>
      <c r="E32" s="3"/>
      <c r="F32" s="3"/>
    </row>
    <row r="33" customFormat="false" ht="15" hidden="false" customHeight="false" outlineLevel="0" collapsed="false">
      <c r="A33" s="0" t="s">
        <v>403</v>
      </c>
      <c r="B33" s="26" t="n">
        <f aca="false">Assumptions!$C$139</f>
        <v>0.0674</v>
      </c>
    </row>
    <row r="34" customFormat="false" ht="15" hidden="false" customHeight="false" outlineLevel="0" collapsed="false">
      <c r="A34" s="0" t="s">
        <v>404</v>
      </c>
      <c r="B34" s="26" t="n">
        <f aca="false">Assumptions!$C$142</f>
        <v>0.075</v>
      </c>
    </row>
    <row r="35" customFormat="false" ht="15" hidden="false" customHeight="false" outlineLevel="0" collapsed="false">
      <c r="A35" s="0" t="s">
        <v>405</v>
      </c>
      <c r="B35" s="20" t="n">
        <f aca="false">IF(Assumptions!$C$143=1,Assumptions!$C$154,0)</f>
        <v>5</v>
      </c>
    </row>
    <row r="36" customFormat="false" ht="15" hidden="false" customHeight="false" outlineLevel="0" collapsed="false">
      <c r="A36" s="0" t="s">
        <v>406</v>
      </c>
      <c r="B36" s="21" t="n">
        <f aca="false">'Debt (Assumed)'!$B$30*Assumptions!$C$108</f>
        <v>10462466.5205854</v>
      </c>
    </row>
    <row r="37" customFormat="false" ht="15" hidden="false" customHeight="false" outlineLevel="0" collapsed="false">
      <c r="A37" s="0" t="s">
        <v>407</v>
      </c>
      <c r="B37" s="21" t="n">
        <f aca="false">'Debt (Assumed)'!$B$29/(Assumptions!$C$109*-PMT('Debt (Assumed)'!$B$34,Assumptions!$C$111,1))</f>
        <v>8699030.271278</v>
      </c>
    </row>
    <row r="38" customFormat="false" ht="15" hidden="false" customHeight="false" outlineLevel="0" collapsed="false">
      <c r="A38" s="19" t="s">
        <v>408</v>
      </c>
      <c r="B38" s="10" t="n">
        <f aca="false">MIN('Debt (Assumed)'!$B$36,'Debt (Assumed)'!$B$37)</f>
        <v>8699030.271278</v>
      </c>
    </row>
    <row r="39" customFormat="false" ht="15" hidden="false" customHeight="false" outlineLevel="0" collapsed="false">
      <c r="A39" s="0" t="s">
        <v>409</v>
      </c>
      <c r="B39" s="0" t="str">
        <f aca="false">IF('Debt (Assumed)'!$B$38='Debt (Assumed)'!$B$36,"LTV","DSCR")</f>
        <v>DSCR</v>
      </c>
    </row>
    <row r="40" customFormat="false" ht="15" hidden="false" customHeight="false" outlineLevel="0" collapsed="false">
      <c r="A40" s="0" t="s">
        <v>410</v>
      </c>
      <c r="B40" s="21" t="n">
        <f aca="false">-PMT('Debt (Assumed)'!$B$33,Assumptions!$C$111,'Debt (Assumed)'!$B$38)</f>
        <v>682804.175446676</v>
      </c>
    </row>
    <row r="41" customFormat="false" ht="15" hidden="false" customHeight="false" outlineLevel="0" collapsed="false">
      <c r="A41" s="0" t="s">
        <v>411</v>
      </c>
      <c r="B41" s="21" t="n">
        <f aca="false">'Debt (Assumed)'!$B$38*Assumptions!$C$141</f>
        <v>93949.5269298024</v>
      </c>
    </row>
    <row r="42" customFormat="false" ht="15" hidden="false" customHeight="false" outlineLevel="0" collapsed="false">
      <c r="A42" s="19" t="s">
        <v>412</v>
      </c>
      <c r="B42" s="10" t="n">
        <f aca="false">'Debt (Assumed)'!$B$28-'Debt (Assumed)'!$B$38+'Debt (Assumed)'!$B$41</f>
        <v>844919.255651805</v>
      </c>
    </row>
    <row r="43" customFormat="false" ht="15" hidden="false" customHeight="false" outlineLevel="0" collapsed="false">
      <c r="A43" s="0" t="s">
        <v>413</v>
      </c>
      <c r="B43" s="21" t="n">
        <f aca="false">IF('Operating Model'!$B$4=Assumptions!$C$126+1,'Debt (Assumed)'!$B$38,0)</f>
        <v>0</v>
      </c>
      <c r="C43" s="21" t="n">
        <f aca="false">IF('Operating Model'!$C$4=Assumptions!$C$126+1,'Debt (Assumed)'!$B$38,IF('Operating Model'!$C$4&gt;Assumptions!$C$126+1,B46,0))</f>
        <v>0</v>
      </c>
      <c r="D43" s="21" t="n">
        <f aca="false">IF('Operating Model'!$D$4=Assumptions!$C$126+1,'Debt (Assumed)'!$B$38,IF('Operating Model'!$D$4&gt;Assumptions!$C$126+1,C46,0))</f>
        <v>0</v>
      </c>
      <c r="E43" s="21" t="n">
        <f aca="false">IF('Operating Model'!$E$4=Assumptions!$C$126+1,'Debt (Assumed)'!$B$38,IF('Operating Model'!$E$4&gt;Assumptions!$C$126+1,D46,0))</f>
        <v>8699030.271278</v>
      </c>
      <c r="F43" s="21" t="n">
        <f aca="false">IF('Operating Model'!$F$4=Assumptions!$C$126+1,'Debt (Assumed)'!$B$38,IF('Operating Model'!$F$4&gt;Assumptions!$C$126+1,E46,0))</f>
        <v>8699030.271278</v>
      </c>
    </row>
    <row r="44" customFormat="false" ht="15" hidden="false" customHeight="false" outlineLevel="0" collapsed="false">
      <c r="A44" s="0" t="s">
        <v>414</v>
      </c>
      <c r="B44" s="21" t="n">
        <f aca="false">IF('Operating Model'!$B$4&gt;Assumptions!$C$126,B43*'Debt (Assumed)'!$B$33,0)</f>
        <v>0</v>
      </c>
      <c r="C44" s="21" t="n">
        <f aca="false">IF('Operating Model'!$C$4&gt;Assumptions!$C$126,C43*'Debt (Assumed)'!$B$33,0)</f>
        <v>0</v>
      </c>
      <c r="D44" s="21" t="n">
        <f aca="false">IF('Operating Model'!$D$4&gt;Assumptions!$C$126,D43*'Debt (Assumed)'!$B$33,0)</f>
        <v>0</v>
      </c>
      <c r="E44" s="21" t="n">
        <f aca="false">IF('Operating Model'!$E$4&gt;Assumptions!$C$126,E43*'Debt (Assumed)'!$B$33,0)</f>
        <v>586314.640284137</v>
      </c>
      <c r="F44" s="21" t="n">
        <f aca="false">IF('Operating Model'!$F$4&gt;Assumptions!$C$126,F43*'Debt (Assumed)'!$B$33,0)</f>
        <v>586314.640284137</v>
      </c>
    </row>
    <row r="45" customFormat="false" ht="15" hidden="false" customHeight="false" outlineLevel="0" collapsed="false">
      <c r="A45" s="0" t="s">
        <v>415</v>
      </c>
      <c r="B45" s="21" t="n">
        <f aca="false">IF('Operating Model'!$B$4&gt;Assumptions!$C$126,IF(('Operating Model'!$B$4-Assumptions!$C$126)&lt;='Debt (Assumed)'!$B$35,0,'Debt (Assumed)'!$B$40-B44),0)</f>
        <v>0</v>
      </c>
      <c r="C45" s="21" t="n">
        <f aca="false">IF('Operating Model'!$C$4&gt;Assumptions!$C$126,IF(('Operating Model'!$C$4-Assumptions!$C$126)&lt;='Debt (Assumed)'!$B$35,0,'Debt (Assumed)'!$B$40-C44),0)</f>
        <v>0</v>
      </c>
      <c r="D45" s="21" t="n">
        <f aca="false">IF('Operating Model'!$D$4&gt;Assumptions!$C$126,IF(('Operating Model'!$D$4-Assumptions!$C$126)&lt;='Debt (Assumed)'!$B$35,0,'Debt (Assumed)'!$B$40-D44),0)</f>
        <v>0</v>
      </c>
      <c r="E45" s="21" t="n">
        <f aca="false">IF('Operating Model'!$E$4&gt;Assumptions!$C$126,IF(('Operating Model'!$E$4-Assumptions!$C$126)&lt;='Debt (Assumed)'!$B$35,0,'Debt (Assumed)'!$B$40-E44),0)</f>
        <v>0</v>
      </c>
      <c r="F45" s="21" t="n">
        <f aca="false">IF('Operating Model'!$F$4&gt;Assumptions!$C$126,IF(('Operating Model'!$F$4-Assumptions!$C$126)&lt;='Debt (Assumed)'!$B$35,0,'Debt (Assumed)'!$B$40-F44),0)</f>
        <v>0</v>
      </c>
    </row>
    <row r="46" customFormat="false" ht="15" hidden="false" customHeight="false" outlineLevel="0" collapsed="false">
      <c r="A46" s="0" t="s">
        <v>416</v>
      </c>
      <c r="B46" s="21" t="n">
        <f aca="false">IF('Operating Model'!$B$4&gt;Assumptions!$C$126,B43-B45,0)</f>
        <v>0</v>
      </c>
      <c r="C46" s="21" t="n">
        <f aca="false">IF('Operating Model'!$C$4&gt;Assumptions!$C$126,C43-C45,0)</f>
        <v>0</v>
      </c>
      <c r="D46" s="21" t="n">
        <f aca="false">IF('Operating Model'!$D$4&gt;Assumptions!$C$126,D43-D45,0)</f>
        <v>0</v>
      </c>
      <c r="E46" s="21" t="n">
        <f aca="false">IF('Operating Model'!$E$4&gt;Assumptions!$C$126,E43-E45,0)</f>
        <v>8699030.271278</v>
      </c>
      <c r="F46" s="21" t="n">
        <f aca="false">IF('Operating Model'!$F$4&gt;Assumptions!$C$126,F43-F45,0)</f>
        <v>8699030.271278</v>
      </c>
    </row>
    <row r="47" customFormat="false" ht="15" hidden="false" customHeight="false" outlineLevel="0" collapsed="false">
      <c r="A47" s="19" t="s">
        <v>417</v>
      </c>
      <c r="B47" s="21" t="n">
        <f aca="false">B27+B44+B45</f>
        <v>397516</v>
      </c>
      <c r="C47" s="21" t="n">
        <f aca="false">C27+C44+C45</f>
        <v>397516</v>
      </c>
      <c r="D47" s="21" t="n">
        <f aca="false">D27+D44+D45</f>
        <v>397516</v>
      </c>
      <c r="E47" s="21" t="n">
        <f aca="false">E27+E44+E45</f>
        <v>586314.640284137</v>
      </c>
      <c r="F47" s="21" t="n">
        <f aca="false">F27+F44+F45</f>
        <v>586314.640284137</v>
      </c>
    </row>
    <row r="48" customFormat="false" ht="15" hidden="false" customHeight="false" outlineLevel="0" collapsed="false">
      <c r="A48" s="0" t="s">
        <v>418</v>
      </c>
      <c r="B48" s="22" t="n">
        <f aca="false">Assumptions!$C$144</f>
        <v>0</v>
      </c>
    </row>
    <row r="49" customFormat="false" ht="15" hidden="false" customHeight="false" outlineLevel="0" collapsed="false">
      <c r="A49" s="0" t="s">
        <v>419</v>
      </c>
      <c r="B49" s="21" t="n">
        <f aca="false">F46*'Debt (Assumed)'!$B$48</f>
        <v>0</v>
      </c>
    </row>
    <row r="50" customFormat="false" ht="15" hidden="false" customHeight="false" outlineLevel="0" collapsed="false">
      <c r="A50" s="0" t="s">
        <v>420</v>
      </c>
      <c r="B50" s="21" t="n">
        <f aca="false">SUM(B44:F44)+'Debt (Assumed)'!$B$41+'Debt (Assumed)'!$B$49</f>
        <v>1266578.80749808</v>
      </c>
    </row>
    <row r="51" customFormat="false" ht="15" hidden="false" customHeight="false" outlineLevel="0" collapsed="false">
      <c r="A51" s="19" t="s">
        <v>421</v>
      </c>
      <c r="B51" s="15" t="n">
        <f aca="false">'Debt (Assumed)'!$B$50/'Debt (Assumed)'!$B$38/(Assumptions!$C$154-Assumptions!$C$126)</f>
        <v>0.0728</v>
      </c>
    </row>
    <row r="53" customFormat="false" ht="15" hidden="false" customHeight="false" outlineLevel="0" collapsed="false">
      <c r="A53" s="3" t="s">
        <v>422</v>
      </c>
      <c r="B53" s="3"/>
      <c r="C53" s="3"/>
      <c r="D53" s="3"/>
      <c r="E53" s="3"/>
      <c r="F53" s="3"/>
    </row>
    <row r="54" customFormat="false" ht="15" hidden="false" customHeight="false" outlineLevel="0" collapsed="false">
      <c r="A54" s="0" t="s">
        <v>403</v>
      </c>
      <c r="B54" s="26" t="n">
        <f aca="false">Assumptions!$C$146</f>
        <v>0.0706</v>
      </c>
    </row>
    <row r="55" customFormat="false" ht="15" hidden="false" customHeight="false" outlineLevel="0" collapsed="false">
      <c r="A55" s="0" t="s">
        <v>404</v>
      </c>
      <c r="B55" s="26" t="n">
        <f aca="false">Assumptions!$C$146</f>
        <v>0.0706</v>
      </c>
    </row>
    <row r="56" customFormat="false" ht="15" hidden="false" customHeight="false" outlineLevel="0" collapsed="false">
      <c r="A56" s="0" t="s">
        <v>405</v>
      </c>
      <c r="B56" s="20" t="n">
        <f aca="false">Assumptions!$C$110</f>
        <v>0</v>
      </c>
    </row>
    <row r="57" customFormat="false" ht="15" hidden="false" customHeight="false" outlineLevel="0" collapsed="false">
      <c r="A57" s="0" t="s">
        <v>406</v>
      </c>
      <c r="B57" s="21" t="n">
        <f aca="false">'Debt (Assumed)'!$B$30*Assumptions!$C$108</f>
        <v>10462466.5205854</v>
      </c>
    </row>
    <row r="58" customFormat="false" ht="15" hidden="false" customHeight="false" outlineLevel="0" collapsed="false">
      <c r="A58" s="0" t="s">
        <v>407</v>
      </c>
      <c r="B58" s="21" t="n">
        <f aca="false">'Debt (Assumed)'!$B$29/(Assumptions!$C$109*-PMT('Debt (Assumed)'!$B$55,Assumptions!$C$111,1))</f>
        <v>9085153.74898132</v>
      </c>
    </row>
    <row r="59" customFormat="false" ht="15" hidden="false" customHeight="false" outlineLevel="0" collapsed="false">
      <c r="A59" s="19" t="s">
        <v>408</v>
      </c>
      <c r="B59" s="10" t="n">
        <f aca="false">MIN('Debt (Assumed)'!$B$57,'Debt (Assumed)'!$B$58)</f>
        <v>9085153.74898132</v>
      </c>
    </row>
    <row r="60" customFormat="false" ht="15" hidden="false" customHeight="false" outlineLevel="0" collapsed="false">
      <c r="A60" s="0" t="s">
        <v>409</v>
      </c>
      <c r="B60" s="0" t="str">
        <f aca="false">IF('Debt (Assumed)'!$B$59='Debt (Assumed)'!$B$57,"LTV","DSCR")</f>
        <v>DSCR</v>
      </c>
    </row>
    <row r="61" customFormat="false" ht="15" hidden="false" customHeight="false" outlineLevel="0" collapsed="false">
      <c r="A61" s="0" t="s">
        <v>410</v>
      </c>
      <c r="B61" s="21" t="n">
        <f aca="false">-PMT('Debt (Assumed)'!$B$54,Assumptions!$C$111,'Debt (Assumed)'!$B$59)</f>
        <v>736557.643049215</v>
      </c>
    </row>
    <row r="62" customFormat="false" ht="15" hidden="false" customHeight="false" outlineLevel="0" collapsed="false">
      <c r="A62" s="0" t="s">
        <v>411</v>
      </c>
      <c r="B62" s="21" t="n">
        <f aca="false">'Debt (Assumed)'!$B$59*0</f>
        <v>0</v>
      </c>
    </row>
    <row r="63" customFormat="false" ht="15" hidden="false" customHeight="false" outlineLevel="0" collapsed="false">
      <c r="A63" s="19" t="s">
        <v>412</v>
      </c>
      <c r="B63" s="10" t="n">
        <f aca="false">'Debt (Assumed)'!$B$28-'Debt (Assumed)'!$B$59+'Debt (Assumed)'!$B$62</f>
        <v>364846.251018684</v>
      </c>
    </row>
    <row r="64" customFormat="false" ht="15" hidden="false" customHeight="false" outlineLevel="0" collapsed="false">
      <c r="A64" s="0" t="s">
        <v>413</v>
      </c>
      <c r="B64" s="21" t="n">
        <f aca="false">IF('Operating Model'!$B$4=Assumptions!$C$126+1,'Debt (Assumed)'!$B$59,0)</f>
        <v>0</v>
      </c>
      <c r="C64" s="21" t="n">
        <f aca="false">IF('Operating Model'!$C$4=Assumptions!$C$126+1,'Debt (Assumed)'!$B$59,IF('Operating Model'!$C$4&gt;Assumptions!$C$126+1,B67,0))</f>
        <v>0</v>
      </c>
      <c r="D64" s="21" t="n">
        <f aca="false">IF('Operating Model'!$D$4=Assumptions!$C$126+1,'Debt (Assumed)'!$B$59,IF('Operating Model'!$D$4&gt;Assumptions!$C$126+1,C67,0))</f>
        <v>0</v>
      </c>
      <c r="E64" s="21" t="n">
        <f aca="false">IF('Operating Model'!$E$4=Assumptions!$C$126+1,'Debt (Assumed)'!$B$59,IF('Operating Model'!$E$4&gt;Assumptions!$C$126+1,D67,0))</f>
        <v>9085153.74898132</v>
      </c>
      <c r="F64" s="21" t="n">
        <f aca="false">IF('Operating Model'!$F$4=Assumptions!$C$126+1,'Debt (Assumed)'!$B$59,IF('Operating Model'!$F$4&gt;Assumptions!$C$126+1,E67,0))</f>
        <v>8990007.96061018</v>
      </c>
    </row>
    <row r="65" customFormat="false" ht="15" hidden="false" customHeight="false" outlineLevel="0" collapsed="false">
      <c r="A65" s="0" t="s">
        <v>414</v>
      </c>
      <c r="B65" s="21" t="n">
        <f aca="false">IF('Operating Model'!$B$4&gt;Assumptions!$C$126,B64*'Debt (Assumed)'!$B$54,0)</f>
        <v>0</v>
      </c>
      <c r="C65" s="21" t="n">
        <f aca="false">IF('Operating Model'!$C$4&gt;Assumptions!$C$126,C64*'Debt (Assumed)'!$B$54,0)</f>
        <v>0</v>
      </c>
      <c r="D65" s="21" t="n">
        <f aca="false">IF('Operating Model'!$D$4&gt;Assumptions!$C$126,D64*'Debt (Assumed)'!$B$54,0)</f>
        <v>0</v>
      </c>
      <c r="E65" s="21" t="n">
        <f aca="false">IF('Operating Model'!$E$4&gt;Assumptions!$C$126,E64*'Debt (Assumed)'!$B$54,0)</f>
        <v>641411.854678081</v>
      </c>
      <c r="F65" s="21" t="n">
        <f aca="false">IF('Operating Model'!$F$4&gt;Assumptions!$C$126,F64*'Debt (Assumed)'!$B$54,0)</f>
        <v>634694.562019079</v>
      </c>
    </row>
    <row r="66" customFormat="false" ht="15" hidden="false" customHeight="false" outlineLevel="0" collapsed="false">
      <c r="A66" s="0" t="s">
        <v>415</v>
      </c>
      <c r="B66" s="21" t="n">
        <f aca="false">IF('Operating Model'!$B$4&gt;Assumptions!$C$126,IF(('Operating Model'!$B$4-Assumptions!$C$126)&lt;='Debt (Assumed)'!$B$56,0,'Debt (Assumed)'!$B$61-B65),0)</f>
        <v>0</v>
      </c>
      <c r="C66" s="21" t="n">
        <f aca="false">IF('Operating Model'!$C$4&gt;Assumptions!$C$126,IF(('Operating Model'!$C$4-Assumptions!$C$126)&lt;='Debt (Assumed)'!$B$56,0,'Debt (Assumed)'!$B$61-C65),0)</f>
        <v>0</v>
      </c>
      <c r="D66" s="21" t="n">
        <f aca="false">IF('Operating Model'!$D$4&gt;Assumptions!$C$126,IF(('Operating Model'!$D$4-Assumptions!$C$126)&lt;='Debt (Assumed)'!$B$56,0,'Debt (Assumed)'!$B$61-D65),0)</f>
        <v>0</v>
      </c>
      <c r="E66" s="21" t="n">
        <f aca="false">IF('Operating Model'!$E$4&gt;Assumptions!$C$126,IF(('Operating Model'!$E$4-Assumptions!$C$126)&lt;='Debt (Assumed)'!$B$56,0,'Debt (Assumed)'!$B$61-E65),0)</f>
        <v>95145.7883711341</v>
      </c>
      <c r="F66" s="21" t="n">
        <f aca="false">IF('Operating Model'!$F$4&gt;Assumptions!$C$126,IF(('Operating Model'!$F$4-Assumptions!$C$126)&lt;='Debt (Assumed)'!$B$56,0,'Debt (Assumed)'!$B$61-F65),0)</f>
        <v>101863.081030136</v>
      </c>
    </row>
    <row r="67" customFormat="false" ht="15" hidden="false" customHeight="false" outlineLevel="0" collapsed="false">
      <c r="A67" s="0" t="s">
        <v>416</v>
      </c>
      <c r="B67" s="21" t="n">
        <f aca="false">IF('Operating Model'!$B$4&gt;Assumptions!$C$126,B64-B66,0)</f>
        <v>0</v>
      </c>
      <c r="C67" s="21" t="n">
        <f aca="false">IF('Operating Model'!$C$4&gt;Assumptions!$C$126,C64-C66,0)</f>
        <v>0</v>
      </c>
      <c r="D67" s="21" t="n">
        <f aca="false">IF('Operating Model'!$D$4&gt;Assumptions!$C$126,D64-D66,0)</f>
        <v>0</v>
      </c>
      <c r="E67" s="21" t="n">
        <f aca="false">IF('Operating Model'!$E$4&gt;Assumptions!$C$126,E64-E66,0)</f>
        <v>8990007.96061018</v>
      </c>
      <c r="F67" s="21" t="n">
        <f aca="false">IF('Operating Model'!$F$4&gt;Assumptions!$C$126,F64-F66,0)</f>
        <v>8888144.87958005</v>
      </c>
    </row>
    <row r="68" customFormat="false" ht="15" hidden="false" customHeight="false" outlineLevel="0" collapsed="false">
      <c r="A68" s="19" t="s">
        <v>417</v>
      </c>
      <c r="B68" s="21" t="n">
        <f aca="false">B27+B65+B66</f>
        <v>397516</v>
      </c>
      <c r="C68" s="21" t="n">
        <f aca="false">C27+C65+C66</f>
        <v>397516</v>
      </c>
      <c r="D68" s="21" t="n">
        <f aca="false">D27+D65+D66</f>
        <v>397516</v>
      </c>
      <c r="E68" s="21" t="n">
        <f aca="false">E27+E65+E66</f>
        <v>736557.643049215</v>
      </c>
      <c r="F68" s="21" t="n">
        <f aca="false">F27+F65+F66</f>
        <v>736557.643049215</v>
      </c>
    </row>
    <row r="69" customFormat="false" ht="15" hidden="false" customHeight="false" outlineLevel="0" collapsed="false">
      <c r="A69" s="0" t="s">
        <v>418</v>
      </c>
      <c r="B69" s="22" t="n">
        <f aca="false">IF(Assumptions!$C$154&gt;Assumptions!$C$126,INDEX(Assumptions!$C$147:$C$151,Assumptions!$C$154-Assumptions!$C$126),0)</f>
        <v>0.04</v>
      </c>
    </row>
    <row r="70" customFormat="false" ht="15" hidden="false" customHeight="false" outlineLevel="0" collapsed="false">
      <c r="A70" s="0" t="s">
        <v>419</v>
      </c>
      <c r="B70" s="21" t="n">
        <f aca="false">F67*'Debt (Assumed)'!$B$69</f>
        <v>355525.795183202</v>
      </c>
    </row>
    <row r="71" customFormat="false" ht="15" hidden="false" customHeight="false" outlineLevel="0" collapsed="false">
      <c r="A71" s="0" t="s">
        <v>420</v>
      </c>
      <c r="B71" s="21" t="n">
        <f aca="false">SUM(B65:F65)+'Debt (Assumed)'!$B$62+'Debt (Assumed)'!$B$70</f>
        <v>1631632.21188036</v>
      </c>
    </row>
    <row r="72" customFormat="false" ht="15" hidden="false" customHeight="false" outlineLevel="0" collapsed="false">
      <c r="A72" s="19" t="s">
        <v>421</v>
      </c>
      <c r="B72" s="15" t="n">
        <f aca="false">'Debt (Assumed)'!$B$71/'Debt (Assumed)'!$B$59/(Assumptions!$C$154-Assumptions!$C$126)</f>
        <v>0.0897966207816412</v>
      </c>
    </row>
    <row r="74" customFormat="false" ht="15" hidden="false" customHeight="false" outlineLevel="0" collapsed="false">
      <c r="A74" s="3" t="s">
        <v>423</v>
      </c>
      <c r="B74" s="3"/>
      <c r="C74" s="3"/>
      <c r="D74" s="3"/>
      <c r="E74" s="3"/>
      <c r="F74" s="3"/>
    </row>
    <row r="75" customFormat="false" ht="15" hidden="false" customHeight="false" outlineLevel="0" collapsed="false">
      <c r="A75" s="0" t="s">
        <v>403</v>
      </c>
      <c r="B75" s="26" t="n">
        <f aca="false">Assumptions!$C$107</f>
        <v>0.0724</v>
      </c>
    </row>
    <row r="76" customFormat="false" ht="15" hidden="false" customHeight="false" outlineLevel="0" collapsed="false">
      <c r="A76" s="0" t="s">
        <v>404</v>
      </c>
      <c r="B76" s="26" t="n">
        <f aca="false">Assumptions!$C$107</f>
        <v>0.0724</v>
      </c>
    </row>
    <row r="77" customFormat="false" ht="15" hidden="false" customHeight="false" outlineLevel="0" collapsed="false">
      <c r="A77" s="0" t="s">
        <v>405</v>
      </c>
      <c r="B77" s="20" t="n">
        <f aca="false">Assumptions!$C$110</f>
        <v>0</v>
      </c>
    </row>
    <row r="78" customFormat="false" ht="15" hidden="false" customHeight="false" outlineLevel="0" collapsed="false">
      <c r="A78" s="0" t="s">
        <v>406</v>
      </c>
      <c r="B78" s="21" t="n">
        <f aca="false">'Debt (Assumed)'!$B$30*Assumptions!$C$108</f>
        <v>10462466.5205854</v>
      </c>
    </row>
    <row r="79" customFormat="false" ht="15" hidden="false" customHeight="false" outlineLevel="0" collapsed="false">
      <c r="A79" s="0" t="s">
        <v>407</v>
      </c>
      <c r="B79" s="21" t="n">
        <f aca="false">'Debt (Assumed)'!$B$29/(Assumptions!$C$109*-PMT('Debt (Assumed)'!$B$76,Assumptions!$C$111,1))</f>
        <v>8923868.25412162</v>
      </c>
    </row>
    <row r="80" customFormat="false" ht="15" hidden="false" customHeight="false" outlineLevel="0" collapsed="false">
      <c r="A80" s="19" t="s">
        <v>408</v>
      </c>
      <c r="B80" s="10" t="n">
        <f aca="false">MIN('Debt (Assumed)'!$B$78,'Debt (Assumed)'!$B$79)</f>
        <v>8923868.25412162</v>
      </c>
    </row>
    <row r="81" customFormat="false" ht="15" hidden="false" customHeight="false" outlineLevel="0" collapsed="false">
      <c r="A81" s="0" t="s">
        <v>409</v>
      </c>
      <c r="B81" s="0" t="str">
        <f aca="false">IF('Debt (Assumed)'!$B$80='Debt (Assumed)'!$B$78,"LTV","DSCR")</f>
        <v>DSCR</v>
      </c>
    </row>
    <row r="82" customFormat="false" ht="15" hidden="false" customHeight="false" outlineLevel="0" collapsed="false">
      <c r="A82" s="0" t="s">
        <v>410</v>
      </c>
      <c r="B82" s="21" t="n">
        <f aca="false">-PMT('Debt (Assumed)'!$B$75,Assumptions!$C$111,'Debt (Assumed)'!$B$80)</f>
        <v>736557.643049215</v>
      </c>
    </row>
    <row r="83" customFormat="false" ht="15" hidden="false" customHeight="false" outlineLevel="0" collapsed="false">
      <c r="A83" s="0" t="s">
        <v>411</v>
      </c>
      <c r="B83" s="21" t="n">
        <f aca="false">'Debt (Assumed)'!$B$80*0</f>
        <v>0</v>
      </c>
    </row>
    <row r="84" customFormat="false" ht="15" hidden="false" customHeight="false" outlineLevel="0" collapsed="false">
      <c r="A84" s="19" t="s">
        <v>412</v>
      </c>
      <c r="B84" s="10" t="n">
        <f aca="false">'Debt (Assumed)'!$B$28-'Debt (Assumed)'!$B$80+'Debt (Assumed)'!$B$83</f>
        <v>526131.745878385</v>
      </c>
    </row>
    <row r="85" customFormat="false" ht="15" hidden="false" customHeight="false" outlineLevel="0" collapsed="false">
      <c r="A85" s="0" t="s">
        <v>413</v>
      </c>
      <c r="B85" s="21" t="n">
        <f aca="false">IF('Operating Model'!$B$4=Assumptions!$C$126+1,'Debt (Assumed)'!$B$80,0)</f>
        <v>0</v>
      </c>
      <c r="C85" s="21" t="n">
        <f aca="false">IF('Operating Model'!$C$4=Assumptions!$C$126+1,'Debt (Assumed)'!$B$80,IF('Operating Model'!$C$4&gt;Assumptions!$C$126+1,B88,0))</f>
        <v>0</v>
      </c>
      <c r="D85" s="21" t="n">
        <f aca="false">IF('Operating Model'!$D$4=Assumptions!$C$126+1,'Debt (Assumed)'!$B$80,IF('Operating Model'!$D$4&gt;Assumptions!$C$126+1,C88,0))</f>
        <v>0</v>
      </c>
      <c r="E85" s="21" t="n">
        <f aca="false">IF('Operating Model'!$E$4=Assumptions!$C$126+1,'Debt (Assumed)'!$B$80,IF('Operating Model'!$E$4&gt;Assumptions!$C$126+1,D88,0))</f>
        <v>8923868.25412162</v>
      </c>
      <c r="F85" s="21" t="n">
        <f aca="false">IF('Operating Model'!$F$4=Assumptions!$C$126+1,'Debt (Assumed)'!$B$80,IF('Operating Model'!$F$4&gt;Assumptions!$C$126+1,E88,0))</f>
        <v>8833398.6726708</v>
      </c>
    </row>
    <row r="86" customFormat="false" ht="15" hidden="false" customHeight="false" outlineLevel="0" collapsed="false">
      <c r="A86" s="0" t="s">
        <v>414</v>
      </c>
      <c r="B86" s="21" t="n">
        <f aca="false">IF('Operating Model'!$B$4&gt;Assumptions!$C$126,B85*'Debt (Assumed)'!$B$75,0)</f>
        <v>0</v>
      </c>
      <c r="C86" s="21" t="n">
        <f aca="false">IF('Operating Model'!$C$4&gt;Assumptions!$C$126,C85*'Debt (Assumed)'!$B$75,0)</f>
        <v>0</v>
      </c>
      <c r="D86" s="21" t="n">
        <f aca="false">IF('Operating Model'!$D$4&gt;Assumptions!$C$126,D85*'Debt (Assumed)'!$B$75,0)</f>
        <v>0</v>
      </c>
      <c r="E86" s="21" t="n">
        <f aca="false">IF('Operating Model'!$E$4&gt;Assumptions!$C$126,E85*'Debt (Assumed)'!$B$75,0)</f>
        <v>646088.061598405</v>
      </c>
      <c r="F86" s="21" t="n">
        <f aca="false">IF('Operating Model'!$F$4&gt;Assumptions!$C$126,F85*'Debt (Assumed)'!$B$75,0)</f>
        <v>639538.063901366</v>
      </c>
    </row>
    <row r="87" customFormat="false" ht="15" hidden="false" customHeight="false" outlineLevel="0" collapsed="false">
      <c r="A87" s="0" t="s">
        <v>415</v>
      </c>
      <c r="B87" s="21" t="n">
        <f aca="false">IF('Operating Model'!$B$4&gt;Assumptions!$C$126,IF(('Operating Model'!$B$4-Assumptions!$C$126)&lt;='Debt (Assumed)'!$B$77,0,'Debt (Assumed)'!$B$82-B86),0)</f>
        <v>0</v>
      </c>
      <c r="C87" s="21" t="n">
        <f aca="false">IF('Operating Model'!$C$4&gt;Assumptions!$C$126,IF(('Operating Model'!$C$4-Assumptions!$C$126)&lt;='Debt (Assumed)'!$B$77,0,'Debt (Assumed)'!$B$82-C86),0)</f>
        <v>0</v>
      </c>
      <c r="D87" s="21" t="n">
        <f aca="false">IF('Operating Model'!$D$4&gt;Assumptions!$C$126,IF(('Operating Model'!$D$4-Assumptions!$C$126)&lt;='Debt (Assumed)'!$B$77,0,'Debt (Assumed)'!$B$82-D86),0)</f>
        <v>0</v>
      </c>
      <c r="E87" s="21" t="n">
        <f aca="false">IF('Operating Model'!$E$4&gt;Assumptions!$C$126,IF(('Operating Model'!$E$4-Assumptions!$C$126)&lt;='Debt (Assumed)'!$B$77,0,'Debt (Assumed)'!$B$82-E86),0)</f>
        <v>90469.5814508101</v>
      </c>
      <c r="F87" s="21" t="n">
        <f aca="false">IF('Operating Model'!$F$4&gt;Assumptions!$C$126,IF(('Operating Model'!$F$4-Assumptions!$C$126)&lt;='Debt (Assumed)'!$B$77,0,'Debt (Assumed)'!$B$82-F86),0)</f>
        <v>97019.5791478488</v>
      </c>
    </row>
    <row r="88" customFormat="false" ht="15" hidden="false" customHeight="false" outlineLevel="0" collapsed="false">
      <c r="A88" s="0" t="s">
        <v>416</v>
      </c>
      <c r="B88" s="21" t="n">
        <f aca="false">IF('Operating Model'!$B$4&gt;Assumptions!$C$126,B85-B87,0)</f>
        <v>0</v>
      </c>
      <c r="C88" s="21" t="n">
        <f aca="false">IF('Operating Model'!$C$4&gt;Assumptions!$C$126,C85-C87,0)</f>
        <v>0</v>
      </c>
      <c r="D88" s="21" t="n">
        <f aca="false">IF('Operating Model'!$D$4&gt;Assumptions!$C$126,D85-D87,0)</f>
        <v>0</v>
      </c>
      <c r="E88" s="21" t="n">
        <f aca="false">IF('Operating Model'!$E$4&gt;Assumptions!$C$126,E85-E87,0)</f>
        <v>8833398.6726708</v>
      </c>
      <c r="F88" s="21" t="n">
        <f aca="false">IF('Operating Model'!$F$4&gt;Assumptions!$C$126,F85-F87,0)</f>
        <v>8736379.09352296</v>
      </c>
    </row>
    <row r="89" customFormat="false" ht="15" hidden="false" customHeight="false" outlineLevel="0" collapsed="false">
      <c r="A89" s="19" t="s">
        <v>417</v>
      </c>
      <c r="B89" s="21" t="n">
        <f aca="false">B27+B86+B87</f>
        <v>397516</v>
      </c>
      <c r="C89" s="21" t="n">
        <f aca="false">C27+C86+C87</f>
        <v>397516</v>
      </c>
      <c r="D89" s="21" t="n">
        <f aca="false">D27+D86+D87</f>
        <v>397516</v>
      </c>
      <c r="E89" s="21" t="n">
        <f aca="false">E27+E86+E87</f>
        <v>736557.643049215</v>
      </c>
      <c r="F89" s="21" t="n">
        <f aca="false">F27+F86+F87</f>
        <v>736557.643049215</v>
      </c>
    </row>
    <row r="90" customFormat="false" ht="15" hidden="false" customHeight="false" outlineLevel="0" collapsed="false">
      <c r="A90" s="0" t="s">
        <v>418</v>
      </c>
      <c r="B90" s="22" t="n">
        <f aca="false">IF(Assumptions!$C$154&gt;Assumptions!$C$126,INDEX(Assumptions!$C$112:$C$121,Assumptions!$C$154-Assumptions!$C$126),0)</f>
        <v>0.05</v>
      </c>
    </row>
    <row r="91" customFormat="false" ht="15" hidden="false" customHeight="false" outlineLevel="0" collapsed="false">
      <c r="A91" s="0" t="s">
        <v>419</v>
      </c>
      <c r="B91" s="21" t="n">
        <f aca="false">F88*'Debt (Assumed)'!$B$90</f>
        <v>436818.954676148</v>
      </c>
    </row>
    <row r="92" customFormat="false" ht="15" hidden="false" customHeight="false" outlineLevel="0" collapsed="false">
      <c r="A92" s="0" t="s">
        <v>420</v>
      </c>
      <c r="B92" s="21" t="n">
        <f aca="false">SUM(B86:F86)+'Debt (Assumed)'!$B$83+'Debt (Assumed)'!$B$91</f>
        <v>1722445.08017592</v>
      </c>
    </row>
    <row r="93" customFormat="false" ht="15" hidden="false" customHeight="false" outlineLevel="0" collapsed="false">
      <c r="A93" s="19" t="s">
        <v>421</v>
      </c>
      <c r="B93" s="15" t="n">
        <f aca="false">'Debt (Assumed)'!$B$92/'Debt (Assumed)'!$B$80/(Assumptions!$C$154-Assumptions!$C$126)</f>
        <v>0.0965077604871847</v>
      </c>
    </row>
    <row r="95" customFormat="false" ht="15" hidden="false" customHeight="false" outlineLevel="0" collapsed="false">
      <c r="A95" s="3" t="s">
        <v>424</v>
      </c>
      <c r="B95" s="3"/>
      <c r="C95" s="3"/>
      <c r="D95" s="3"/>
      <c r="E95" s="3"/>
      <c r="F95" s="3"/>
    </row>
    <row r="96" customFormat="false" ht="15" hidden="false" customHeight="false" outlineLevel="0" collapsed="false">
      <c r="A96" s="0" t="s">
        <v>425</v>
      </c>
      <c r="B96" s="20" t="n">
        <f aca="false">IF('Debt (Assumed)'!$B$51&lt;='Debt (Assumed)'!$B$72,1,2)</f>
        <v>1</v>
      </c>
    </row>
    <row r="97" customFormat="false" ht="15" hidden="false" customHeight="false" outlineLevel="0" collapsed="false">
      <c r="A97" s="0" t="s">
        <v>426</v>
      </c>
      <c r="B97" s="20" t="n">
        <f aca="false">IF(Assumptions!$C$136=3,3,'Debt (Assumed)'!$B$96)</f>
        <v>1</v>
      </c>
    </row>
    <row r="98" customFormat="false" ht="15" hidden="false" customHeight="false" outlineLevel="0" collapsed="false">
      <c r="A98" s="0" t="s">
        <v>427</v>
      </c>
      <c r="B98" s="26" t="n">
        <f aca="false">CHOOSE('Debt (Assumed)'!$B$97,'Debt (Assumed)'!$B$33,'Debt (Assumed)'!$B$54,'Debt (Assumed)'!$B$75)</f>
        <v>0.0674</v>
      </c>
    </row>
    <row r="99" customFormat="false" ht="15" hidden="false" customHeight="false" outlineLevel="0" collapsed="false">
      <c r="A99" s="0" t="s">
        <v>428</v>
      </c>
      <c r="B99" s="26" t="n">
        <f aca="false">CHOOSE('Debt (Assumed)'!$B$97,'Debt (Assumed)'!$B$34,'Debt (Assumed)'!$B$55,'Debt (Assumed)'!$B$76)</f>
        <v>0.075</v>
      </c>
    </row>
    <row r="100" customFormat="false" ht="15" hidden="false" customHeight="false" outlineLevel="0" collapsed="false">
      <c r="A100" s="0" t="s">
        <v>429</v>
      </c>
      <c r="B100" s="20" t="n">
        <f aca="false">CHOOSE('Debt (Assumed)'!$B$97,'Debt (Assumed)'!$B$35,'Debt (Assumed)'!$B$56,'Debt (Assumed)'!$B$77)</f>
        <v>5</v>
      </c>
    </row>
    <row r="101" customFormat="false" ht="15" hidden="false" customHeight="false" outlineLevel="0" collapsed="false">
      <c r="A101" s="0" t="s">
        <v>430</v>
      </c>
      <c r="B101" s="26" t="n">
        <f aca="false">CHOOSE('Debt (Assumed)'!$B$97,'Debt (Assumed)'!$B$41/'Debt (Assumed)'!$B$38,'Debt (Assumed)'!$B$62/'Debt (Assumed)'!$B$59,'Debt (Assumed)'!$B$83/'Debt (Assumed)'!$B$80)</f>
        <v>0.0108</v>
      </c>
    </row>
    <row r="102" customFormat="false" ht="15" hidden="false" customHeight="false" outlineLevel="0" collapsed="false">
      <c r="A102" s="0" t="s">
        <v>431</v>
      </c>
      <c r="B102" s="22" t="n">
        <f aca="false">CHOOSE('Debt (Assumed)'!$B$97,'Debt (Assumed)'!$B$48,'Debt (Assumed)'!$B$69,'Debt (Assumed)'!$B$90)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432</v>
      </c>
    </row>
    <row r="3" customFormat="false" ht="15" hidden="false" customHeight="false" outlineLevel="0" collapsed="false">
      <c r="A3" s="2" t="s">
        <v>433</v>
      </c>
    </row>
    <row r="5" customFormat="false" ht="15" hidden="false" customHeight="false" outlineLevel="0" collapsed="false">
      <c r="A5" s="3" t="s">
        <v>434</v>
      </c>
      <c r="B5" s="3"/>
    </row>
    <row r="6" customFormat="false" ht="15" hidden="false" customHeight="false" outlineLevel="0" collapsed="false">
      <c r="A6" s="0" t="s">
        <v>435</v>
      </c>
      <c r="B6" s="21" t="n">
        <f aca="false">('Debt (Assumed)'!$B$10+'Debt (Assumed)'!$B$11)*Assumptions!$C$131</f>
        <v>47250</v>
      </c>
    </row>
    <row r="7" customFormat="false" ht="15" hidden="false" customHeight="false" outlineLevel="0" collapsed="false">
      <c r="A7" s="0" t="s">
        <v>436</v>
      </c>
      <c r="B7" s="21" t="n">
        <f aca="false">Capital!$B$8+'Returns (Assumed)'!$B$6</f>
        <v>14545290</v>
      </c>
    </row>
    <row r="8" customFormat="false" ht="15" hidden="false" customHeight="false" outlineLevel="0" collapsed="false">
      <c r="A8" s="0" t="s">
        <v>437</v>
      </c>
      <c r="B8" s="21" t="n">
        <f aca="false">'Debt (Assumed)'!$B$10+'Debt (Assumed)'!$B$11</f>
        <v>9450000</v>
      </c>
    </row>
    <row r="9" customFormat="false" ht="15" hidden="false" customHeight="false" outlineLevel="0" collapsed="false">
      <c r="A9" s="19" t="s">
        <v>438</v>
      </c>
      <c r="B9" s="10" t="n">
        <f aca="false">'Returns (Assumed)'!$B$7-'Returns (Assumed)'!$B$8</f>
        <v>5095290</v>
      </c>
    </row>
    <row r="10" customFormat="false" ht="15" hidden="false" customHeight="false" outlineLevel="0" collapsed="false">
      <c r="A10" s="0" t="s">
        <v>439</v>
      </c>
      <c r="B10" s="21" t="n">
        <f aca="false">'Returns (Assumed)'!$B$9*(1-Assumptions!$C$174)</f>
        <v>4585761</v>
      </c>
    </row>
    <row r="11" customFormat="false" ht="15" hidden="false" customHeight="false" outlineLevel="0" collapsed="false">
      <c r="A11" s="0" t="s">
        <v>440</v>
      </c>
      <c r="B11" s="21" t="n">
        <f aca="false">'Returns (Assumed)'!$B$9*Assumptions!$C$174</f>
        <v>509529</v>
      </c>
    </row>
    <row r="12" customFormat="false" ht="15" hidden="false" customHeight="false" outlineLevel="0" collapsed="false">
      <c r="A12" s="0" t="s">
        <v>441</v>
      </c>
      <c r="B12" s="21" t="n">
        <f aca="false">Capital!$B$12</f>
        <v>5985779.97108699</v>
      </c>
    </row>
    <row r="13" customFormat="false" ht="15" hidden="false" customHeight="false" outlineLevel="0" collapsed="false">
      <c r="A13" s="0" t="s">
        <v>442</v>
      </c>
      <c r="B13" s="21" t="n">
        <f aca="false">'Debt (Assumed)'!$B$7</f>
        <v>0</v>
      </c>
    </row>
    <row r="15" customFormat="false" ht="15" hidden="false" customHeight="false" outlineLevel="0" collapsed="false">
      <c r="A15" s="3" t="s">
        <v>443</v>
      </c>
      <c r="B15" s="3"/>
      <c r="C15" s="3"/>
      <c r="D15" s="3"/>
      <c r="E15" s="3"/>
      <c r="F15" s="3"/>
      <c r="G15" s="3"/>
    </row>
    <row r="16" customFormat="false" ht="15" hidden="false" customHeight="false" outlineLevel="0" collapsed="false">
      <c r="B16" s="19" t="s">
        <v>361</v>
      </c>
      <c r="C16" s="19" t="s">
        <v>362</v>
      </c>
      <c r="D16" s="19" t="s">
        <v>363</v>
      </c>
      <c r="E16" s="19" t="s">
        <v>364</v>
      </c>
      <c r="F16" s="19" t="s">
        <v>365</v>
      </c>
      <c r="G16" s="19" t="s">
        <v>366</v>
      </c>
    </row>
    <row r="17" customFormat="false" ht="15" hidden="false" customHeight="false" outlineLevel="0" collapsed="false">
      <c r="A17" s="0" t="s">
        <v>444</v>
      </c>
      <c r="C17" s="21" t="n">
        <f aca="false">'Operating Model'!$B$55</f>
        <v>849130.438496</v>
      </c>
      <c r="D17" s="21" t="n">
        <f aca="false">'Operating Model'!$C$55</f>
        <v>725817.041376455</v>
      </c>
      <c r="E17" s="21" t="n">
        <f aca="false">'Operating Model'!$D$55</f>
        <v>884683.141118126</v>
      </c>
      <c r="F17" s="21" t="n">
        <f aca="false">'Operating Model'!$E$55</f>
        <v>888433.363649019</v>
      </c>
      <c r="G17" s="21" t="n">
        <f aca="false">'Operating Model'!$F$55</f>
        <v>893853.577778046</v>
      </c>
    </row>
    <row r="19" customFormat="false" ht="15" hidden="false" customHeight="false" outlineLevel="0" collapsed="false">
      <c r="A19" s="3" t="s">
        <v>445</v>
      </c>
      <c r="B19" s="3"/>
      <c r="C19" s="3"/>
      <c r="D19" s="3"/>
      <c r="E19" s="3"/>
      <c r="F19" s="3"/>
      <c r="G19" s="3"/>
    </row>
    <row r="20" customFormat="false" ht="15" hidden="false" customHeight="false" outlineLevel="0" collapsed="false">
      <c r="A20" s="0" t="s">
        <v>446</v>
      </c>
      <c r="B20" s="21" t="n">
        <f aca="false">INDEX('Operating Model'!$B$50:$K$50,Assumptions!$C$126+1)/(Returns!$B$33+Returns!$B$35)</f>
        <v>14182905.3892963</v>
      </c>
    </row>
    <row r="21" customFormat="false" ht="15" hidden="false" customHeight="false" outlineLevel="0" collapsed="false">
      <c r="A21" s="0" t="s">
        <v>447</v>
      </c>
      <c r="B21" s="21" t="n">
        <f aca="false">-B20*Assumptions!$C$158</f>
        <v>-283658.107785926</v>
      </c>
    </row>
    <row r="22" customFormat="false" ht="15" hidden="false" customHeight="false" outlineLevel="0" collapsed="false">
      <c r="A22" s="0" t="s">
        <v>448</v>
      </c>
      <c r="B22" s="21" t="n">
        <f aca="false">-'Debt (Assumed)'!$B$28</f>
        <v>-9450000</v>
      </c>
    </row>
    <row r="23" customFormat="false" ht="15" hidden="false" customHeight="false" outlineLevel="0" collapsed="false">
      <c r="A23" s="19" t="s">
        <v>449</v>
      </c>
      <c r="B23" s="21" t="n">
        <f aca="false">SUM(B20:B22)</f>
        <v>4449247.28151039</v>
      </c>
    </row>
    <row r="24" customFormat="false" ht="15" hidden="false" customHeight="false" outlineLevel="0" collapsed="false">
      <c r="A24" s="0" t="s">
        <v>450</v>
      </c>
      <c r="C24" s="21" t="n">
        <f aca="false">IF('Operating Model'!$B$4&lt;=Assumptions!$C$126,C17-'Debt (Assumed)'!B$27,0)</f>
        <v>451614.438496</v>
      </c>
      <c r="D24" s="21" t="n">
        <f aca="false">IF('Operating Model'!$C$4&lt;=Assumptions!$C$126,D17-'Debt (Assumed)'!C$27,0)</f>
        <v>328301.041376455</v>
      </c>
      <c r="E24" s="21" t="n">
        <f aca="false">IF('Operating Model'!$D$4&lt;=Assumptions!$C$126,E17-'Debt (Assumed)'!D$27,0)</f>
        <v>487167.141118126</v>
      </c>
      <c r="F24" s="21" t="n">
        <f aca="false">IF('Operating Model'!$E$4&lt;=Assumptions!$C$126,F17-'Debt (Assumed)'!E$27,0)</f>
        <v>0</v>
      </c>
      <c r="G24" s="21" t="n">
        <f aca="false">IF('Operating Model'!$F$4&lt;=Assumptions!$C$126,G17-'Debt (Assumed)'!F$27,0)</f>
        <v>0</v>
      </c>
    </row>
    <row r="25" customFormat="false" ht="15" hidden="false" customHeight="false" outlineLevel="0" collapsed="false">
      <c r="A25" s="19" t="s">
        <v>451</v>
      </c>
      <c r="B25" s="21" t="n">
        <f aca="false">-'Returns (Assumed)'!$B$9</f>
        <v>-5095290</v>
      </c>
      <c r="C25" s="21" t="n">
        <f aca="false">C24+IF('Operating Model'!$B$4=Assumptions!$C$126,$B$23,0)</f>
        <v>451614.438496</v>
      </c>
      <c r="D25" s="21" t="n">
        <f aca="false">D24+IF('Operating Model'!$C$4=Assumptions!$C$126,$B$23,0)</f>
        <v>328301.041376455</v>
      </c>
      <c r="E25" s="21" t="n">
        <f aca="false">E24+IF('Operating Model'!$D$4=Assumptions!$C$126,$B$23,0)</f>
        <v>4936414.42262852</v>
      </c>
      <c r="F25" s="21" t="n">
        <f aca="false">F24+IF('Operating Model'!$E$4=Assumptions!$C$126,$B$23,0)</f>
        <v>0</v>
      </c>
      <c r="G25" s="21" t="n">
        <f aca="false">G24+IF('Operating Model'!$F$4=Assumptions!$C$126,$B$23,0)</f>
        <v>0</v>
      </c>
    </row>
    <row r="26" customFormat="false" ht="15" hidden="false" customHeight="false" outlineLevel="0" collapsed="false">
      <c r="A26" s="0" t="s">
        <v>452</v>
      </c>
      <c r="B26" s="26" t="n">
        <f aca="false">IFERROR(IRR(B25:G25),"N/A")</f>
        <v>0.0422747582088142</v>
      </c>
    </row>
    <row r="27" customFormat="false" ht="15" hidden="false" customHeight="false" outlineLevel="0" collapsed="false">
      <c r="A27" s="0" t="s">
        <v>453</v>
      </c>
      <c r="B27" s="24" t="n">
        <f aca="false">SUM(C25:G25)/'Returns (Assumed)'!$B$9</f>
        <v>1.12188509437166</v>
      </c>
    </row>
    <row r="28" customFormat="false" ht="15" hidden="false" customHeight="false" outlineLevel="0" collapsed="false">
      <c r="A28" s="0" t="s">
        <v>454</v>
      </c>
      <c r="B28" s="21" t="n">
        <f aca="false">MAX(0,-MIN(C24:G24))</f>
        <v>-0</v>
      </c>
    </row>
    <row r="29" customFormat="false" ht="15" hidden="false" customHeight="false" outlineLevel="0" collapsed="false">
      <c r="A29" s="0" t="s">
        <v>455</v>
      </c>
      <c r="B29" s="21" t="n">
        <f aca="false">'Returns (Assumed)'!$B$9+B28</f>
        <v>5095290</v>
      </c>
    </row>
    <row r="31" customFormat="false" ht="15" hidden="false" customHeight="false" outlineLevel="0" collapsed="false">
      <c r="A31" s="3" t="s">
        <v>456</v>
      </c>
      <c r="B31" s="3"/>
      <c r="C31" s="3"/>
      <c r="D31" s="3"/>
      <c r="E31" s="3"/>
      <c r="F31" s="3"/>
      <c r="G31" s="3"/>
    </row>
    <row r="32" customFormat="false" ht="15" hidden="false" customHeight="false" outlineLevel="0" collapsed="false">
      <c r="A32" s="0" t="s">
        <v>457</v>
      </c>
      <c r="B32" s="21" t="n">
        <f aca="false">Returns!$B$37</f>
        <v>14542213.2695848</v>
      </c>
    </row>
    <row r="33" customFormat="false" ht="15" hidden="false" customHeight="false" outlineLevel="0" collapsed="false">
      <c r="A33" s="0" t="s">
        <v>447</v>
      </c>
      <c r="B33" s="21" t="n">
        <f aca="false">-B32*Assumptions!$C$158</f>
        <v>-290844.265391696</v>
      </c>
    </row>
    <row r="34" customFormat="false" ht="15" hidden="false" customHeight="false" outlineLevel="0" collapsed="false">
      <c r="A34" s="0" t="s">
        <v>458</v>
      </c>
      <c r="B34" s="21" t="n">
        <f aca="false">-'Debt (Assumed)'!F$46</f>
        <v>-8699030.271278</v>
      </c>
    </row>
    <row r="35" customFormat="false" ht="15" hidden="false" customHeight="false" outlineLevel="0" collapsed="false">
      <c r="A35" s="0" t="s">
        <v>459</v>
      </c>
      <c r="B35" s="21" t="n">
        <f aca="false">-'Debt (Assumed)'!$B$49</f>
        <v>-0</v>
      </c>
    </row>
    <row r="36" customFormat="false" ht="15" hidden="false" customHeight="false" outlineLevel="0" collapsed="false">
      <c r="A36" s="19" t="s">
        <v>460</v>
      </c>
      <c r="B36" s="21" t="n">
        <f aca="false">SUM(B32:B35)</f>
        <v>5552338.73291509</v>
      </c>
    </row>
    <row r="37" customFormat="false" ht="15" hidden="false" customHeight="false" outlineLevel="0" collapsed="false">
      <c r="A37" s="0" t="s">
        <v>461</v>
      </c>
      <c r="C37" s="21" t="n">
        <f aca="false">C17-'Debt (Assumed)'!B$47-IF('Operating Model'!$B$4=Assumptions!$C$126,'Debt (Assumed)'!$B$42,0)</f>
        <v>451614.438496</v>
      </c>
      <c r="D37" s="21" t="n">
        <f aca="false">D17-'Debt (Assumed)'!C$47-IF('Operating Model'!$C$4=Assumptions!$C$126,'Debt (Assumed)'!$B$42,0)</f>
        <v>328301.041376455</v>
      </c>
      <c r="E37" s="21" t="n">
        <f aca="false">E17-'Debt (Assumed)'!D$47-IF('Operating Model'!$D$4=Assumptions!$C$126,'Debt (Assumed)'!$B$42,0)</f>
        <v>-357752.114533679</v>
      </c>
      <c r="F37" s="21" t="n">
        <f aca="false">F17-'Debt (Assumed)'!E$47-IF('Operating Model'!$E$4=Assumptions!$C$126,'Debt (Assumed)'!$B$42,0)</f>
        <v>302118.723364882</v>
      </c>
      <c r="G37" s="21" t="n">
        <f aca="false">G17-'Debt (Assumed)'!F$47-IF('Operating Model'!$F$4=Assumptions!$C$126,'Debt (Assumed)'!$B$42,0)</f>
        <v>307538.937493909</v>
      </c>
    </row>
    <row r="38" customFormat="false" ht="15" hidden="false" customHeight="false" outlineLevel="0" collapsed="false">
      <c r="A38" s="19" t="s">
        <v>451</v>
      </c>
      <c r="B38" s="21" t="n">
        <f aca="false">-'Returns (Assumed)'!$B$9</f>
        <v>-5095290</v>
      </c>
      <c r="C38" s="21" t="n">
        <f aca="false">C37+IF('Operating Model'!$B$4=Assumptions!$C$154,$B$36,0)</f>
        <v>451614.438496</v>
      </c>
      <c r="D38" s="21" t="n">
        <f aca="false">D37+IF('Operating Model'!$C$4=Assumptions!$C$154,$B$36,0)</f>
        <v>328301.041376455</v>
      </c>
      <c r="E38" s="21" t="n">
        <f aca="false">E37+IF('Operating Model'!$D$4=Assumptions!$C$154,$B$36,0)</f>
        <v>-357752.114533679</v>
      </c>
      <c r="F38" s="21" t="n">
        <f aca="false">F37+IF('Operating Model'!$E$4=Assumptions!$C$154,$B$36,0)</f>
        <v>302118.723364882</v>
      </c>
      <c r="G38" s="21" t="n">
        <f aca="false">G37+IF('Operating Model'!$F$4=Assumptions!$C$154,$B$36,0)</f>
        <v>5859877.670409</v>
      </c>
    </row>
    <row r="39" customFormat="false" ht="15" hidden="false" customHeight="false" outlineLevel="0" collapsed="false">
      <c r="A39" s="0" t="s">
        <v>452</v>
      </c>
      <c r="B39" s="26" t="n">
        <f aca="false">IFERROR(IRR(B38:G38),"N/A")</f>
        <v>0.0572839138202696</v>
      </c>
    </row>
    <row r="40" customFormat="false" ht="15" hidden="false" customHeight="false" outlineLevel="0" collapsed="false">
      <c r="A40" s="0" t="s">
        <v>453</v>
      </c>
      <c r="B40" s="24" t="n">
        <f aca="false">SUM(C38:G38)/'Returns (Assumed)'!$B$9</f>
        <v>1.29220510689532</v>
      </c>
    </row>
    <row r="41" customFormat="false" ht="15" hidden="false" customHeight="false" outlineLevel="0" collapsed="false">
      <c r="A41" s="0" t="s">
        <v>454</v>
      </c>
      <c r="B41" s="21" t="n">
        <f aca="false">MAX(0,-MIN(C37:G37))</f>
        <v>357752.114533679</v>
      </c>
    </row>
    <row r="42" customFormat="false" ht="15" hidden="false" customHeight="false" outlineLevel="0" collapsed="false">
      <c r="A42" s="0" t="s">
        <v>455</v>
      </c>
      <c r="B42" s="21" t="n">
        <f aca="false">'Returns (Assumed)'!$B$9+B41</f>
        <v>5453042.11453368</v>
      </c>
    </row>
    <row r="44" customFormat="false" ht="15" hidden="false" customHeight="false" outlineLevel="0" collapsed="false">
      <c r="A44" s="3" t="s">
        <v>462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0" t="s">
        <v>457</v>
      </c>
      <c r="B45" s="21" t="n">
        <f aca="false">Returns!$B$37</f>
        <v>14542213.2695848</v>
      </c>
    </row>
    <row r="46" customFormat="false" ht="15" hidden="false" customHeight="false" outlineLevel="0" collapsed="false">
      <c r="A46" s="0" t="s">
        <v>447</v>
      </c>
      <c r="B46" s="21" t="n">
        <f aca="false">-B45*Assumptions!$C$158</f>
        <v>-290844.265391696</v>
      </c>
    </row>
    <row r="47" customFormat="false" ht="15" hidden="false" customHeight="false" outlineLevel="0" collapsed="false">
      <c r="A47" s="0" t="s">
        <v>458</v>
      </c>
      <c r="B47" s="21" t="n">
        <f aca="false">-'Debt (Assumed)'!F$67</f>
        <v>-8888144.87958005</v>
      </c>
    </row>
    <row r="48" customFormat="false" ht="15" hidden="false" customHeight="false" outlineLevel="0" collapsed="false">
      <c r="A48" s="0" t="s">
        <v>459</v>
      </c>
      <c r="B48" s="21" t="n">
        <f aca="false">-'Debt (Assumed)'!$B$70</f>
        <v>-355525.795183202</v>
      </c>
    </row>
    <row r="49" customFormat="false" ht="15" hidden="false" customHeight="false" outlineLevel="0" collapsed="false">
      <c r="A49" s="19" t="s">
        <v>460</v>
      </c>
      <c r="B49" s="21" t="n">
        <f aca="false">SUM(B45:B48)</f>
        <v>5007698.32942984</v>
      </c>
    </row>
    <row r="50" customFormat="false" ht="15" hidden="false" customHeight="false" outlineLevel="0" collapsed="false">
      <c r="A50" s="0" t="s">
        <v>461</v>
      </c>
      <c r="C50" s="21" t="n">
        <f aca="false">C17-'Debt (Assumed)'!B$68-IF('Operating Model'!$B$4=Assumptions!$C$126,'Debt (Assumed)'!$B$63,0)</f>
        <v>451614.438496</v>
      </c>
      <c r="D50" s="21" t="n">
        <f aca="false">D17-'Debt (Assumed)'!C$68-IF('Operating Model'!$C$4=Assumptions!$C$126,'Debt (Assumed)'!$B$63,0)</f>
        <v>328301.041376455</v>
      </c>
      <c r="E50" s="21" t="n">
        <f aca="false">E17-'Debt (Assumed)'!D$68-IF('Operating Model'!$D$4=Assumptions!$C$126,'Debt (Assumed)'!$B$63,0)</f>
        <v>122320.890099442</v>
      </c>
      <c r="F50" s="21" t="n">
        <f aca="false">F17-'Debt (Assumed)'!E$68-IF('Operating Model'!$E$4=Assumptions!$C$126,'Debt (Assumed)'!$B$63,0)</f>
        <v>151875.720599804</v>
      </c>
      <c r="G50" s="21" t="n">
        <f aca="false">G17-'Debt (Assumed)'!F$68-IF('Operating Model'!$F$4=Assumptions!$C$126,'Debt (Assumed)'!$B$63,0)</f>
        <v>157295.934728831</v>
      </c>
    </row>
    <row r="51" customFormat="false" ht="15" hidden="false" customHeight="false" outlineLevel="0" collapsed="false">
      <c r="A51" s="19" t="s">
        <v>451</v>
      </c>
      <c r="B51" s="21" t="n">
        <f aca="false">-'Returns (Assumed)'!$B$9</f>
        <v>-5095290</v>
      </c>
      <c r="C51" s="21" t="n">
        <f aca="false">C50+IF('Operating Model'!$B$4=Assumptions!$C$154,$B$49,0)</f>
        <v>451614.438496</v>
      </c>
      <c r="D51" s="21" t="n">
        <f aca="false">D50+IF('Operating Model'!$C$4=Assumptions!$C$154,$B$49,0)</f>
        <v>328301.041376455</v>
      </c>
      <c r="E51" s="21" t="n">
        <f aca="false">E50+IF('Operating Model'!$D$4=Assumptions!$C$154,$B$49,0)</f>
        <v>122320.890099442</v>
      </c>
      <c r="F51" s="21" t="n">
        <f aca="false">F50+IF('Operating Model'!$E$4=Assumptions!$C$154,$B$49,0)</f>
        <v>151875.720599804</v>
      </c>
      <c r="G51" s="21" t="n">
        <f aca="false">G50+IF('Operating Model'!$F$4=Assumptions!$C$154,$B$49,0)</f>
        <v>5164994.26415867</v>
      </c>
    </row>
    <row r="52" customFormat="false" ht="15" hidden="false" customHeight="false" outlineLevel="0" collapsed="false">
      <c r="A52" s="0" t="s">
        <v>452</v>
      </c>
      <c r="B52" s="26" t="n">
        <f aca="false">IFERROR(IRR(B51:G51),"N/A")</f>
        <v>0.0457748994243466</v>
      </c>
    </row>
    <row r="53" customFormat="false" ht="15" hidden="false" customHeight="false" outlineLevel="0" collapsed="false">
      <c r="A53" s="0" t="s">
        <v>453</v>
      </c>
      <c r="B53" s="24" t="n">
        <f aca="false">SUM(C51:G51)/'Returns (Assumed)'!$B$9</f>
        <v>1.22055984148701</v>
      </c>
    </row>
    <row r="54" customFormat="false" ht="15" hidden="false" customHeight="false" outlineLevel="0" collapsed="false">
      <c r="A54" s="0" t="s">
        <v>454</v>
      </c>
      <c r="B54" s="21" t="n">
        <f aca="false">MAX(0,-MIN(C50:G50))</f>
        <v>0</v>
      </c>
    </row>
    <row r="55" customFormat="false" ht="15" hidden="false" customHeight="false" outlineLevel="0" collapsed="false">
      <c r="A55" s="0" t="s">
        <v>455</v>
      </c>
      <c r="B55" s="21" t="n">
        <f aca="false">'Returns (Assumed)'!$B$9+B54</f>
        <v>5095290</v>
      </c>
    </row>
    <row r="57" customFormat="false" ht="15" hidden="false" customHeight="false" outlineLevel="0" collapsed="false">
      <c r="A57" s="3" t="s">
        <v>463</v>
      </c>
      <c r="B57" s="3"/>
      <c r="C57" s="3"/>
      <c r="D57" s="3"/>
      <c r="E57" s="3"/>
      <c r="F57" s="3"/>
      <c r="G57" s="3"/>
    </row>
    <row r="58" customFormat="false" ht="15" hidden="false" customHeight="false" outlineLevel="0" collapsed="false">
      <c r="A58" s="0" t="s">
        <v>457</v>
      </c>
      <c r="B58" s="21" t="n">
        <f aca="false">Returns!$B$37</f>
        <v>14542213.2695848</v>
      </c>
    </row>
    <row r="59" customFormat="false" ht="15" hidden="false" customHeight="false" outlineLevel="0" collapsed="false">
      <c r="A59" s="0" t="s">
        <v>447</v>
      </c>
      <c r="B59" s="21" t="n">
        <f aca="false">-B58*Assumptions!$C$158</f>
        <v>-290844.265391696</v>
      </c>
    </row>
    <row r="60" customFormat="false" ht="15" hidden="false" customHeight="false" outlineLevel="0" collapsed="false">
      <c r="A60" s="0" t="s">
        <v>458</v>
      </c>
      <c r="B60" s="21" t="n">
        <f aca="false">-'Debt (Assumed)'!F$88</f>
        <v>-8736379.09352296</v>
      </c>
    </row>
    <row r="61" customFormat="false" ht="15" hidden="false" customHeight="false" outlineLevel="0" collapsed="false">
      <c r="A61" s="0" t="s">
        <v>459</v>
      </c>
      <c r="B61" s="21" t="n">
        <f aca="false">-'Debt (Assumed)'!$B$91</f>
        <v>-436818.954676148</v>
      </c>
    </row>
    <row r="62" customFormat="false" ht="15" hidden="false" customHeight="false" outlineLevel="0" collapsed="false">
      <c r="A62" s="19" t="s">
        <v>460</v>
      </c>
      <c r="B62" s="21" t="n">
        <f aca="false">SUM(B58:B61)</f>
        <v>5078170.95599398</v>
      </c>
    </row>
    <row r="63" customFormat="false" ht="15" hidden="false" customHeight="false" outlineLevel="0" collapsed="false">
      <c r="A63" s="0" t="s">
        <v>461</v>
      </c>
      <c r="C63" s="21" t="n">
        <f aca="false">C17-'Debt (Assumed)'!B$89-IF('Operating Model'!$B$4=Assumptions!$C$126,'Debt (Assumed)'!$B$84,0)</f>
        <v>451614.438496</v>
      </c>
      <c r="D63" s="21" t="n">
        <f aca="false">D17-'Debt (Assumed)'!C$89-IF('Operating Model'!$C$4=Assumptions!$C$126,'Debt (Assumed)'!$B$84,0)</f>
        <v>328301.041376455</v>
      </c>
      <c r="E63" s="21" t="n">
        <f aca="false">E17-'Debt (Assumed)'!D$89-IF('Operating Model'!$D$4=Assumptions!$C$126,'Debt (Assumed)'!$B$84,0)</f>
        <v>-38964.6047602594</v>
      </c>
      <c r="F63" s="21" t="n">
        <f aca="false">F17-'Debt (Assumed)'!E$89-IF('Operating Model'!$E$4=Assumptions!$C$126,'Debt (Assumed)'!$B$84,0)</f>
        <v>151875.720599804</v>
      </c>
      <c r="G63" s="21" t="n">
        <f aca="false">G17-'Debt (Assumed)'!F$89-IF('Operating Model'!$F$4=Assumptions!$C$126,'Debt (Assumed)'!$B$84,0)</f>
        <v>157295.934728831</v>
      </c>
    </row>
    <row r="64" customFormat="false" ht="15" hidden="false" customHeight="false" outlineLevel="0" collapsed="false">
      <c r="A64" s="19" t="s">
        <v>451</v>
      </c>
      <c r="B64" s="21" t="n">
        <f aca="false">-'Returns (Assumed)'!$B$9</f>
        <v>-5095290</v>
      </c>
      <c r="C64" s="21" t="n">
        <f aca="false">C63+IF('Operating Model'!$B$4=Assumptions!$C$154,$B$62,0)</f>
        <v>451614.438496</v>
      </c>
      <c r="D64" s="21" t="n">
        <f aca="false">D63+IF('Operating Model'!$C$4=Assumptions!$C$154,$B$62,0)</f>
        <v>328301.041376455</v>
      </c>
      <c r="E64" s="21" t="n">
        <f aca="false">E63+IF('Operating Model'!$D$4=Assumptions!$C$154,$B$62,0)</f>
        <v>-38964.6047602594</v>
      </c>
      <c r="F64" s="21" t="n">
        <f aca="false">F63+IF('Operating Model'!$E$4=Assumptions!$C$154,$B$62,0)</f>
        <v>151875.720599804</v>
      </c>
      <c r="G64" s="21" t="n">
        <f aca="false">G63+IF('Operating Model'!$F$4=Assumptions!$C$154,$B$62,0)</f>
        <v>5235466.89072282</v>
      </c>
    </row>
    <row r="65" customFormat="false" ht="15" hidden="false" customHeight="false" outlineLevel="0" collapsed="false">
      <c r="A65" s="0" t="s">
        <v>452</v>
      </c>
      <c r="B65" s="26" t="n">
        <f aca="false">IFERROR(IRR(B64:G64),"N/A")</f>
        <v>0.0418587207256136</v>
      </c>
    </row>
    <row r="66" customFormat="false" ht="15" hidden="false" customHeight="false" outlineLevel="0" collapsed="false">
      <c r="A66" s="0" t="s">
        <v>453</v>
      </c>
      <c r="B66" s="24" t="n">
        <f aca="false">SUM(C64:G64)/'Returns (Assumed)'!$B$9</f>
        <v>1.20273693674645</v>
      </c>
    </row>
    <row r="67" customFormat="false" ht="15" hidden="false" customHeight="false" outlineLevel="0" collapsed="false">
      <c r="A67" s="0" t="s">
        <v>454</v>
      </c>
      <c r="B67" s="21" t="n">
        <f aca="false">MAX(0,-MIN(C63:G63))</f>
        <v>38964.6047602594</v>
      </c>
    </row>
    <row r="68" customFormat="false" ht="15" hidden="false" customHeight="false" outlineLevel="0" collapsed="false">
      <c r="A68" s="0" t="s">
        <v>455</v>
      </c>
      <c r="B68" s="21" t="n">
        <f aca="false">'Returns (Assumed)'!$B$9+B67</f>
        <v>5134254.60476026</v>
      </c>
    </row>
    <row r="70" customFormat="false" ht="15" hidden="false" customHeight="false" outlineLevel="0" collapsed="false">
      <c r="A70" s="3" t="s">
        <v>464</v>
      </c>
      <c r="B70" s="3"/>
      <c r="C70" s="3"/>
      <c r="D70" s="3"/>
      <c r="E70" s="3"/>
      <c r="F70" s="3"/>
      <c r="G70" s="3"/>
      <c r="H70" s="3"/>
    </row>
    <row r="71" customFormat="false" ht="15" hidden="false" customHeight="false" outlineLevel="0" collapsed="false">
      <c r="A71" s="19" t="s">
        <v>465</v>
      </c>
      <c r="B71" s="19" t="s">
        <v>452</v>
      </c>
      <c r="C71" s="19" t="s">
        <v>466</v>
      </c>
      <c r="D71" s="19" t="s">
        <v>467</v>
      </c>
      <c r="E71" s="19" t="s">
        <v>455</v>
      </c>
      <c r="F71" s="19" t="s">
        <v>468</v>
      </c>
      <c r="G71" s="19" t="s">
        <v>469</v>
      </c>
      <c r="H71" s="19" t="s">
        <v>470</v>
      </c>
    </row>
    <row r="72" customFormat="false" ht="15" hidden="false" customHeight="false" outlineLevel="0" collapsed="false">
      <c r="A72" s="0" t="s">
        <v>471</v>
      </c>
      <c r="B72" s="26" t="n">
        <f aca="false">B26</f>
        <v>0.0422747582088142</v>
      </c>
      <c r="C72" s="24" t="n">
        <f aca="false">B27</f>
        <v>1.12188509437166</v>
      </c>
      <c r="D72" s="21" t="n">
        <f aca="false">B28</f>
        <v>-0</v>
      </c>
      <c r="E72" s="21" t="n">
        <f aca="false">B29</f>
        <v>5095290</v>
      </c>
      <c r="F72" s="0" t="s">
        <v>472</v>
      </c>
      <c r="G72" s="0" t="s">
        <v>472</v>
      </c>
      <c r="H72" s="20" t="n">
        <f aca="false">Assumptions!$C$126</f>
        <v>3</v>
      </c>
    </row>
    <row r="73" customFormat="false" ht="15" hidden="false" customHeight="false" outlineLevel="0" collapsed="false">
      <c r="A73" s="0" t="s">
        <v>473</v>
      </c>
      <c r="B73" s="26" t="n">
        <f aca="false">B39</f>
        <v>0.0572839138202696</v>
      </c>
      <c r="C73" s="24" t="n">
        <f aca="false">B40</f>
        <v>1.29220510689532</v>
      </c>
      <c r="D73" s="21" t="n">
        <f aca="false">B41</f>
        <v>357752.114533679</v>
      </c>
      <c r="E73" s="21" t="n">
        <f aca="false">B42</f>
        <v>5453042.11453368</v>
      </c>
      <c r="F73" s="26" t="n">
        <f aca="false">'Debt (Assumed)'!$B$33</f>
        <v>0.0674</v>
      </c>
      <c r="G73" s="26" t="n">
        <f aca="false">'Debt (Assumed)'!$B$51</f>
        <v>0.0728</v>
      </c>
      <c r="H73" s="20" t="n">
        <f aca="false">Assumptions!$C$154</f>
        <v>5</v>
      </c>
    </row>
    <row r="74" customFormat="false" ht="15" hidden="false" customHeight="false" outlineLevel="0" collapsed="false">
      <c r="A74" s="0" t="s">
        <v>474</v>
      </c>
      <c r="B74" s="26" t="n">
        <f aca="false">B52</f>
        <v>0.0457748994243466</v>
      </c>
      <c r="C74" s="24" t="n">
        <f aca="false">B53</f>
        <v>1.22055984148701</v>
      </c>
      <c r="D74" s="21" t="n">
        <f aca="false">B54</f>
        <v>0</v>
      </c>
      <c r="E74" s="21" t="n">
        <f aca="false">B55</f>
        <v>5095290</v>
      </c>
      <c r="F74" s="26" t="n">
        <f aca="false">'Debt (Assumed)'!$B$54</f>
        <v>0.0706</v>
      </c>
      <c r="G74" s="26" t="n">
        <f aca="false">'Debt (Assumed)'!$B$72</f>
        <v>0.0897966207816412</v>
      </c>
      <c r="H74" s="20" t="n">
        <f aca="false">Assumptions!$C$154</f>
        <v>5</v>
      </c>
    </row>
    <row r="75" customFormat="false" ht="15" hidden="false" customHeight="false" outlineLevel="0" collapsed="false">
      <c r="A75" s="0" t="s">
        <v>475</v>
      </c>
      <c r="B75" s="26" t="n">
        <f aca="false">B65</f>
        <v>0.0418587207256136</v>
      </c>
      <c r="C75" s="24" t="n">
        <f aca="false">B66</f>
        <v>1.20273693674645</v>
      </c>
      <c r="D75" s="21" t="n">
        <f aca="false">B67</f>
        <v>38964.6047602594</v>
      </c>
      <c r="E75" s="21" t="n">
        <f aca="false">B68</f>
        <v>5134254.60476026</v>
      </c>
      <c r="F75" s="26" t="n">
        <f aca="false">'Debt (Assumed)'!$B$75</f>
        <v>0.0724</v>
      </c>
      <c r="G75" s="26" t="n">
        <f aca="false">'Debt (Assumed)'!$B$93</f>
        <v>0.0965077604871847</v>
      </c>
      <c r="H75" s="20" t="n">
        <f aca="false">Assumptions!$C$154</f>
        <v>5</v>
      </c>
    </row>
    <row r="77" customFormat="false" ht="15" hidden="false" customHeight="false" outlineLevel="0" collapsed="false">
      <c r="A77" s="3" t="s">
        <v>476</v>
      </c>
      <c r="B77" s="3"/>
      <c r="C77" s="3"/>
      <c r="D77" s="3"/>
      <c r="E77" s="3"/>
      <c r="F77" s="3"/>
      <c r="G77" s="3"/>
    </row>
    <row r="78" customFormat="false" ht="15" hidden="false" customHeight="false" outlineLevel="0" collapsed="false">
      <c r="A78" s="0" t="s">
        <v>477</v>
      </c>
      <c r="B78" s="0" t="str">
        <f aca="false">IF(Assumptions!$C$136=1,"1. Sell at maturity",IF(Assumptions!$C$136=3,"3. 10-yr fixed refi (comparison)",IF('Debt (Assumed)'!$B$96=1,"2a. Short refi: floating + cap","2b. Short refi: 5-yr fixed")))</f>
        <v>2a. Short refi: floating + cap</v>
      </c>
    </row>
    <row r="79" customFormat="false" ht="15" hidden="false" customHeight="false" outlineLevel="0" collapsed="false">
      <c r="A79" s="0" t="s">
        <v>478</v>
      </c>
      <c r="C79" s="21" t="n">
        <f aca="false">IF(Assumptions!$C$136=1,C24,CHOOSE('Debt (Assumed)'!$B$97,C37,C50,C63))</f>
        <v>451614.438496</v>
      </c>
      <c r="D79" s="21" t="n">
        <f aca="false">IF(Assumptions!$C$136=1,D24,CHOOSE('Debt (Assumed)'!$B$97,D37,D50,D63))</f>
        <v>328301.041376455</v>
      </c>
      <c r="E79" s="21" t="n">
        <f aca="false">IF(Assumptions!$C$136=1,E24,CHOOSE('Debt (Assumed)'!$B$97,E37,E50,E63))</f>
        <v>-357752.114533679</v>
      </c>
      <c r="F79" s="21" t="n">
        <f aca="false">IF(Assumptions!$C$136=1,F24,CHOOSE('Debt (Assumed)'!$B$97,F37,F50,F63))</f>
        <v>302118.723364882</v>
      </c>
      <c r="G79" s="21" t="n">
        <f aca="false">IF(Assumptions!$C$136=1,G24,CHOOSE('Debt (Assumed)'!$B$97,G37,G50,G63))</f>
        <v>307538.937493909</v>
      </c>
    </row>
    <row r="80" customFormat="false" ht="15" hidden="false" customHeight="false" outlineLevel="0" collapsed="false">
      <c r="A80" s="19" t="s">
        <v>479</v>
      </c>
      <c r="B80" s="10" t="n">
        <f aca="false">IF(Assumptions!$C$136=1,B25,CHOOSE('Debt (Assumed)'!$B$97,B38,B51,B64))</f>
        <v>-5095290</v>
      </c>
      <c r="C80" s="10" t="n">
        <f aca="false">IF(Assumptions!$C$136=1,C25,CHOOSE('Debt (Assumed)'!$B$97,C38,C51,C64))</f>
        <v>451614.438496</v>
      </c>
      <c r="D80" s="10" t="n">
        <f aca="false">IF(Assumptions!$C$136=1,D25,CHOOSE('Debt (Assumed)'!$B$97,D38,D51,D64))</f>
        <v>328301.041376455</v>
      </c>
      <c r="E80" s="10" t="n">
        <f aca="false">IF(Assumptions!$C$136=1,E25,CHOOSE('Debt (Assumed)'!$B$97,E38,E51,E64))</f>
        <v>-357752.114533679</v>
      </c>
      <c r="F80" s="10" t="n">
        <f aca="false">IF(Assumptions!$C$136=1,F25,CHOOSE('Debt (Assumed)'!$B$97,F38,F51,F64))</f>
        <v>302118.723364882</v>
      </c>
      <c r="G80" s="10" t="n">
        <f aca="false">IF(Assumptions!$C$136=1,G25,CHOOSE('Debt (Assumed)'!$B$97,G38,G51,G64))</f>
        <v>5859877.670409</v>
      </c>
    </row>
    <row r="82" customFormat="false" ht="15" hidden="false" customHeight="false" outlineLevel="0" collapsed="false">
      <c r="A82" s="3" t="s">
        <v>480</v>
      </c>
      <c r="B82" s="3"/>
    </row>
    <row r="83" customFormat="false" ht="15" hidden="false" customHeight="false" outlineLevel="0" collapsed="false">
      <c r="A83" s="0" t="s">
        <v>481</v>
      </c>
      <c r="B83" s="26" t="n">
        <f aca="false">IFERROR(IRR(B80:G80),"N/A - no sign change / undefined")</f>
        <v>0.0572839138202696</v>
      </c>
    </row>
    <row r="84" customFormat="false" ht="15" hidden="false" customHeight="false" outlineLevel="0" collapsed="false">
      <c r="A84" s="0" t="s">
        <v>482</v>
      </c>
      <c r="B84" s="24" t="n">
        <f aca="false">SUM(C80:G80)/'Returns (Assumed)'!$B$9</f>
        <v>1.29220510689532</v>
      </c>
    </row>
    <row r="85" customFormat="false" ht="15" hidden="false" customHeight="false" outlineLevel="0" collapsed="false">
      <c r="A85" s="0" t="s">
        <v>483</v>
      </c>
      <c r="B85" s="26" t="n">
        <f aca="false">C79/'Returns (Assumed)'!$B$9</f>
        <v>0.0886337065203354</v>
      </c>
    </row>
    <row r="86" customFormat="false" ht="15" hidden="false" customHeight="false" outlineLevel="0" collapsed="false">
      <c r="A86" s="0" t="s">
        <v>484</v>
      </c>
      <c r="B86" s="21" t="n">
        <f aca="false">MAX(0,-MIN(C79:G79))</f>
        <v>357752.114533679</v>
      </c>
    </row>
    <row r="87" customFormat="false" ht="15" hidden="false" customHeight="false" outlineLevel="0" collapsed="false">
      <c r="A87" s="19" t="s">
        <v>485</v>
      </c>
      <c r="B87" s="10" t="n">
        <f aca="false">'Returns (Assumed)'!$B$9+B86</f>
        <v>5453042.11453368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486</v>
      </c>
    </row>
    <row r="3" customFormat="false" ht="15" hidden="false" customHeight="false" outlineLevel="0" collapsed="false">
      <c r="A3" s="2" t="s">
        <v>487</v>
      </c>
    </row>
    <row r="5" customFormat="false" ht="15" hidden="false" customHeight="false" outlineLevel="0" collapsed="false">
      <c r="B5" s="19" t="s">
        <v>361</v>
      </c>
      <c r="C5" s="19" t="s">
        <v>362</v>
      </c>
      <c r="D5" s="19" t="s">
        <v>363</v>
      </c>
      <c r="E5" s="19" t="s">
        <v>364</v>
      </c>
      <c r="F5" s="19" t="s">
        <v>365</v>
      </c>
      <c r="G5" s="19" t="s">
        <v>366</v>
      </c>
    </row>
    <row r="6" customFormat="false" ht="15" hidden="false" customHeight="false" outlineLevel="0" collapsed="false">
      <c r="A6" s="0" t="s">
        <v>488</v>
      </c>
      <c r="B6" s="21" t="n">
        <v>0</v>
      </c>
      <c r="C6" s="21" t="n">
        <f aca="false">'Returns (Assumed)'!C$80</f>
        <v>451614.438496</v>
      </c>
      <c r="D6" s="21" t="n">
        <f aca="false">'Returns (Assumed)'!D$80</f>
        <v>328301.041376455</v>
      </c>
      <c r="E6" s="21" t="n">
        <f aca="false">'Returns (Assumed)'!E$80</f>
        <v>-357752.114533679</v>
      </c>
      <c r="F6" s="21" t="n">
        <f aca="false">'Returns (Assumed)'!F$80</f>
        <v>302118.723364882</v>
      </c>
      <c r="G6" s="21" t="n">
        <f aca="false">'Returns (Assumed)'!G$80</f>
        <v>5859877.670409</v>
      </c>
    </row>
    <row r="7" customFormat="false" ht="15" hidden="false" customHeight="false" outlineLevel="0" collapsed="false">
      <c r="A7" s="0" t="s">
        <v>489</v>
      </c>
      <c r="B7" s="21" t="n">
        <f aca="false">'Returns (Assumed)'!$B$9</f>
        <v>5095290</v>
      </c>
    </row>
    <row r="8" customFormat="false" ht="15" hidden="false" customHeight="false" outlineLevel="0" collapsed="false">
      <c r="A8" s="0" t="s">
        <v>490</v>
      </c>
      <c r="B8" s="21" t="n">
        <f aca="false">'Returns (Assumed)'!$B$10</f>
        <v>4585761</v>
      </c>
    </row>
    <row r="9" customFormat="false" ht="15" hidden="false" customHeight="false" outlineLevel="0" collapsed="false">
      <c r="A9" s="0" t="s">
        <v>491</v>
      </c>
      <c r="B9" s="21" t="n">
        <f aca="false">'Returns (Assumed)'!$B$11</f>
        <v>509529</v>
      </c>
    </row>
    <row r="11" customFormat="false" ht="15" hidden="false" customHeight="false" outlineLevel="0" collapsed="false">
      <c r="A11" s="3" t="s">
        <v>492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0" t="s">
        <v>493</v>
      </c>
      <c r="B12" s="21" t="n">
        <f aca="false">$B$7</f>
        <v>5095290</v>
      </c>
      <c r="C12" s="21" t="n">
        <f aca="false">B12*(1+Assumptions!$C$168)-C13</f>
        <v>5051298.761504</v>
      </c>
      <c r="D12" s="21" t="n">
        <f aca="false">C12*(1+Assumptions!$C$168)-D13</f>
        <v>5127101.62104787</v>
      </c>
      <c r="E12" s="21" t="n">
        <f aca="false">D12*(1+Assumptions!$C$168)-E13</f>
        <v>5895021.86526537</v>
      </c>
      <c r="F12" s="21" t="n">
        <f aca="false">E12*(1+Assumptions!$C$168)-F13</f>
        <v>6064504.89112172</v>
      </c>
      <c r="G12" s="21" t="n">
        <f aca="false">F12*(1+Assumptions!$C$168)-G13</f>
        <v>689787.612002462</v>
      </c>
    </row>
    <row r="13" customFormat="false" ht="15" hidden="false" customHeight="false" outlineLevel="0" collapsed="false">
      <c r="A13" s="0" t="s">
        <v>494</v>
      </c>
      <c r="C13" s="21" t="n">
        <f aca="false">MIN(C6,B12*(1+Assumptions!$C$168))</f>
        <v>451614.438496</v>
      </c>
      <c r="D13" s="21" t="n">
        <f aca="false">MIN(D6,C12*(1+Assumptions!$C$168))</f>
        <v>328301.041376455</v>
      </c>
      <c r="E13" s="21" t="n">
        <f aca="false">MIN(E6,D12*(1+Assumptions!$C$168))</f>
        <v>-357752.114533679</v>
      </c>
      <c r="F13" s="21" t="n">
        <f aca="false">MIN(F6,E12*(1+Assumptions!$C$168))</f>
        <v>302118.723364882</v>
      </c>
      <c r="G13" s="21" t="n">
        <f aca="false">MIN(G6,F12*(1+Assumptions!$C$168))</f>
        <v>5859877.670409</v>
      </c>
    </row>
    <row r="14" customFormat="false" ht="15" hidden="false" customHeight="false" outlineLevel="0" collapsed="false">
      <c r="A14" s="0" t="s">
        <v>495</v>
      </c>
      <c r="C14" s="21" t="n">
        <f aca="false">C6-C13</f>
        <v>0</v>
      </c>
      <c r="D14" s="21" t="n">
        <f aca="false">D6-D13</f>
        <v>0</v>
      </c>
      <c r="E14" s="21" t="n">
        <f aca="false">E6-E13</f>
        <v>0</v>
      </c>
      <c r="F14" s="21" t="n">
        <f aca="false">F6-F13</f>
        <v>0</v>
      </c>
      <c r="G14" s="21" t="n">
        <f aca="false">G6-G13</f>
        <v>0</v>
      </c>
    </row>
    <row r="16" customFormat="false" ht="15" hidden="false" customHeight="false" outlineLevel="0" collapsed="false">
      <c r="A16" s="3" t="s">
        <v>496</v>
      </c>
      <c r="B16" s="3"/>
      <c r="C16" s="3"/>
      <c r="D16" s="3"/>
      <c r="E16" s="3"/>
      <c r="F16" s="3"/>
    </row>
    <row r="17" customFormat="false" ht="15" hidden="false" customHeight="false" outlineLevel="0" collapsed="false">
      <c r="A17" s="0" t="s">
        <v>497</v>
      </c>
      <c r="B17" s="21" t="n">
        <f aca="false">$B$7</f>
        <v>5095290</v>
      </c>
      <c r="C17" s="21" t="n">
        <f aca="false">C18-C20</f>
        <v>5255110.361504</v>
      </c>
      <c r="D17" s="21" t="n">
        <f aca="false">D18-D20</f>
        <v>5557422.56350803</v>
      </c>
      <c r="E17" s="21" t="n">
        <f aca="false">E18-E20</f>
        <v>6582065.38566267</v>
      </c>
      <c r="F17" s="21" t="n">
        <f aca="false">F18-F20</f>
        <v>7069794.50857731</v>
      </c>
      <c r="G17" s="21" t="n">
        <f aca="false">G18-G20</f>
        <v>2058292.17919759</v>
      </c>
    </row>
    <row r="18" customFormat="false" ht="15" hidden="false" customHeight="false" outlineLevel="0" collapsed="false">
      <c r="A18" s="0" t="s">
        <v>498</v>
      </c>
      <c r="C18" s="21" t="n">
        <f aca="false">B17*(1+Assumptions!$C$171)-C13</f>
        <v>5255110.361504</v>
      </c>
      <c r="D18" s="21" t="n">
        <f aca="false">C17*(1+Assumptions!$C$171)-D13</f>
        <v>5557422.56350803</v>
      </c>
      <c r="E18" s="21" t="n">
        <f aca="false">D17*(1+Assumptions!$C$171)-E13</f>
        <v>6582065.38566267</v>
      </c>
      <c r="F18" s="21" t="n">
        <f aca="false">E17*(1+Assumptions!$C$171)-F13</f>
        <v>7069794.50857731</v>
      </c>
      <c r="G18" s="21" t="n">
        <f aca="false">F17*(1+Assumptions!$C$171)-G13</f>
        <v>2058292.17919759</v>
      </c>
    </row>
    <row r="19" customFormat="false" ht="15" hidden="false" customHeight="false" outlineLevel="0" collapsed="false">
      <c r="A19" s="0" t="s">
        <v>499</v>
      </c>
      <c r="C19" s="21" t="n">
        <f aca="false">MIN(C14,MAX(0,C18)/Assumptions!$C$169)</f>
        <v>0</v>
      </c>
      <c r="D19" s="21" t="n">
        <f aca="false">MIN(D14,MAX(0,D18)/Assumptions!$C$169)</f>
        <v>0</v>
      </c>
      <c r="E19" s="21" t="n">
        <f aca="false">MIN(E14,MAX(0,E18)/Assumptions!$C$169)</f>
        <v>0</v>
      </c>
      <c r="F19" s="21" t="n">
        <f aca="false">MIN(F14,MAX(0,F18)/Assumptions!$C$169)</f>
        <v>0</v>
      </c>
      <c r="G19" s="21" t="n">
        <f aca="false">MIN(G14,MAX(0,G18)/Assumptions!$C$169)</f>
        <v>0</v>
      </c>
    </row>
    <row r="20" customFormat="false" ht="15" hidden="false" customHeight="false" outlineLevel="0" collapsed="false">
      <c r="A20" s="0" t="s">
        <v>500</v>
      </c>
      <c r="C20" s="21" t="n">
        <f aca="false">C19*Assumptions!$C$169</f>
        <v>0</v>
      </c>
      <c r="D20" s="21" t="n">
        <f aca="false">D19*Assumptions!$C$169</f>
        <v>0</v>
      </c>
      <c r="E20" s="21" t="n">
        <f aca="false">E19*Assumptions!$C$169</f>
        <v>0</v>
      </c>
      <c r="F20" s="21" t="n">
        <f aca="false">F19*Assumptions!$C$169</f>
        <v>0</v>
      </c>
      <c r="G20" s="21" t="n">
        <f aca="false">G19*Assumptions!$C$169</f>
        <v>0</v>
      </c>
    </row>
    <row r="21" customFormat="false" ht="15" hidden="false" customHeight="false" outlineLevel="0" collapsed="false">
      <c r="A21" s="0" t="s">
        <v>501</v>
      </c>
      <c r="C21" s="21" t="n">
        <f aca="false">C19*Assumptions!$C$170</f>
        <v>0</v>
      </c>
      <c r="D21" s="21" t="n">
        <f aca="false">D19*Assumptions!$C$170</f>
        <v>0</v>
      </c>
      <c r="E21" s="21" t="n">
        <f aca="false">E19*Assumptions!$C$170</f>
        <v>0</v>
      </c>
      <c r="F21" s="21" t="n">
        <f aca="false">F19*Assumptions!$C$170</f>
        <v>0</v>
      </c>
      <c r="G21" s="21" t="n">
        <f aca="false">G19*Assumptions!$C$170</f>
        <v>0</v>
      </c>
    </row>
    <row r="22" customFormat="false" ht="15" hidden="false" customHeight="false" outlineLevel="0" collapsed="false">
      <c r="A22" s="0" t="s">
        <v>502</v>
      </c>
      <c r="C22" s="21" t="n">
        <f aca="false">C14-C19</f>
        <v>0</v>
      </c>
      <c r="D22" s="21" t="n">
        <f aca="false">D14-D19</f>
        <v>0</v>
      </c>
      <c r="E22" s="21" t="n">
        <f aca="false">E14-E19</f>
        <v>0</v>
      </c>
      <c r="F22" s="21" t="n">
        <f aca="false">F14-F19</f>
        <v>0</v>
      </c>
      <c r="G22" s="21" t="n">
        <f aca="false">G14-G19</f>
        <v>0</v>
      </c>
    </row>
    <row r="24" customFormat="false" ht="15" hidden="false" customHeight="false" outlineLevel="0" collapsed="false">
      <c r="A24" s="3" t="s">
        <v>503</v>
      </c>
      <c r="B24" s="3"/>
      <c r="C24" s="3"/>
      <c r="D24" s="3"/>
      <c r="E24" s="3"/>
      <c r="F24" s="3"/>
    </row>
    <row r="25" customFormat="false" ht="15" hidden="false" customHeight="false" outlineLevel="0" collapsed="false">
      <c r="A25" s="0" t="s">
        <v>504</v>
      </c>
      <c r="C25" s="21" t="n">
        <f aca="false">C22</f>
        <v>0</v>
      </c>
      <c r="D25" s="21" t="n">
        <f aca="false">D22</f>
        <v>0</v>
      </c>
      <c r="E25" s="21" t="n">
        <f aca="false">E22</f>
        <v>0</v>
      </c>
      <c r="F25" s="21" t="n">
        <f aca="false">F22</f>
        <v>0</v>
      </c>
      <c r="G25" s="21" t="n">
        <f aca="false">G22</f>
        <v>0</v>
      </c>
    </row>
    <row r="26" customFormat="false" ht="15" hidden="false" customHeight="false" outlineLevel="0" collapsed="false">
      <c r="A26" s="0" t="s">
        <v>505</v>
      </c>
      <c r="C26" s="21" t="n">
        <f aca="false">C25*Assumptions!$C$172</f>
        <v>0</v>
      </c>
      <c r="D26" s="21" t="n">
        <f aca="false">D25*Assumptions!$C$172</f>
        <v>0</v>
      </c>
      <c r="E26" s="21" t="n">
        <f aca="false">E25*Assumptions!$C$172</f>
        <v>0</v>
      </c>
      <c r="F26" s="21" t="n">
        <f aca="false">F25*Assumptions!$C$172</f>
        <v>0</v>
      </c>
      <c r="G26" s="21" t="n">
        <f aca="false">G25*Assumptions!$C$172</f>
        <v>0</v>
      </c>
    </row>
    <row r="27" customFormat="false" ht="15" hidden="false" customHeight="false" outlineLevel="0" collapsed="false">
      <c r="A27" s="0" t="s">
        <v>506</v>
      </c>
      <c r="C27" s="21" t="n">
        <f aca="false">C25*Assumptions!$C$173</f>
        <v>0</v>
      </c>
      <c r="D27" s="21" t="n">
        <f aca="false">D25*Assumptions!$C$173</f>
        <v>0</v>
      </c>
      <c r="E27" s="21" t="n">
        <f aca="false">E25*Assumptions!$C$173</f>
        <v>0</v>
      </c>
      <c r="F27" s="21" t="n">
        <f aca="false">F25*Assumptions!$C$173</f>
        <v>0</v>
      </c>
      <c r="G27" s="21" t="n">
        <f aca="false">G25*Assumptions!$C$173</f>
        <v>0</v>
      </c>
    </row>
    <row r="29" customFormat="false" ht="15" hidden="false" customHeight="false" outlineLevel="0" collapsed="false">
      <c r="A29" s="3" t="s">
        <v>507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0" t="s">
        <v>508</v>
      </c>
      <c r="B30" s="21" t="n">
        <v>0</v>
      </c>
      <c r="C30" s="21" t="n">
        <f aca="false">C13+C20+C26</f>
        <v>451614.438496</v>
      </c>
      <c r="D30" s="21" t="n">
        <f aca="false">D13+D20+D26</f>
        <v>328301.041376455</v>
      </c>
      <c r="E30" s="21" t="n">
        <f aca="false">E13+E20+E26</f>
        <v>-357752.114533679</v>
      </c>
      <c r="F30" s="21" t="n">
        <f aca="false">F13+F20+F26</f>
        <v>302118.723364882</v>
      </c>
      <c r="G30" s="21" t="n">
        <f aca="false">G13+G20+G26</f>
        <v>5859877.670409</v>
      </c>
    </row>
    <row r="31" customFormat="false" ht="15" hidden="false" customHeight="false" outlineLevel="0" collapsed="false">
      <c r="A31" s="19" t="s">
        <v>509</v>
      </c>
      <c r="B31" s="21" t="n">
        <f aca="false">-'Returns (Assumed)'!$B$10</f>
        <v>-4585761</v>
      </c>
      <c r="C31" s="10" t="n">
        <f aca="false">C30*(1-Assumptions!$C$174)</f>
        <v>406452.9946464</v>
      </c>
      <c r="D31" s="10" t="n">
        <f aca="false">D30*(1-Assumptions!$C$174)</f>
        <v>295470.93723881</v>
      </c>
      <c r="E31" s="10" t="n">
        <f aca="false">E30*(1-Assumptions!$C$174)</f>
        <v>-321976.903080311</v>
      </c>
      <c r="F31" s="10" t="n">
        <f aca="false">F30*(1-Assumptions!$C$174)</f>
        <v>271906.851028393</v>
      </c>
      <c r="G31" s="10" t="n">
        <f aca="false">G30*(1-Assumptions!$C$174)</f>
        <v>5273889.9033681</v>
      </c>
    </row>
    <row r="32" customFormat="false" ht="15" hidden="false" customHeight="false" outlineLevel="0" collapsed="false">
      <c r="A32" s="0" t="s">
        <v>510</v>
      </c>
      <c r="B32" s="21" t="n">
        <f aca="false">-'Returns (Assumed)'!$B$11</f>
        <v>-509529</v>
      </c>
      <c r="C32" s="21" t="n">
        <f aca="false">C30*Assumptions!$C$174</f>
        <v>45161.4438496</v>
      </c>
      <c r="D32" s="21" t="n">
        <f aca="false">D30*Assumptions!$C$174</f>
        <v>32830.1041376455</v>
      </c>
      <c r="E32" s="21" t="n">
        <f aca="false">E30*Assumptions!$C$174</f>
        <v>-35775.2114533679</v>
      </c>
      <c r="F32" s="21" t="n">
        <f aca="false">F30*Assumptions!$C$174</f>
        <v>30211.8723364882</v>
      </c>
      <c r="G32" s="21" t="n">
        <f aca="false">G30*Assumptions!$C$174</f>
        <v>585987.7670409</v>
      </c>
    </row>
    <row r="33" customFormat="false" ht="15" hidden="false" customHeight="false" outlineLevel="0" collapsed="false">
      <c r="A33" s="0" t="s">
        <v>511</v>
      </c>
      <c r="B33" s="21" t="n">
        <v>0</v>
      </c>
      <c r="C33" s="21" t="n">
        <f aca="false">C21+C27</f>
        <v>0</v>
      </c>
      <c r="D33" s="21" t="n">
        <f aca="false">D21+D27</f>
        <v>0</v>
      </c>
      <c r="E33" s="21" t="n">
        <f aca="false">E21+E27</f>
        <v>0</v>
      </c>
      <c r="F33" s="21" t="n">
        <f aca="false">F21+F27</f>
        <v>0</v>
      </c>
      <c r="G33" s="21" t="n">
        <f aca="false">G21+G27</f>
        <v>0</v>
      </c>
    </row>
    <row r="34" customFormat="false" ht="15" hidden="false" customHeight="false" outlineLevel="0" collapsed="false">
      <c r="A34" s="19" t="s">
        <v>512</v>
      </c>
      <c r="B34" s="21" t="n">
        <f aca="false">-'Returns (Assumed)'!$B$11</f>
        <v>-509529</v>
      </c>
      <c r="C34" s="10" t="n">
        <f aca="false">C32+C33</f>
        <v>45161.4438496</v>
      </c>
      <c r="D34" s="10" t="n">
        <f aca="false">D32+D33</f>
        <v>32830.1041376455</v>
      </c>
      <c r="E34" s="10" t="n">
        <f aca="false">E32+E33</f>
        <v>-35775.2114533679</v>
      </c>
      <c r="F34" s="10" t="n">
        <f aca="false">F32+F33</f>
        <v>30211.8723364882</v>
      </c>
      <c r="G34" s="10" t="n">
        <f aca="false">G32+G33</f>
        <v>585987.7670409</v>
      </c>
    </row>
    <row r="36" customFormat="false" ht="15" hidden="false" customHeight="false" outlineLevel="0" collapsed="false">
      <c r="A36" s="3" t="s">
        <v>513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C37" s="21" t="n">
        <f aca="false">C31+C34-C6</f>
        <v>0</v>
      </c>
      <c r="D37" s="21" t="n">
        <f aca="false">D31+D34-D6</f>
        <v>0</v>
      </c>
      <c r="E37" s="21" t="n">
        <f aca="false">E31+E34-E6</f>
        <v>0</v>
      </c>
      <c r="F37" s="21" t="n">
        <f aca="false">F31+F34-F6</f>
        <v>0</v>
      </c>
      <c r="G37" s="21" t="n">
        <f aca="false">G31+G34-G6</f>
        <v>0</v>
      </c>
    </row>
    <row r="39" customFormat="false" ht="15" hidden="false" customHeight="false" outlineLevel="0" collapsed="false">
      <c r="A39" s="3" t="s">
        <v>514</v>
      </c>
      <c r="B39" s="3"/>
    </row>
    <row r="40" customFormat="false" ht="15" hidden="false" customHeight="false" outlineLevel="0" collapsed="false">
      <c r="A40" s="0" t="s">
        <v>515</v>
      </c>
      <c r="B40" s="22" t="n">
        <f aca="false">IFERROR(IRR(B31:G31),"N/A - no sign change / undefined")</f>
        <v>0.0572839138202697</v>
      </c>
    </row>
    <row r="41" customFormat="false" ht="15" hidden="false" customHeight="false" outlineLevel="0" collapsed="false">
      <c r="A41" s="0" t="s">
        <v>516</v>
      </c>
      <c r="B41" s="22" t="n">
        <f aca="false">IFERROR(IRR(B34:G34),"N/A - no sign change / undefined")</f>
        <v>0.0572839138202696</v>
      </c>
    </row>
    <row r="42" customFormat="false" ht="15" hidden="false" customHeight="false" outlineLevel="0" collapsed="false">
      <c r="A42" s="0" t="s">
        <v>517</v>
      </c>
      <c r="B42" s="24" t="n">
        <f aca="false">SUM(C31:G31)/'Returns (Assumed)'!$B$10</f>
        <v>1.29220510689532</v>
      </c>
    </row>
    <row r="43" customFormat="false" ht="15" hidden="false" customHeight="false" outlineLevel="0" collapsed="false">
      <c r="A43" s="0" t="s">
        <v>518</v>
      </c>
      <c r="B43" s="24" t="n">
        <f aca="false">SUM(C34:G34)/'Returns (Assumed)'!$B$11</f>
        <v>1.29220510689532</v>
      </c>
    </row>
    <row r="44" customFormat="false" ht="15" hidden="false" customHeight="false" outlineLevel="0" collapsed="false">
      <c r="A44" s="0" t="s">
        <v>519</v>
      </c>
      <c r="B44" s="21" t="n">
        <f aca="false">SUM(C33:G33)</f>
        <v>0</v>
      </c>
    </row>
    <row r="45" customFormat="false" ht="15" hidden="false" customHeight="false" outlineLevel="0" collapsed="false">
      <c r="A45" s="0" t="s">
        <v>520</v>
      </c>
      <c r="B45" s="22" t="n">
        <f aca="false">'Returns (Assumed)'!B83</f>
        <v>0.0572839138202696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2" min="2" style="0" width="14"/>
  </cols>
  <sheetData>
    <row r="1" customFormat="false" ht="17.35" hidden="false" customHeight="false" outlineLevel="0" collapsed="false">
      <c r="A1" s="1" t="s">
        <v>521</v>
      </c>
    </row>
    <row r="3" customFormat="false" ht="60" hidden="false" customHeight="true" outlineLevel="0" collapsed="false">
      <c r="A3" s="27" t="s">
        <v>522</v>
      </c>
    </row>
    <row r="5" customFormat="false" ht="15" hidden="false" customHeight="false" outlineLevel="0" collapsed="false">
      <c r="A5" s="3" t="s">
        <v>523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19" t="s">
        <v>524</v>
      </c>
      <c r="B6" s="10" t="n">
        <f aca="false">Assumptions!$C$7*(1+(-2)*Assumptions!$C$162)</f>
        <v>12420000</v>
      </c>
      <c r="C6" s="10" t="n">
        <f aca="false">Assumptions!$C$7*(1+(-1)*Assumptions!$C$162)</f>
        <v>13110000</v>
      </c>
      <c r="D6" s="10" t="n">
        <f aca="false">Assumptions!$C$7*(1+(0)*Assumptions!$C$162)</f>
        <v>13800000</v>
      </c>
      <c r="E6" s="10" t="n">
        <f aca="false">Assumptions!$C$7*(1+(1)*Assumptions!$C$162)</f>
        <v>14490000</v>
      </c>
      <c r="F6" s="10" t="n">
        <f aca="false">Assumptions!$C$7*(1+(2)*Assumptions!$C$162)</f>
        <v>15180000</v>
      </c>
    </row>
    <row r="7" customFormat="false" ht="15" hidden="false" customHeight="false" outlineLevel="0" collapsed="false">
      <c r="A7" s="26" t="n">
        <f aca="false">Assumptions!$C$157+(-2)*Assumptions!$C$161</f>
        <v>0.056</v>
      </c>
      <c r="B7" s="22" t="n">
        <f aca="false">Sensitivity!$H$71</f>
        <v>0.203544223386958</v>
      </c>
      <c r="C7" s="22" t="n">
        <f aca="false">Sensitivity!$H$76</f>
        <v>0.156759711159044</v>
      </c>
      <c r="D7" s="22" t="n">
        <f aca="false">Sensitivity!$H$81</f>
        <v>0.116997419658652</v>
      </c>
      <c r="E7" s="22" t="n">
        <f aca="false">Sensitivity!$H$86</f>
        <v>0.0841584273987631</v>
      </c>
      <c r="F7" s="22" t="n">
        <f aca="false">Sensitivity!$H$91</f>
        <v>0.056386422038577</v>
      </c>
    </row>
    <row r="8" customFormat="false" ht="15" hidden="false" customHeight="false" outlineLevel="0" collapsed="false">
      <c r="A8" s="26" t="n">
        <f aca="false">Assumptions!$C$157+(-1)*Assumptions!$C$161</f>
        <v>0.061</v>
      </c>
      <c r="B8" s="22" t="n">
        <f aca="false">Sensitivity!$H$96</f>
        <v>0.172053410306112</v>
      </c>
      <c r="C8" s="22" t="n">
        <f aca="false">Sensitivity!$H$101</f>
        <v>0.125735463362739</v>
      </c>
      <c r="D8" s="22" t="n">
        <f aca="false">Sensitivity!$H$106</f>
        <v>0.0869121658278733</v>
      </c>
      <c r="E8" s="22" t="n">
        <f aca="false">Sensitivity!$H$111</f>
        <v>0.0549187126422431</v>
      </c>
      <c r="F8" s="22" t="n">
        <f aca="false">Sensitivity!$H$116</f>
        <v>0.027916517541779</v>
      </c>
    </row>
    <row r="9" customFormat="false" ht="15" hidden="false" customHeight="false" outlineLevel="0" collapsed="false">
      <c r="A9" s="26" t="n">
        <f aca="false">Assumptions!$C$157+(0)*Assumptions!$C$161</f>
        <v>0.066</v>
      </c>
      <c r="B9" s="22" t="n">
        <f aca="false">Sensitivity!$H$121</f>
        <v>0.141027330741819</v>
      </c>
      <c r="C9" s="22" t="n">
        <f aca="false">Sensitivity!$H$126</f>
        <v>0.0951553999236045</v>
      </c>
      <c r="D9" s="25" t="n">
        <f aca="false">Sensitivity!$H$131</f>
        <v>0.0572839138202697</v>
      </c>
      <c r="E9" s="22" t="n">
        <f aca="false">Sensitivity!$H$136</f>
        <v>0.0261526698021515</v>
      </c>
      <c r="F9" s="22" t="n">
        <f aca="false">Sensitivity!$H$141</f>
        <v>-6.10231670380596E-005</v>
      </c>
    </row>
    <row r="10" customFormat="false" ht="15" hidden="false" customHeight="false" outlineLevel="0" collapsed="false">
      <c r="A10" s="26" t="n">
        <f aca="false">Assumptions!$C$157+(1)*Assumptions!$C$161</f>
        <v>0.071</v>
      </c>
      <c r="B10" s="22" t="n">
        <f aca="false">Sensitivity!$H$146</f>
        <v>0.110149425078056</v>
      </c>
      <c r="C10" s="22" t="n">
        <f aca="false">Sensitivity!$H$151</f>
        <v>0.0647093421031615</v>
      </c>
      <c r="D10" s="22" t="n">
        <f aca="false">Sensitivity!$H$156</f>
        <v>0.0278180589848475</v>
      </c>
      <c r="E10" s="22" t="n">
        <f aca="false">Sensitivity!$H$161</f>
        <v>-0.00241980758793768</v>
      </c>
      <c r="F10" s="22" t="n">
        <f aca="false">Sensitivity!$H$166</f>
        <v>-0.0278129079498566</v>
      </c>
    </row>
    <row r="11" customFormat="false" ht="15" hidden="false" customHeight="false" outlineLevel="0" collapsed="false">
      <c r="A11" s="26" t="n">
        <f aca="false">Assumptions!$C$157+(2)*Assumptions!$C$161</f>
        <v>0.076</v>
      </c>
      <c r="B11" s="22" t="n">
        <f aca="false">Sensitivity!$H$171</f>
        <v>0.0790915864537273</v>
      </c>
      <c r="C11" s="22" t="n">
        <f aca="false">Sensitivity!$H$176</f>
        <v>0.0340760254859076</v>
      </c>
      <c r="D11" s="22" t="n">
        <f aca="false">Sensitivity!$H$181</f>
        <v>-0.00178783081386512</v>
      </c>
      <c r="E11" s="22" t="n">
        <f aca="false">Sensitivity!$H$186</f>
        <v>-0.0310835048773086</v>
      </c>
      <c r="F11" s="22" t="n">
        <f aca="false">Sensitivity!$H$191</f>
        <v>-0.0556075860676331</v>
      </c>
    </row>
    <row r="12" customFormat="false" ht="15" hidden="false" customHeight="false" outlineLevel="0" collapsed="false">
      <c r="A12" s="2" t="s">
        <v>525</v>
      </c>
    </row>
    <row r="13" customFormat="false" ht="15" hidden="false" customHeight="false" outlineLevel="0" collapsed="false">
      <c r="A13" s="26" t="n">
        <f aca="false">A7</f>
        <v>0.056</v>
      </c>
      <c r="B13" s="24" t="n">
        <f aca="false">Sensitivity!$I$71</f>
        <v>2.29377839983229</v>
      </c>
      <c r="C13" s="24" t="n">
        <f aca="false">Sensitivity!$I$76</f>
        <v>1.95168708023107</v>
      </c>
      <c r="D13" s="24" t="n">
        <f aca="false">Sensitivity!$I$81</f>
        <v>1.67459020212543</v>
      </c>
      <c r="E13" s="24" t="n">
        <f aca="false">Sensitivity!$I$86</f>
        <v>1.46446256247534</v>
      </c>
      <c r="F13" s="24" t="n">
        <f aca="false">Sensitivity!$I$91</f>
        <v>1.29964376487364</v>
      </c>
    </row>
    <row r="14" customFormat="false" ht="15" hidden="false" customHeight="false" outlineLevel="0" collapsed="false">
      <c r="A14" s="26" t="n">
        <f aca="false">A8</f>
        <v>0.061</v>
      </c>
      <c r="B14" s="24" t="n">
        <f aca="false">Sensitivity!$I$96</f>
        <v>2.02307172331425</v>
      </c>
      <c r="C14" s="24" t="n">
        <f aca="false">Sensitivity!$I$101</f>
        <v>1.7158447583063</v>
      </c>
      <c r="D14" s="24" t="n">
        <f aca="false">Sensitivity!$I$106</f>
        <v>1.47116451795042</v>
      </c>
      <c r="E14" s="24" t="n">
        <f aca="false">Sensitivity!$I$111</f>
        <v>1.28561900864521</v>
      </c>
      <c r="F14" s="24" t="n">
        <f aca="false">Sensitivity!$I$116</f>
        <v>1.14008181137308</v>
      </c>
    </row>
    <row r="15" customFormat="false" ht="15" hidden="false" customHeight="false" outlineLevel="0" collapsed="false">
      <c r="A15" s="26" t="n">
        <f aca="false">A9</f>
        <v>0.066</v>
      </c>
      <c r="B15" s="24" t="n">
        <f aca="false">Sensitivity!$I$121</f>
        <v>1.78492329286987</v>
      </c>
      <c r="C15" s="24" t="n">
        <f aca="false">Sensitivity!$I$126</f>
        <v>1.5083675009251</v>
      </c>
      <c r="D15" s="28" t="n">
        <f aca="false">Sensitivity!$I$131</f>
        <v>1.29220510689532</v>
      </c>
      <c r="E15" s="24" t="n">
        <f aca="false">Sensitivity!$I$136</f>
        <v>1.12828520296457</v>
      </c>
      <c r="F15" s="24" t="n">
        <f aca="false">Sensitivity!$I$141</f>
        <v>0.999710582729728</v>
      </c>
    </row>
    <row r="16" customFormat="false" ht="15" hidden="false" customHeight="false" outlineLevel="0" collapsed="false">
      <c r="A16" s="26" t="n">
        <f aca="false">A10</f>
        <v>0.071</v>
      </c>
      <c r="B16" s="24" t="n">
        <f aca="false">Sensitivity!$I$146</f>
        <v>1.57379255881496</v>
      </c>
      <c r="C16" s="24" t="n">
        <f aca="false">Sensitivity!$I$151</f>
        <v>1.32442832665108</v>
      </c>
      <c r="D16" s="24" t="n">
        <f aca="false">Sensitivity!$I$156</f>
        <v>1.13354845838584</v>
      </c>
      <c r="E16" s="24" t="n">
        <f aca="false">Sensitivity!$I$161</f>
        <v>0.988800756970019</v>
      </c>
      <c r="F16" s="24" t="n">
        <f aca="false">Sensitivity!$I$166</f>
        <v>0.875264326718889</v>
      </c>
    </row>
    <row r="17" customFormat="false" ht="15" hidden="false" customHeight="false" outlineLevel="0" collapsed="false">
      <c r="A17" s="26" t="n">
        <f aca="false">A11</f>
        <v>0.076</v>
      </c>
      <c r="B17" s="24" t="n">
        <f aca="false">Sensitivity!$I$171</f>
        <v>1.38532862820809</v>
      </c>
      <c r="C17" s="24" t="n">
        <f aca="false">Sensitivity!$I$176</f>
        <v>1.16023669471536</v>
      </c>
      <c r="D17" s="24" t="n">
        <f aca="false">Sensitivity!$I$181</f>
        <v>0.991925043259406</v>
      </c>
      <c r="E17" s="24" t="n">
        <f aca="false">Sensitivity!$I$186</f>
        <v>0.864291234146036</v>
      </c>
      <c r="F17" s="24" t="n">
        <f aca="false">Sensitivity!$I$191</f>
        <v>0.764178507488935</v>
      </c>
    </row>
    <row r="19" customFormat="false" ht="15" hidden="false" customHeight="false" outlineLevel="0" collapsed="false">
      <c r="A19" s="3" t="s">
        <v>526</v>
      </c>
      <c r="B19" s="3"/>
      <c r="C19" s="3"/>
      <c r="D19" s="3"/>
      <c r="E19" s="3"/>
      <c r="F19" s="3"/>
    </row>
    <row r="20" customFormat="false" ht="15" hidden="false" customHeight="false" outlineLevel="0" collapsed="false">
      <c r="A20" s="2" t="s">
        <v>527</v>
      </c>
    </row>
    <row r="21" customFormat="false" ht="15" hidden="false" customHeight="false" outlineLevel="0" collapsed="false">
      <c r="A21" s="19" t="s">
        <v>524</v>
      </c>
      <c r="B21" s="29" t="n">
        <f aca="false">(-2)*Assumptions!$C$163</f>
        <v>-0.01</v>
      </c>
      <c r="C21" s="29" t="n">
        <f aca="false">(-1)*Assumptions!$C$163</f>
        <v>-0.005</v>
      </c>
      <c r="D21" s="29" t="n">
        <f aca="false">(0)*Assumptions!$C$163</f>
        <v>0</v>
      </c>
      <c r="E21" s="29" t="n">
        <f aca="false">(1)*Assumptions!$C$163</f>
        <v>0.005</v>
      </c>
      <c r="F21" s="29" t="n">
        <f aca="false">(2)*Assumptions!$C$163</f>
        <v>0.01</v>
      </c>
    </row>
    <row r="22" customFormat="false" ht="15" hidden="false" customHeight="false" outlineLevel="0" collapsed="false">
      <c r="A22" s="26" t="n">
        <f aca="false">Assumptions!$C$157+(-2)*Assumptions!$C$161</f>
        <v>0.056</v>
      </c>
      <c r="B22" s="22" t="n">
        <f aca="false">Sensitivity!$H$205</f>
        <v>0.0772305398174196</v>
      </c>
      <c r="C22" s="22" t="n">
        <f aca="false">Sensitivity!$H$219</f>
        <v>0.0973424031983296</v>
      </c>
      <c r="D22" s="22" t="n">
        <f aca="false">Sensitivity!$H$233</f>
        <v>0.116997419658652</v>
      </c>
      <c r="E22" s="22" t="n">
        <f aca="false">Sensitivity!$H$247</f>
        <v>0.136228726153813</v>
      </c>
      <c r="F22" s="22" t="n">
        <f aca="false">Sensitivity!$H$261</f>
        <v>0.155066193245727</v>
      </c>
    </row>
    <row r="23" customFormat="false" ht="15" hidden="false" customHeight="false" outlineLevel="0" collapsed="false">
      <c r="A23" s="26" t="n">
        <f aca="false">Assumptions!$C$157+(-1)*Assumptions!$C$161</f>
        <v>0.061</v>
      </c>
      <c r="B23" s="22" t="n">
        <f aca="false">Sensitivity!$H$275</f>
        <v>0.0457737733414446</v>
      </c>
      <c r="C23" s="22" t="n">
        <f aca="false">Sensitivity!$H$289</f>
        <v>0.0665991152285584</v>
      </c>
      <c r="D23" s="22" t="n">
        <f aca="false">Sensitivity!$H$303</f>
        <v>0.0869121658278733</v>
      </c>
      <c r="E23" s="22" t="n">
        <f aca="false">Sensitivity!$H$317</f>
        <v>0.106751832687709</v>
      </c>
      <c r="F23" s="22" t="n">
        <f aca="false">Sensitivity!$H$331</f>
        <v>0.126153011015483</v>
      </c>
    </row>
    <row r="24" customFormat="false" ht="15" hidden="false" customHeight="false" outlineLevel="0" collapsed="false">
      <c r="A24" s="26" t="n">
        <f aca="false">Assumptions!$C$157+(0)*Assumptions!$C$161</f>
        <v>0.066</v>
      </c>
      <c r="B24" s="22" t="n">
        <f aca="false">Sensitivity!$H$345</f>
        <v>0.0145683203289767</v>
      </c>
      <c r="C24" s="22" t="n">
        <f aca="false">Sensitivity!$H$359</f>
        <v>0.0362163201525261</v>
      </c>
      <c r="D24" s="25" t="n">
        <f aca="false">Sensitivity!$H$373</f>
        <v>0.0572839138202697</v>
      </c>
      <c r="E24" s="22" t="n">
        <f aca="false">Sensitivity!$H$387</f>
        <v>0.0778175753123653</v>
      </c>
      <c r="F24" s="22" t="n">
        <f aca="false">Sensitivity!$H$401</f>
        <v>0.0978587291543323</v>
      </c>
    </row>
    <row r="25" customFormat="false" ht="15" hidden="false" customHeight="false" outlineLevel="0" collapsed="false">
      <c r="A25" s="26" t="n">
        <f aca="false">Assumptions!$C$157+(1)*Assumptions!$C$161</f>
        <v>0.071</v>
      </c>
      <c r="B25" s="22" t="n">
        <f aca="false">Sensitivity!$H$415</f>
        <v>-0.0167290377936638</v>
      </c>
      <c r="C25" s="22" t="n">
        <f aca="false">Sensitivity!$H$429</f>
        <v>0.00587734646651042</v>
      </c>
      <c r="D25" s="22" t="n">
        <f aca="false">Sensitivity!$H$443</f>
        <v>0.0278180589848475</v>
      </c>
      <c r="E25" s="22" t="n">
        <f aca="false">Sensitivity!$H$457</f>
        <v>0.0491497539749557</v>
      </c>
      <c r="F25" s="22" t="n">
        <f aca="false">Sensitivity!$H$471</f>
        <v>0.06992254489549</v>
      </c>
    </row>
    <row r="26" customFormat="false" ht="15" hidden="false" customHeight="false" outlineLevel="0" collapsed="false">
      <c r="A26" s="26" t="n">
        <f aca="false">Assumptions!$C$157+(2)*Assumptions!$C$161</f>
        <v>0.076</v>
      </c>
      <c r="B26" s="22" t="n">
        <f aca="false">Sensitivity!$H$485</f>
        <v>-0.0484888823604387</v>
      </c>
      <c r="C26" s="22" t="n">
        <f aca="false">Sensitivity!$H$499</f>
        <v>-0.024750940724725</v>
      </c>
      <c r="D26" s="22" t="n">
        <f aca="false">Sensitivity!$H$513</f>
        <v>-0.00178783081386512</v>
      </c>
      <c r="E26" s="22" t="n">
        <f aca="false">Sensitivity!$H$527</f>
        <v>0.0204712238759442</v>
      </c>
      <c r="F26" s="22" t="n">
        <f aca="false">Sensitivity!$H$541</f>
        <v>0.0420882281433508</v>
      </c>
    </row>
    <row r="27" customFormat="false" ht="15" hidden="false" customHeight="false" outlineLevel="0" collapsed="false">
      <c r="A27" s="2" t="s">
        <v>525</v>
      </c>
    </row>
    <row r="28" customFormat="false" ht="15" hidden="false" customHeight="false" outlineLevel="0" collapsed="false">
      <c r="A28" s="26" t="n">
        <f aca="false">A22</f>
        <v>0.056</v>
      </c>
      <c r="B28" s="24" t="n">
        <f aca="false">Sensitivity!$I$205</f>
        <v>1.42546070767063</v>
      </c>
      <c r="C28" s="24" t="n">
        <f aca="false">Sensitivity!$I$219</f>
        <v>1.548744560566</v>
      </c>
      <c r="D28" s="24" t="n">
        <f aca="false">Sensitivity!$I$233</f>
        <v>1.67459020212543</v>
      </c>
      <c r="E28" s="24" t="n">
        <f aca="false">Sensitivity!$I$247</f>
        <v>1.80304260375567</v>
      </c>
      <c r="F28" s="24" t="n">
        <f aca="false">Sensitivity!$I$261</f>
        <v>1.93414734423141</v>
      </c>
    </row>
    <row r="29" customFormat="false" ht="15" hidden="false" customHeight="false" outlineLevel="0" collapsed="false">
      <c r="A29" s="26" t="n">
        <f aca="false">A23</f>
        <v>0.061</v>
      </c>
      <c r="B29" s="24" t="n">
        <f aca="false">Sensitivity!$I$275</f>
        <v>1.23678180900656</v>
      </c>
      <c r="C29" s="24" t="n">
        <f aca="false">Sensitivity!$I$289</f>
        <v>1.35277063829748</v>
      </c>
      <c r="D29" s="24" t="n">
        <f aca="false">Sensitivity!$I$303</f>
        <v>1.47116451795042</v>
      </c>
      <c r="E29" s="24" t="n">
        <f aca="false">Sensitivity!$I$317</f>
        <v>1.59200562492925</v>
      </c>
      <c r="F29" s="24" t="n">
        <f aca="false">Sensitivity!$I$331</f>
        <v>1.7153367054758</v>
      </c>
    </row>
    <row r="30" customFormat="false" ht="15" hidden="false" customHeight="false" outlineLevel="0" collapsed="false">
      <c r="A30" s="26" t="n">
        <f aca="false">A24</f>
        <v>0.066</v>
      </c>
      <c r="B30" s="24" t="n">
        <f aca="false">Sensitivity!$I$345</f>
        <v>1.07079556827995</v>
      </c>
      <c r="C30" s="24" t="n">
        <f aca="false">Sensitivity!$I$359</f>
        <v>1.18036675599734</v>
      </c>
      <c r="D30" s="28" t="n">
        <f aca="false">Sensitivity!$I$373</f>
        <v>1.29220510689532</v>
      </c>
      <c r="E30" s="24" t="n">
        <f aca="false">Sensitivity!$I$387</f>
        <v>1.40635033958616</v>
      </c>
      <c r="F30" s="24" t="n">
        <f aca="false">Sensitivity!$I$401</f>
        <v>1.52284270845128</v>
      </c>
    </row>
    <row r="31" customFormat="false" ht="15" hidden="false" customHeight="false" outlineLevel="0" collapsed="false">
      <c r="A31" s="26" t="n">
        <f aca="false">A25</f>
        <v>0.071</v>
      </c>
      <c r="B31" s="24" t="n">
        <f aca="false">Sensitivity!$I$415</f>
        <v>0.923640297165076</v>
      </c>
      <c r="C31" s="24" t="n">
        <f aca="false">Sensitivity!$I$429</f>
        <v>1.02752191819588</v>
      </c>
      <c r="D31" s="24" t="n">
        <f aca="false">Sensitivity!$I$443</f>
        <v>1.13354845838584</v>
      </c>
      <c r="E31" s="24" t="n">
        <f aca="false">Sensitivity!$I$457</f>
        <v>1.24175745689313</v>
      </c>
      <c r="F31" s="24" t="n">
        <f aca="false">Sensitivity!$I$471</f>
        <v>1.35218695893778</v>
      </c>
    </row>
    <row r="32" customFormat="false" ht="15" hidden="false" customHeight="false" outlineLevel="0" collapsed="false">
      <c r="A32" s="26" t="n">
        <f aca="false">A26</f>
        <v>0.076</v>
      </c>
      <c r="B32" s="24" t="n">
        <f aca="false">Sensitivity!$I$485</f>
        <v>0.792283482024107</v>
      </c>
      <c r="C32" s="24" t="n">
        <f aca="false">Sensitivity!$I$499</f>
        <v>0.89108636306945</v>
      </c>
      <c r="D32" s="24" t="n">
        <f aca="false">Sensitivity!$I$513</f>
        <v>0.991925043259406</v>
      </c>
      <c r="E32" s="24" t="n">
        <f aca="false">Sensitivity!$I$527</f>
        <v>1.09483511628224</v>
      </c>
      <c r="F32" s="24" t="n">
        <f aca="false">Sensitivity!$I$541</f>
        <v>1.19985265537015</v>
      </c>
    </row>
    <row r="34" customFormat="false" ht="15" hidden="false" customHeight="false" outlineLevel="0" collapsed="false">
      <c r="A34" s="3" t="s">
        <v>528</v>
      </c>
      <c r="B34" s="3"/>
      <c r="C34" s="3"/>
      <c r="D34" s="3"/>
      <c r="E34" s="3"/>
      <c r="F34" s="3"/>
    </row>
    <row r="35" customFormat="false" ht="15" hidden="false" customHeight="false" outlineLevel="0" collapsed="false">
      <c r="A35" s="2" t="s">
        <v>529</v>
      </c>
    </row>
    <row r="36" customFormat="false" ht="15" hidden="false" customHeight="false" outlineLevel="0" collapsed="false">
      <c r="A36" s="19" t="s">
        <v>524</v>
      </c>
      <c r="B36" s="10" t="n">
        <f aca="false">Assumptions!$C$35*(1+(-2)*Assumptions!$C$164)</f>
        <v>16368</v>
      </c>
      <c r="C36" s="10" t="n">
        <f aca="false">Assumptions!$C$35*(1+(-1)*Assumptions!$C$164)</f>
        <v>18414</v>
      </c>
      <c r="D36" s="10" t="n">
        <f aca="false">Assumptions!$C$35*(1+(0)*Assumptions!$C$164)</f>
        <v>20460</v>
      </c>
      <c r="E36" s="10" t="n">
        <f aca="false">Assumptions!$C$35*(1+(1)*Assumptions!$C$164)</f>
        <v>22506</v>
      </c>
      <c r="F36" s="10" t="n">
        <f aca="false">Assumptions!$C$35*(1+(2)*Assumptions!$C$164)</f>
        <v>24552</v>
      </c>
    </row>
    <row r="37" customFormat="false" ht="15" hidden="false" customHeight="false" outlineLevel="0" collapsed="false">
      <c r="A37" s="21" t="n">
        <f aca="false">Assumptions!$C$37+(0)*Assumptions!$C$165</f>
        <v>0</v>
      </c>
      <c r="B37" s="22" t="n">
        <f aca="false">Sensitivity!$H$546</f>
        <v>0.0618061796546392</v>
      </c>
      <c r="C37" s="22" t="n">
        <f aca="false">Sensitivity!$H$551</f>
        <v>0.0595308449042706</v>
      </c>
      <c r="D37" s="25" t="n">
        <f aca="false">Sensitivity!$H$556</f>
        <v>0.0572839138202697</v>
      </c>
      <c r="E37" s="22" t="n">
        <f aca="false">Sensitivity!$H$561</f>
        <v>0.0550647480581682</v>
      </c>
      <c r="F37" s="22" t="n">
        <f aca="false">Sensitivity!$H$566</f>
        <v>0.0528727298310777</v>
      </c>
    </row>
    <row r="38" customFormat="false" ht="15" hidden="false" customHeight="false" outlineLevel="0" collapsed="false">
      <c r="A38" s="21" t="n">
        <f aca="false">Assumptions!$C$37+(1)*Assumptions!$C$165</f>
        <v>50</v>
      </c>
      <c r="B38" s="22" t="n">
        <f aca="false">Sensitivity!$H$571</f>
        <v>0.0691183433912913</v>
      </c>
      <c r="C38" s="22" t="n">
        <f aca="false">Sensitivity!$H$576</f>
        <v>0.0668009926008493</v>
      </c>
      <c r="D38" s="22" t="n">
        <f aca="false">Sensitivity!$H$581</f>
        <v>0.0645127342551888</v>
      </c>
      <c r="E38" s="22" t="n">
        <f aca="false">Sensitivity!$H$586</f>
        <v>0.0622529119045141</v>
      </c>
      <c r="F38" s="22" t="n">
        <f aca="false">Sensitivity!$H$591</f>
        <v>0.0600208903063652</v>
      </c>
    </row>
    <row r="39" customFormat="false" ht="15" hidden="false" customHeight="false" outlineLevel="0" collapsed="false">
      <c r="A39" s="21" t="n">
        <f aca="false">Assumptions!$C$37+(2)*Assumptions!$C$165</f>
        <v>100</v>
      </c>
      <c r="B39" s="22" t="n">
        <f aca="false">Sensitivity!$H$596</f>
        <v>0.076403761104891</v>
      </c>
      <c r="C39" s="22" t="n">
        <f aca="false">Sensitivity!$H$601</f>
        <v>0.0740445092537567</v>
      </c>
      <c r="D39" s="22" t="n">
        <f aca="false">Sensitivity!$H$606</f>
        <v>0.071715036963043</v>
      </c>
      <c r="E39" s="22" t="n">
        <f aca="false">Sensitivity!$H$611</f>
        <v>0.0694146697205038</v>
      </c>
      <c r="F39" s="22" t="n">
        <f aca="false">Sensitivity!$H$616</f>
        <v>0.0671427548693548</v>
      </c>
    </row>
    <row r="40" customFormat="false" ht="15" hidden="false" customHeight="false" outlineLevel="0" collapsed="false">
      <c r="A40" s="21" t="n">
        <f aca="false">Assumptions!$C$37+(3)*Assumptions!$C$165</f>
        <v>150</v>
      </c>
      <c r="B40" s="22" t="n">
        <f aca="false">Sensitivity!$H$621</f>
        <v>0.0836617518496738</v>
      </c>
      <c r="C40" s="22" t="n">
        <f aca="false">Sensitivity!$H$626</f>
        <v>0.0812607273806345</v>
      </c>
      <c r="D40" s="22" t="n">
        <f aca="false">Sensitivity!$H$631</f>
        <v>0.0788901675768877</v>
      </c>
      <c r="E40" s="22" t="n">
        <f aca="false">Sensitivity!$H$636</f>
        <v>0.0765493799187636</v>
      </c>
      <c r="F40" s="22" t="n">
        <f aca="false">Sensitivity!$H$641</f>
        <v>0.0742376943880193</v>
      </c>
    </row>
    <row r="41" customFormat="false" ht="15" hidden="false" customHeight="false" outlineLevel="0" collapsed="false">
      <c r="A41" s="21" t="n">
        <f aca="false">Assumptions!$C$37+(4)*Assumptions!$C$165</f>
        <v>200</v>
      </c>
      <c r="B41" s="22" t="n">
        <f aca="false">Sensitivity!$H$646</f>
        <v>0.0908916831640057</v>
      </c>
      <c r="C41" s="22" t="n">
        <f aca="false">Sensitivity!$H$651</f>
        <v>0.0884490271170199</v>
      </c>
      <c r="D41" s="22" t="n">
        <f aca="false">Sensitivity!$H$656</f>
        <v>0.086037518505089</v>
      </c>
      <c r="E41" s="22" t="n">
        <f aca="false">Sensitivity!$H$661</f>
        <v>0.0836564468674189</v>
      </c>
      <c r="F41" s="22" t="n">
        <f aca="false">Sensitivity!$H$666</f>
        <v>0.0813051248879488</v>
      </c>
    </row>
    <row r="42" customFormat="false" ht="15" hidden="false" customHeight="false" outlineLevel="0" collapsed="false">
      <c r="A42" s="2" t="s">
        <v>525</v>
      </c>
    </row>
    <row r="43" customFormat="false" ht="15" hidden="false" customHeight="false" outlineLevel="0" collapsed="false">
      <c r="A43" s="21" t="n">
        <f aca="false">A37</f>
        <v>0</v>
      </c>
      <c r="B43" s="24" t="n">
        <f aca="false">Sensitivity!$I$546</f>
        <v>1.31760090370994</v>
      </c>
      <c r="C43" s="24" t="n">
        <f aca="false">Sensitivity!$I$551</f>
        <v>1.30477944315026</v>
      </c>
      <c r="D43" s="28" t="n">
        <f aca="false">Sensitivity!$I$556</f>
        <v>1.29220510689532</v>
      </c>
      <c r="E43" s="24" t="n">
        <f aca="false">Sensitivity!$I$561</f>
        <v>1.27987081843122</v>
      </c>
      <c r="F43" s="24" t="n">
        <f aca="false">Sensitivity!$I$566</f>
        <v>1.26776976887498</v>
      </c>
    </row>
    <row r="44" customFormat="false" ht="15" hidden="false" customHeight="false" outlineLevel="0" collapsed="false">
      <c r="A44" s="21" t="n">
        <f aca="false">A38</f>
        <v>50</v>
      </c>
      <c r="B44" s="24" t="n">
        <f aca="false">Sensitivity!$I$571</f>
        <v>1.35574834677731</v>
      </c>
      <c r="C44" s="24" t="n">
        <f aca="false">Sensitivity!$I$576</f>
        <v>1.34255567674491</v>
      </c>
      <c r="D44" s="24" t="n">
        <f aca="false">Sensitivity!$I$581</f>
        <v>1.32961728580918</v>
      </c>
      <c r="E44" s="24" t="n">
        <f aca="false">Sensitivity!$I$586</f>
        <v>1.31692589257562</v>
      </c>
      <c r="F44" s="24" t="n">
        <f aca="false">Sensitivity!$I$591</f>
        <v>1.3044744910291</v>
      </c>
    </row>
    <row r="45" customFormat="false" ht="15" hidden="false" customHeight="false" outlineLevel="0" collapsed="false">
      <c r="A45" s="21" t="n">
        <f aca="false">A39</f>
        <v>100</v>
      </c>
      <c r="B45" s="24" t="n">
        <f aca="false">Sensitivity!$I$596</f>
        <v>1.39389578984469</v>
      </c>
      <c r="C45" s="24" t="n">
        <f aca="false">Sensitivity!$I$601</f>
        <v>1.38033191033955</v>
      </c>
      <c r="D45" s="24" t="n">
        <f aca="false">Sensitivity!$I$606</f>
        <v>1.36702946472305</v>
      </c>
      <c r="E45" s="24" t="n">
        <f aca="false">Sensitivity!$I$611</f>
        <v>1.35398096672002</v>
      </c>
      <c r="F45" s="24" t="n">
        <f aca="false">Sensitivity!$I$616</f>
        <v>1.34117921318323</v>
      </c>
    </row>
    <row r="46" customFormat="false" ht="15" hidden="false" customHeight="false" outlineLevel="0" collapsed="false">
      <c r="A46" s="21" t="n">
        <f aca="false">A40</f>
        <v>150</v>
      </c>
      <c r="B46" s="24" t="n">
        <f aca="false">Sensitivity!$I$621</f>
        <v>1.43204323291207</v>
      </c>
      <c r="C46" s="24" t="n">
        <f aca="false">Sensitivity!$I$626</f>
        <v>1.41810814393419</v>
      </c>
      <c r="D46" s="24" t="n">
        <f aca="false">Sensitivity!$I$631</f>
        <v>1.40444164363691</v>
      </c>
      <c r="E46" s="24" t="n">
        <f aca="false">Sensitivity!$I$636</f>
        <v>1.39103604086442</v>
      </c>
      <c r="F46" s="24" t="n">
        <f aca="false">Sensitivity!$I$641</f>
        <v>1.37788393533736</v>
      </c>
    </row>
    <row r="47" customFormat="false" ht="15" hidden="false" customHeight="false" outlineLevel="0" collapsed="false">
      <c r="A47" s="21" t="n">
        <f aca="false">A41</f>
        <v>200</v>
      </c>
      <c r="B47" s="24" t="n">
        <f aca="false">Sensitivity!$I$646</f>
        <v>1.47019067597944</v>
      </c>
      <c r="C47" s="24" t="n">
        <f aca="false">Sensitivity!$I$651</f>
        <v>1.45588437752883</v>
      </c>
      <c r="D47" s="24" t="n">
        <f aca="false">Sensitivity!$I$656</f>
        <v>1.44185382255077</v>
      </c>
      <c r="E47" s="24" t="n">
        <f aca="false">Sensitivity!$I$661</f>
        <v>1.42809111500882</v>
      </c>
      <c r="F47" s="24" t="n">
        <f aca="false">Sensitivity!$I$666</f>
        <v>1.41458865749148</v>
      </c>
    </row>
    <row r="49" customFormat="false" ht="15" hidden="false" customHeight="false" outlineLevel="0" collapsed="false">
      <c r="A49" s="3" t="s">
        <v>530</v>
      </c>
      <c r="B49" s="3"/>
      <c r="C49" s="3"/>
      <c r="D49" s="3"/>
      <c r="E49" s="3"/>
      <c r="F49" s="3"/>
    </row>
    <row r="50" customFormat="false" ht="15" hidden="false" customHeight="false" outlineLevel="0" collapsed="false">
      <c r="A50" s="2" t="s">
        <v>531</v>
      </c>
    </row>
    <row r="51" customFormat="false" ht="15" hidden="false" customHeight="false" outlineLevel="0" collapsed="false">
      <c r="A51" s="19" t="s">
        <v>524</v>
      </c>
      <c r="B51" s="10" t="n">
        <f aca="false">Assumptions!$C$7*(1+(-2)*Assumptions!$C$162)</f>
        <v>12420000</v>
      </c>
      <c r="C51" s="10" t="n">
        <f aca="false">Assumptions!$C$7*(1+(-1)*Assumptions!$C$162)</f>
        <v>13110000</v>
      </c>
      <c r="D51" s="10" t="n">
        <f aca="false">Assumptions!$C$7*(1+(0)*Assumptions!$C$162)</f>
        <v>13800000</v>
      </c>
      <c r="E51" s="10" t="n">
        <f aca="false">Assumptions!$C$7*(1+(1)*Assumptions!$C$162)</f>
        <v>14490000</v>
      </c>
      <c r="F51" s="10" t="n">
        <f aca="false">Assumptions!$C$7*(1+(2)*Assumptions!$C$162)</f>
        <v>15180000</v>
      </c>
    </row>
    <row r="52" customFormat="false" ht="15" hidden="false" customHeight="false" outlineLevel="0" collapsed="false">
      <c r="A52" s="26" t="n">
        <f aca="false">Assumptions!$C$157+(-2)*Assumptions!$C$161</f>
        <v>0.056</v>
      </c>
      <c r="B52" s="22" t="n">
        <f aca="false">Sensitivity!$H$671</f>
        <v>0.148354392711787</v>
      </c>
      <c r="C52" s="22" t="n">
        <f aca="false">Sensitivity!$H$676</f>
        <v>0.110436023154811</v>
      </c>
      <c r="D52" s="22" t="n">
        <f aca="false">Sensitivity!$H$681</f>
        <v>0.079584307581989</v>
      </c>
      <c r="E52" s="22" t="n">
        <f aca="false">Sensitivity!$H$686</f>
        <v>0.0537799394055901</v>
      </c>
      <c r="F52" s="22" t="n">
        <f aca="false">Sensitivity!$H$691</f>
        <v>0.0317429770388939</v>
      </c>
    </row>
    <row r="53" customFormat="false" ht="15" hidden="false" customHeight="false" outlineLevel="0" collapsed="false">
      <c r="A53" s="26" t="n">
        <f aca="false">Assumptions!$C$157+(-1)*Assumptions!$C$161</f>
        <v>0.061</v>
      </c>
      <c r="B53" s="22" t="n">
        <f aca="false">Sensitivity!$H$696</f>
        <v>0.118155169098703</v>
      </c>
      <c r="C53" s="22" t="n">
        <f aca="false">Sensitivity!$H$701</f>
        <v>0.0815168672311479</v>
      </c>
      <c r="D53" s="22" t="n">
        <f aca="false">Sensitivity!$H$706</f>
        <v>0.0517586157077909</v>
      </c>
      <c r="E53" s="22" t="n">
        <f aca="false">Sensitivity!$H$711</f>
        <v>0.0269098574965603</v>
      </c>
      <c r="F53" s="22" t="n">
        <f aca="false">Sensitivity!$H$716</f>
        <v>0.00572237140023573</v>
      </c>
    </row>
    <row r="54" customFormat="false" ht="15" hidden="false" customHeight="false" outlineLevel="0" collapsed="false">
      <c r="A54" s="26" t="n">
        <f aca="false">Assumptions!$C$157+(0)*Assumptions!$C$161</f>
        <v>0.066</v>
      </c>
      <c r="B54" s="22" t="n">
        <f aca="false">Sensitivity!$H$721</f>
        <v>0.0885114560429346</v>
      </c>
      <c r="C54" s="22" t="n">
        <f aca="false">Sensitivity!$H$726</f>
        <v>0.0531702856826172</v>
      </c>
      <c r="D54" s="25" t="n">
        <f aca="false">Sensitivity!$H$731</f>
        <v>0.0245228004269769</v>
      </c>
      <c r="E54" s="22" t="n">
        <f aca="false">Sensitivity!$H$736</f>
        <v>0.000646588466940971</v>
      </c>
      <c r="F54" s="22" t="n">
        <f aca="false">Sensitivity!$H$741</f>
        <v>-0.019675157148602</v>
      </c>
    </row>
    <row r="55" customFormat="false" ht="15" hidden="false" customHeight="false" outlineLevel="0" collapsed="false">
      <c r="A55" s="26" t="n">
        <f aca="false">Assumptions!$C$157+(1)*Assumptions!$C$161</f>
        <v>0.071</v>
      </c>
      <c r="B55" s="22" t="n">
        <f aca="false">Sensitivity!$H$746</f>
        <v>0.0591396604961728</v>
      </c>
      <c r="C55" s="22" t="n">
        <f aca="false">Sensitivity!$H$751</f>
        <v>0.0251307974660006</v>
      </c>
      <c r="D55" s="22" t="n">
        <f aca="false">Sensitivity!$H$756</f>
        <v>-0.00237311667385039</v>
      </c>
      <c r="E55" s="22" t="n">
        <f aca="false">Sensitivity!$H$761</f>
        <v>-0.0252463816404587</v>
      </c>
      <c r="F55" s="22" t="n">
        <f aca="false">Sensitivity!$H$766</f>
        <v>-0.0446743013171718</v>
      </c>
    </row>
    <row r="56" customFormat="false" ht="15" hidden="false" customHeight="false" outlineLevel="0" collapsed="false">
      <c r="A56" s="26" t="n">
        <f aca="false">Assumptions!$C$157+(2)*Assumptions!$C$161</f>
        <v>0.076</v>
      </c>
      <c r="B56" s="22" t="n">
        <f aca="false">Sensitivity!$H$771</f>
        <v>0.0297549877711914</v>
      </c>
      <c r="C56" s="22" t="n">
        <f aca="false">Sensitivity!$H$776</f>
        <v>-0.00286519980706333</v>
      </c>
      <c r="D56" s="22" t="n">
        <f aca="false">Sensitivity!$H$781</f>
        <v>-0.0291746028347964</v>
      </c>
      <c r="E56" s="22" t="n">
        <f aca="false">Sensitivity!$H$786</f>
        <v>-0.0509988038749949</v>
      </c>
      <c r="F56" s="22" t="n">
        <f aca="false">Sensitivity!$H$791</f>
        <v>-0.069491063130119</v>
      </c>
    </row>
    <row r="57" customFormat="false" ht="15" hidden="false" customHeight="false" outlineLevel="0" collapsed="false">
      <c r="A57" s="2" t="s">
        <v>525</v>
      </c>
    </row>
    <row r="58" customFormat="false" ht="15" hidden="false" customHeight="false" outlineLevel="0" collapsed="false">
      <c r="A58" s="26" t="n">
        <f aca="false">A52</f>
        <v>0.056</v>
      </c>
      <c r="B58" s="24" t="n">
        <f aca="false">Sensitivity!$I$671</f>
        <v>1.94761278558931</v>
      </c>
      <c r="C58" s="24" t="n">
        <f aca="false">Sensitivity!$I$676</f>
        <v>1.65913804041342</v>
      </c>
      <c r="D58" s="24" t="n">
        <f aca="false">Sensitivity!$I$681</f>
        <v>1.4492199141679</v>
      </c>
      <c r="E58" s="24" t="n">
        <f aca="false">Sensitivity!$I$686</f>
        <v>1.28961545553442</v>
      </c>
      <c r="F58" s="24" t="n">
        <f aca="false">Sensitivity!$I$691</f>
        <v>1.16417152884074</v>
      </c>
    </row>
    <row r="59" customFormat="false" ht="15" hidden="false" customHeight="false" outlineLevel="0" collapsed="false">
      <c r="A59" s="26" t="n">
        <f aca="false">A53</f>
        <v>0.061</v>
      </c>
      <c r="B59" s="24" t="n">
        <f aca="false">Sensitivity!$I$696</f>
        <v>1.70964848949389</v>
      </c>
      <c r="C59" s="24" t="n">
        <f aca="false">Sensitivity!$I$701</f>
        <v>1.45868164541235</v>
      </c>
      <c r="D59" s="24" t="n">
        <f aca="false">Sensitivity!$I$706</f>
        <v>1.27605737573068</v>
      </c>
      <c r="E59" s="24" t="n">
        <f aca="false">Sensitivity!$I$711</f>
        <v>1.13720491826456</v>
      </c>
      <c r="F59" s="24" t="n">
        <f aca="false">Sensitivity!$I$716</f>
        <v>1.02807139126442</v>
      </c>
    </row>
    <row r="60" customFormat="false" ht="15" hidden="false" customHeight="false" outlineLevel="0" collapsed="false">
      <c r="A60" s="26" t="n">
        <f aca="false">A54</f>
        <v>0.066</v>
      </c>
      <c r="B60" s="24" t="n">
        <f aca="false">Sensitivity!$I$721</f>
        <v>1.50030447055112</v>
      </c>
      <c r="C60" s="24" t="n">
        <f aca="false">Sensitivity!$I$726</f>
        <v>1.28233440323835</v>
      </c>
      <c r="D60" s="28" t="n">
        <f aca="false">Sensitivity!$I$731</f>
        <v>1.12372132229079</v>
      </c>
      <c r="E60" s="24" t="n">
        <f aca="false">Sensitivity!$I$736</f>
        <v>1.00312499566765</v>
      </c>
      <c r="F60" s="24" t="n">
        <f aca="false">Sensitivity!$I$741</f>
        <v>0.908340195255644</v>
      </c>
    </row>
    <row r="61" customFormat="false" ht="15" hidden="false" customHeight="false" outlineLevel="0" collapsed="false">
      <c r="A61" s="26" t="n">
        <f aca="false">A55</f>
        <v>0.071</v>
      </c>
      <c r="B61" s="24" t="n">
        <f aca="false">Sensitivity!$I$746</f>
        <v>1.31471031690956</v>
      </c>
      <c r="C61" s="24" t="n">
        <f aca="false">Sensitivity!$I$751</f>
        <v>1.12599357571628</v>
      </c>
      <c r="D61" s="24" t="n">
        <f aca="false">Sensitivity!$I$756</f>
        <v>0.988667638645775</v>
      </c>
      <c r="E61" s="24" t="n">
        <f aca="false">Sensitivity!$I$761</f>
        <v>0.884256303452941</v>
      </c>
      <c r="F61" s="24" t="n">
        <f aca="false">Sensitivity!$I$766</f>
        <v>0.802192381241356</v>
      </c>
    </row>
    <row r="62" customFormat="false" ht="15" hidden="false" customHeight="false" outlineLevel="0" collapsed="false">
      <c r="A62" s="26" t="n">
        <f aca="false">A56</f>
        <v>0.076</v>
      </c>
      <c r="B62" s="24" t="n">
        <f aca="false">Sensitivity!$I$771</f>
        <v>1.14904138268492</v>
      </c>
      <c r="C62" s="24" t="n">
        <f aca="false">Sensitivity!$I$776</f>
        <v>0.986437357143789</v>
      </c>
      <c r="D62" s="24" t="n">
        <f aca="false">Sensitivity!$I$781</f>
        <v>0.868113195558127</v>
      </c>
      <c r="E62" s="24" t="n">
        <f aca="false">Sensitivity!$I$786</f>
        <v>0.778149245846367</v>
      </c>
      <c r="F62" s="24" t="n">
        <f aca="false">Sensitivity!$I$791</f>
        <v>0.707440499929483</v>
      </c>
    </row>
    <row r="65" customFormat="false" ht="15" hidden="false" customHeight="false" outlineLevel="0" collapsed="false">
      <c r="A65" s="3" t="s">
        <v>532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false" outlineLevel="0" collapsed="false">
      <c r="A66" s="2" t="s">
        <v>533</v>
      </c>
    </row>
    <row r="68" customFormat="false" ht="15" hidden="false" customHeight="false" outlineLevel="0" collapsed="false">
      <c r="A68" s="2" t="s">
        <v>534</v>
      </c>
      <c r="C68" s="30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8" s="30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8" s="30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8" s="30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8" s="30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8" s="30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8" s="30" t="n">
        <f aca="false">H68-'Operating Model'!$B$42*(B$6/Assumptions!$C$7)*(1+Assumptions!$C$18+0)^('Operating Model'!G$4-1)</f>
        <v>1209117.41207427</v>
      </c>
    </row>
    <row r="69" customFormat="false" ht="15" hidden="false" customHeight="false" outlineLevel="0" collapsed="false">
      <c r="A69" s="2" t="s">
        <v>535</v>
      </c>
      <c r="B69" s="30" t="n">
        <f aca="false">Assumptions!$C$7*(B$6/Assumptions!$C$7)</f>
        <v>12420000</v>
      </c>
      <c r="C69" s="30" t="n">
        <f aca="false">MAX(0,(Assumptions!$C$124+Assumptions!$C$127)-Assumptions!$C$132*B69)</f>
        <v>135000</v>
      </c>
      <c r="D69" s="30" t="n">
        <f aca="false">Assumptions!$C$124-MAX(0,C69-Assumptions!$C$127)</f>
        <v>5887000</v>
      </c>
      <c r="E69" s="30" t="n">
        <f aca="false">Assumptions!$C$127-MIN(C69,Assumptions!$C$127)</f>
        <v>3428000</v>
      </c>
      <c r="F69" s="30" t="n">
        <f aca="false">B69*(1+Assumptions!$C$10)+'Unit Mix'!$D$18*1+(D69+E69)*Assumptions!$C$131-(D69+E69)</f>
        <v>3828915</v>
      </c>
      <c r="G69" s="30" t="n">
        <f aca="false">IF(Assumptions!$C$130=1,D69+E69,-FV(Assumptions!$C$125,Assumptions!$C$126,PMT(Assumptions!$C$125,Assumptions!$C$111,D69),D69)-FV(Assumptions!$C$128,Assumptions!$C$126,PMT(Assumptions!$C$128,Assumptions!$C$111,E69),E69))</f>
        <v>9315000</v>
      </c>
      <c r="H69" s="30" t="n">
        <f aca="false">MIN(INDEX(C68:H68,Assumptions!$C$126+1)/$A$7*Assumptions!$C$108,INDEX(C68:H68,Assumptions!$C$126+1)/(Assumptions!$C$109*-PMT('Debt (Assumed)'!$B$99,Assumptions!$C$111,1)))</f>
        <v>8943312.12350742</v>
      </c>
      <c r="I69" s="30" t="n">
        <f aca="false">IF(MAX(0,Assumptions!$C$154-Assumptions!$C$126-'Debt (Assumed)'!$B$100)=0,H69,-FV('Debt (Assumed)'!$B$98,MAX(0,Assumptions!$C$154-Assumptions!$C$126-'Debt (Assumed)'!$B$100),PMT('Debt (Assumed)'!$B$98,Assumptions!$C$111,H69),H69))</f>
        <v>8943312.12350742</v>
      </c>
      <c r="J69" s="30" t="n">
        <f aca="false">I69*'Debt (Assumed)'!$B$102</f>
        <v>0</v>
      </c>
      <c r="K69" s="30" t="n">
        <f aca="false">I68/($A$7+Returns!$B$35)*(1-Assumptions!$C$158)-I69-J69</f>
        <v>7256419.83256068</v>
      </c>
      <c r="L69" s="30" t="n">
        <f aca="false">H69*'Debt (Assumed)'!$B$101</f>
        <v>96587.7709338801</v>
      </c>
      <c r="M69" s="30" t="n">
        <f aca="false">(INDEX(C68:H68,Assumptions!$C$126+1)-'Operating Model'!$B$42*(B$6/Assumptions!$C$7)*(1+Assumptions!$C$18+0)^Assumptions!$C$126)/($A$7+Returns!$B$35)*(1-Assumptions!$C$158)-G69</f>
        <v>6484470.2323214</v>
      </c>
    </row>
    <row r="70" customFormat="false" ht="15" hidden="false" customHeight="false" outlineLevel="0" collapsed="false">
      <c r="A70" s="2" t="s">
        <v>536</v>
      </c>
      <c r="C70" s="30" t="n">
        <f aca="false">IF('Operating Model'!B$4&lt;=Assumptions!$C$126,IF(Assumptions!$C$130=1,D69*Assumptions!$C$125+E69*Assumptions!$C$128,-PMT(Assumptions!$C$125,Assumptions!$C$111,D69)-PMT(Assumptions!$C$128,Assumptions!$C$111,E69)),IF(Assumptions!$C$136=1,0,IF('Operating Model'!B$4-Assumptions!$C$126&lt;='Debt (Assumed)'!$B$100,H69*'Debt (Assumed)'!$B$98,-PMT('Debt (Assumed)'!$B$98,Assumptions!$C$111,H69))))</f>
        <v>389146</v>
      </c>
      <c r="D70" s="30" t="n">
        <f aca="false">IF('Operating Model'!C$4&lt;=Assumptions!$C$126,IF(Assumptions!$C$130=1,D69*Assumptions!$C$125+E69*Assumptions!$C$128,-PMT(Assumptions!$C$125,Assumptions!$C$111,D69)-PMT(Assumptions!$C$128,Assumptions!$C$111,E69)),IF(Assumptions!$C$136=1,0,IF('Operating Model'!C$4-Assumptions!$C$126&lt;='Debt (Assumed)'!$B$100,H69*'Debt (Assumed)'!$B$98,-PMT('Debt (Assumed)'!$B$98,Assumptions!$C$111,H69))))</f>
        <v>389146</v>
      </c>
      <c r="E70" s="30" t="n">
        <f aca="false">IF('Operating Model'!D$4&lt;=Assumptions!$C$126,IF(Assumptions!$C$130=1,D69*Assumptions!$C$125+E69*Assumptions!$C$128,-PMT(Assumptions!$C$125,Assumptions!$C$111,D69)-PMT(Assumptions!$C$128,Assumptions!$C$111,E69)),IF(Assumptions!$C$136=1,0,IF('Operating Model'!D$4-Assumptions!$C$126&lt;='Debt (Assumed)'!$B$100,H69*'Debt (Assumed)'!$B$98,-PMT('Debt (Assumed)'!$B$98,Assumptions!$C$111,H69))))</f>
        <v>389146</v>
      </c>
      <c r="F70" s="30" t="n">
        <f aca="false">IF('Operating Model'!E$4&lt;=Assumptions!$C$126,IF(Assumptions!$C$130=1,D69*Assumptions!$C$125+E69*Assumptions!$C$128,-PMT(Assumptions!$C$125,Assumptions!$C$111,D69)-PMT(Assumptions!$C$128,Assumptions!$C$111,E69)),IF(Assumptions!$C$136=1,0,IF('Operating Model'!E$4-Assumptions!$C$126&lt;='Debt (Assumed)'!$B$100,H69*'Debt (Assumed)'!$B$98,-PMT('Debt (Assumed)'!$B$98,Assumptions!$C$111,H69))))</f>
        <v>602779.2371244</v>
      </c>
      <c r="G70" s="30" t="n">
        <f aca="false">IF('Operating Model'!F$4&lt;=Assumptions!$C$126,IF(Assumptions!$C$130=1,D69*Assumptions!$C$125+E69*Assumptions!$C$128,-PMT(Assumptions!$C$125,Assumptions!$C$111,D69)-PMT(Assumptions!$C$128,Assumptions!$C$111,E69)),IF(Assumptions!$C$136=1,0,IF('Operating Model'!F$4-Assumptions!$C$126&lt;='Debt (Assumed)'!$B$100,H69*'Debt (Assumed)'!$B$98,-PMT('Debt (Assumed)'!$B$98,Assumptions!$C$111,H69))))</f>
        <v>602779.2371244</v>
      </c>
    </row>
    <row r="71" customFormat="false" ht="15" hidden="false" customHeight="false" outlineLevel="0" collapsed="false">
      <c r="A71" s="2" t="s">
        <v>537</v>
      </c>
      <c r="B71" s="30" t="n">
        <f aca="false">-F69</f>
        <v>-3828915</v>
      </c>
      <c r="C71" s="30" t="n">
        <f aca="false">IF(AND(Assumptions!$C$136=1,'Operating Model'!B$4&gt;Assumptions!$C$126),0,'Operating Model'!B55+(C68-'Operating Model'!B49)-C70-IF('Operating Model'!B$4=Assumptions!$C$126,IF(Assumptions!$C$136=1,-M69,G69-H69+L69),0)+IF(AND(Assumptions!$C$136&lt;&gt;1,'Operating Model'!B$4=Assumptions!$C$154),K69,0))</f>
        <v>483645.021496</v>
      </c>
      <c r="D71" s="30" t="n">
        <f aca="false">IF(AND(Assumptions!$C$136=1,'Operating Model'!C$4&gt;Assumptions!$C$126),0,'Operating Model'!C55+(D68-'Operating Model'!C49)-D70-IF('Operating Model'!C$4=Assumptions!$C$126,IF(Assumptions!$C$136=1,-M69,G69-H69+L69),0)+IF(AND(Assumptions!$C$136&lt;&gt;1,'Operating Model'!C$4=Assumptions!$C$154),K69,0))</f>
        <v>361041.441866455</v>
      </c>
      <c r="E71" s="30" t="n">
        <f aca="false">IF(AND(Assumptions!$C$136=1,'Operating Model'!D$4&gt;Assumptions!$C$126),0,'Operating Model'!D55+(E68-'Operating Model'!D49)-E70-IF('Operating Model'!D$4=Assumptions!$C$126,IF(Assumptions!$C$136=1,-M69,G69-H69+L69),0)+IF(AND(Assumptions!$C$136&lt;&gt;1,'Operating Model'!D$4=Assumptions!$C$154),K69,0))</f>
        <v>52363.0061963619</v>
      </c>
      <c r="F71" s="30" t="n">
        <f aca="false">IF(AND(Assumptions!$C$136=1,'Operating Model'!E$4&gt;Assumptions!$C$126),0,'Operating Model'!E55+(F68-'Operating Model'!E49)-F70-IF('Operating Model'!E$4=Assumptions!$C$126,IF(Assumptions!$C$136=1,-M69,G69-H69+L69),0)+IF(AND(Assumptions!$C$136&lt;&gt;1,'Operating Model'!E$4=Assumptions!$C$154),K69,0))</f>
        <v>311508.68440446</v>
      </c>
      <c r="G71" s="30" t="n">
        <f aca="false">IF(AND(Assumptions!$C$136=1,'Operating Model'!F$4&gt;Assumptions!$C$126),0,'Operating Model'!F55+(G68-'Operating Model'!F49)-G70-IF('Operating Model'!F$4=Assumptions!$C$126,IF(Assumptions!$C$136=1,-M69,G69-H69+L69),0)+IF(AND(Assumptions!$C$136&lt;&gt;1,'Operating Model'!F$4=Assumptions!$C$154),K69,0))</f>
        <v>7574124.36783057</v>
      </c>
      <c r="H71" s="22" t="n">
        <f aca="false">IFERROR(IRR(B71:G71),"N/A")</f>
        <v>0.203544223386958</v>
      </c>
      <c r="I71" s="24" t="n">
        <f aca="false">SUM(C71:G71)/F69</f>
        <v>2.29377839983229</v>
      </c>
    </row>
    <row r="73" customFormat="false" ht="15" hidden="false" customHeight="false" outlineLevel="0" collapsed="false">
      <c r="A73" s="2" t="s">
        <v>538</v>
      </c>
      <c r="C73" s="30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3" s="30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3" s="30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3" s="30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3" s="30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3" s="30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3" s="30" t="n">
        <f aca="false">H73-'Operating Model'!$B$42*(C$6/Assumptions!$C$7)*(1+Assumptions!$C$18+0)^('Operating Model'!G$4-1)</f>
        <v>1209117.41207427</v>
      </c>
    </row>
    <row r="74" customFormat="false" ht="15" hidden="false" customHeight="false" outlineLevel="0" collapsed="false">
      <c r="A74" s="2" t="s">
        <v>539</v>
      </c>
      <c r="B74" s="30" t="n">
        <f aca="false">Assumptions!$C$7*(C$6/Assumptions!$C$7)</f>
        <v>13110000</v>
      </c>
      <c r="C74" s="30" t="n">
        <f aca="false">MAX(0,(Assumptions!$C$124+Assumptions!$C$127)-Assumptions!$C$132*B74)</f>
        <v>0</v>
      </c>
      <c r="D74" s="30" t="n">
        <f aca="false">Assumptions!$C$124-MAX(0,C74-Assumptions!$C$127)</f>
        <v>5887000</v>
      </c>
      <c r="E74" s="30" t="n">
        <f aca="false">Assumptions!$C$127-MIN(C74,Assumptions!$C$127)</f>
        <v>3563000</v>
      </c>
      <c r="F74" s="30" t="n">
        <f aca="false">B74*(1+Assumptions!$C$10)+'Unit Mix'!$D$18*1+(D74+E74)*Assumptions!$C$131-(D74+E74)</f>
        <v>4394940</v>
      </c>
      <c r="G74" s="30" t="n">
        <f aca="false">IF(Assumptions!$C$130=1,D74+E74,-FV(Assumptions!$C$125,Assumptions!$C$126,PMT(Assumptions!$C$125,Assumptions!$C$111,D74),D74)-FV(Assumptions!$C$128,Assumptions!$C$126,PMT(Assumptions!$C$128,Assumptions!$C$111,E74),E74))</f>
        <v>9450000</v>
      </c>
      <c r="H74" s="30" t="n">
        <f aca="false">MIN(INDEX(C73:H73,Assumptions!$C$126+1)/$A$7*Assumptions!$C$108,INDEX(C73:H73,Assumptions!$C$126+1)/(Assumptions!$C$109*-PMT('Debt (Assumed)'!$B$99,Assumptions!$C$111,1)))</f>
        <v>8821171.19739271</v>
      </c>
      <c r="I74" s="30" t="n">
        <f aca="false">IF(MAX(0,Assumptions!$C$154-Assumptions!$C$126-'Debt (Assumed)'!$B$100)=0,H74,-FV('Debt (Assumed)'!$B$98,MAX(0,Assumptions!$C$154-Assumptions!$C$126-'Debt (Assumed)'!$B$100),PMT('Debt (Assumed)'!$B$98,Assumptions!$C$111,H74),H74))</f>
        <v>8821171.19739271</v>
      </c>
      <c r="J74" s="30" t="n">
        <f aca="false">I74*'Debt (Assumed)'!$B$102</f>
        <v>0</v>
      </c>
      <c r="K74" s="30" t="n">
        <f aca="false">I73/($A$7+Returns!$B$35)*(1-Assumptions!$C$158)-I74-J74</f>
        <v>7378560.75867539</v>
      </c>
      <c r="L74" s="30" t="n">
        <f aca="false">H74*'Debt (Assumed)'!$B$101</f>
        <v>95268.6489318413</v>
      </c>
      <c r="M74" s="30" t="n">
        <f aca="false">(INDEX(C73:H73,Assumptions!$C$126+1)-'Operating Model'!$B$42*(C$6/Assumptions!$C$7)*(1+Assumptions!$C$18+0)^Assumptions!$C$126)/($A$7+Returns!$B$35)*(1-Assumptions!$C$158)-G74</f>
        <v>6349470.2323214</v>
      </c>
    </row>
    <row r="75" customFormat="false" ht="15" hidden="false" customHeight="false" outlineLevel="0" collapsed="false">
      <c r="A75" s="2" t="s">
        <v>540</v>
      </c>
      <c r="C75" s="30" t="n">
        <f aca="false">IF('Operating Model'!B$4&lt;=Assumptions!$C$126,IF(Assumptions!$C$130=1,D74*Assumptions!$C$125+E74*Assumptions!$C$128,-PMT(Assumptions!$C$125,Assumptions!$C$111,D74)-PMT(Assumptions!$C$128,Assumptions!$C$111,E74)),IF(Assumptions!$C$136=1,0,IF('Operating Model'!B$4-Assumptions!$C$126&lt;='Debt (Assumed)'!$B$100,H74*'Debt (Assumed)'!$B$98,-PMT('Debt (Assumed)'!$B$98,Assumptions!$C$111,H74))))</f>
        <v>397516</v>
      </c>
      <c r="D75" s="30" t="n">
        <f aca="false">IF('Operating Model'!C$4&lt;=Assumptions!$C$126,IF(Assumptions!$C$130=1,D74*Assumptions!$C$125+E74*Assumptions!$C$128,-PMT(Assumptions!$C$125,Assumptions!$C$111,D74)-PMT(Assumptions!$C$128,Assumptions!$C$111,E74)),IF(Assumptions!$C$136=1,0,IF('Operating Model'!C$4-Assumptions!$C$126&lt;='Debt (Assumed)'!$B$100,H74*'Debt (Assumed)'!$B$98,-PMT('Debt (Assumed)'!$B$98,Assumptions!$C$111,H74))))</f>
        <v>397516</v>
      </c>
      <c r="E75" s="30" t="n">
        <f aca="false">IF('Operating Model'!D$4&lt;=Assumptions!$C$126,IF(Assumptions!$C$130=1,D74*Assumptions!$C$125+E74*Assumptions!$C$128,-PMT(Assumptions!$C$125,Assumptions!$C$111,D74)-PMT(Assumptions!$C$128,Assumptions!$C$111,E74)),IF(Assumptions!$C$136=1,0,IF('Operating Model'!D$4-Assumptions!$C$126&lt;='Debt (Assumed)'!$B$100,H74*'Debt (Assumed)'!$B$98,-PMT('Debt (Assumed)'!$B$98,Assumptions!$C$111,H74))))</f>
        <v>397516</v>
      </c>
      <c r="F75" s="30" t="n">
        <f aca="false">IF('Operating Model'!E$4&lt;=Assumptions!$C$126,IF(Assumptions!$C$130=1,D74*Assumptions!$C$125+E74*Assumptions!$C$128,-PMT(Assumptions!$C$125,Assumptions!$C$111,D74)-PMT(Assumptions!$C$128,Assumptions!$C$111,E74)),IF(Assumptions!$C$136=1,0,IF('Operating Model'!E$4-Assumptions!$C$126&lt;='Debt (Assumed)'!$B$100,H74*'Debt (Assumed)'!$B$98,-PMT('Debt (Assumed)'!$B$98,Assumptions!$C$111,H74))))</f>
        <v>594546.938704269</v>
      </c>
      <c r="G75" s="30" t="n">
        <f aca="false">IF('Operating Model'!F$4&lt;=Assumptions!$C$126,IF(Assumptions!$C$130=1,D74*Assumptions!$C$125+E74*Assumptions!$C$128,-PMT(Assumptions!$C$125,Assumptions!$C$111,D74)-PMT(Assumptions!$C$128,Assumptions!$C$111,E74)),IF(Assumptions!$C$136=1,0,IF('Operating Model'!F$4-Assumptions!$C$126&lt;='Debt (Assumed)'!$B$100,H74*'Debt (Assumed)'!$B$98,-PMT('Debt (Assumed)'!$B$98,Assumptions!$C$111,H74))))</f>
        <v>594546.938704269</v>
      </c>
    </row>
    <row r="76" customFormat="false" ht="15" hidden="false" customHeight="false" outlineLevel="0" collapsed="false">
      <c r="A76" s="2" t="s">
        <v>541</v>
      </c>
      <c r="B76" s="30" t="n">
        <f aca="false">-F74</f>
        <v>-4394940</v>
      </c>
      <c r="C76" s="30" t="n">
        <f aca="false">IF(AND(Assumptions!$C$136=1,'Operating Model'!B$4&gt;Assumptions!$C$126),0,'Operating Model'!B55+(C73-'Operating Model'!B49)-C75-IF('Operating Model'!B$4=Assumptions!$C$126,IF(Assumptions!$C$136=1,-M74,G74-H74+L74),0)+IF(AND(Assumptions!$C$136&lt;&gt;1,'Operating Model'!B$4=Assumptions!$C$154),K74,0))</f>
        <v>463444.729996</v>
      </c>
      <c r="D76" s="30" t="n">
        <f aca="false">IF(AND(Assumptions!$C$136=1,'Operating Model'!C$4&gt;Assumptions!$C$126),0,'Operating Model'!C55+(D73-'Operating Model'!C49)-D75-IF('Operating Model'!C$4=Assumptions!$C$126,IF(Assumptions!$C$136=1,-M74,G74-H74+L74),0)+IF(AND(Assumptions!$C$136&lt;&gt;1,'Operating Model'!C$4=Assumptions!$C$154),K74,0))</f>
        <v>340486.241621455</v>
      </c>
      <c r="E76" s="30" t="n">
        <f aca="false">IF(AND(Assumptions!$C$136=1,'Operating Model'!D$4&gt;Assumptions!$C$126),0,'Operating Model'!D55+(E73-'Operating Model'!D49)-E75-IF('Operating Model'!D$4=Assumptions!$C$126,IF(Assumptions!$C$136=1,-M74,G74-H74+L74),0)+IF(AND(Assumptions!$C$136&lt;&gt;1,'Operating Model'!D$4=Assumptions!$C$154),K74,0))</f>
        <v>-224379.554168657</v>
      </c>
      <c r="F76" s="30" t="n">
        <f aca="false">IF(AND(Assumptions!$C$136=1,'Operating Model'!E$4&gt;Assumptions!$C$126),0,'Operating Model'!E55+(F73-'Operating Model'!E49)-F75-IF('Operating Model'!E$4=Assumptions!$C$126,IF(Assumptions!$C$136=1,-M74,G74-H74+L74),0)+IF(AND(Assumptions!$C$136&lt;&gt;1,'Operating Model'!E$4=Assumptions!$C$154),K74,0))</f>
        <v>306813.703884671</v>
      </c>
      <c r="G76" s="30" t="n">
        <f aca="false">IF(AND(Assumptions!$C$136=1,'Operating Model'!F$4&gt;Assumptions!$C$126),0,'Operating Model'!F55+(G73-'Operating Model'!F49)-G75-IF('Operating Model'!F$4=Assumptions!$C$126,IF(Assumptions!$C$136=1,-M74,G74-H74+L74),0)+IF(AND(Assumptions!$C$136&lt;&gt;1,'Operating Model'!F$4=Assumptions!$C$154),K74,0))</f>
        <v>7691182.49505729</v>
      </c>
      <c r="H76" s="22" t="n">
        <f aca="false">IFERROR(IRR(B76:G76),"N/A")</f>
        <v>0.156759711159044</v>
      </c>
      <c r="I76" s="24" t="n">
        <f aca="false">SUM(C76:G76)/F74</f>
        <v>1.95168708023107</v>
      </c>
    </row>
    <row r="78" customFormat="false" ht="15" hidden="false" customHeight="false" outlineLevel="0" collapsed="false">
      <c r="A78" s="2" t="s">
        <v>542</v>
      </c>
      <c r="C78" s="30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8" s="30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8" s="30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8" s="30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8" s="30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8" s="30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8" s="30" t="n">
        <f aca="false">H78-'Operating Model'!$B$42*(D$6/Assumptions!$C$7)*(1+Assumptions!$C$18+0)^('Operating Model'!G$4-1)</f>
        <v>1209117.41207427</v>
      </c>
    </row>
    <row r="79" customFormat="false" ht="15" hidden="false" customHeight="false" outlineLevel="0" collapsed="false">
      <c r="A79" s="2" t="s">
        <v>543</v>
      </c>
      <c r="B79" s="30" t="n">
        <f aca="false">Assumptions!$C$7*(D$6/Assumptions!$C$7)</f>
        <v>13800000</v>
      </c>
      <c r="C79" s="30" t="n">
        <f aca="false">MAX(0,(Assumptions!$C$124+Assumptions!$C$127)-Assumptions!$C$132*B79)</f>
        <v>0</v>
      </c>
      <c r="D79" s="30" t="n">
        <f aca="false">Assumptions!$C$124-MAX(0,C79-Assumptions!$C$127)</f>
        <v>5887000</v>
      </c>
      <c r="E79" s="30" t="n">
        <f aca="false">Assumptions!$C$127-MIN(C79,Assumptions!$C$127)</f>
        <v>3563000</v>
      </c>
      <c r="F79" s="30" t="n">
        <f aca="false">B79*(1+Assumptions!$C$10)+'Unit Mix'!$D$18*1+(D79+E79)*Assumptions!$C$131-(D79+E79)</f>
        <v>5095290</v>
      </c>
      <c r="G79" s="30" t="n">
        <f aca="false">IF(Assumptions!$C$130=1,D79+E79,-FV(Assumptions!$C$125,Assumptions!$C$126,PMT(Assumptions!$C$125,Assumptions!$C$111,D79),D79)-FV(Assumptions!$C$128,Assumptions!$C$126,PMT(Assumptions!$C$128,Assumptions!$C$111,E79),E79))</f>
        <v>9450000</v>
      </c>
      <c r="H79" s="30" t="n">
        <f aca="false">MIN(INDEX(C78:H78,Assumptions!$C$126+1)/$A$7*Assumptions!$C$108,INDEX(C78:H78,Assumptions!$C$126+1)/(Assumptions!$C$109*-PMT('Debt (Assumed)'!$B$99,Assumptions!$C$111,1)))</f>
        <v>8699030.271278</v>
      </c>
      <c r="I79" s="30" t="n">
        <f aca="false">IF(MAX(0,Assumptions!$C$154-Assumptions!$C$126-'Debt (Assumed)'!$B$100)=0,H79,-FV('Debt (Assumed)'!$B$98,MAX(0,Assumptions!$C$154-Assumptions!$C$126-'Debt (Assumed)'!$B$100),PMT('Debt (Assumed)'!$B$98,Assumptions!$C$111,H79),H79))</f>
        <v>8699030.271278</v>
      </c>
      <c r="J79" s="30" t="n">
        <f aca="false">I79*'Debt (Assumed)'!$B$102</f>
        <v>0</v>
      </c>
      <c r="K79" s="30" t="n">
        <f aca="false">I78/($A$7+Returns!$B$35)*(1-Assumptions!$C$158)-I79-J79</f>
        <v>7500701.6847901</v>
      </c>
      <c r="L79" s="30" t="n">
        <f aca="false">H79*'Debt (Assumed)'!$B$101</f>
        <v>93949.5269298024</v>
      </c>
      <c r="M79" s="30" t="n">
        <f aca="false">(INDEX(C78:H78,Assumptions!$C$126+1)-'Operating Model'!$B$42*(D$6/Assumptions!$C$7)*(1+Assumptions!$C$18+0)^Assumptions!$C$126)/($A$7+Returns!$B$35)*(1-Assumptions!$C$158)-G79</f>
        <v>6349470.2323214</v>
      </c>
    </row>
    <row r="80" customFormat="false" ht="15" hidden="false" customHeight="false" outlineLevel="0" collapsed="false">
      <c r="A80" s="2" t="s">
        <v>544</v>
      </c>
      <c r="C80" s="30" t="n">
        <f aca="false">IF('Operating Model'!B$4&lt;=Assumptions!$C$126,IF(Assumptions!$C$130=1,D79*Assumptions!$C$125+E79*Assumptions!$C$128,-PMT(Assumptions!$C$125,Assumptions!$C$111,D79)-PMT(Assumptions!$C$128,Assumptions!$C$111,E79)),IF(Assumptions!$C$136=1,0,IF('Operating Model'!B$4-Assumptions!$C$126&lt;='Debt (Assumed)'!$B$100,H79*'Debt (Assumed)'!$B$98,-PMT('Debt (Assumed)'!$B$98,Assumptions!$C$111,H79))))</f>
        <v>397516</v>
      </c>
      <c r="D80" s="30" t="n">
        <f aca="false">IF('Operating Model'!C$4&lt;=Assumptions!$C$126,IF(Assumptions!$C$130=1,D79*Assumptions!$C$125+E79*Assumptions!$C$128,-PMT(Assumptions!$C$125,Assumptions!$C$111,D79)-PMT(Assumptions!$C$128,Assumptions!$C$111,E79)),IF(Assumptions!$C$136=1,0,IF('Operating Model'!C$4-Assumptions!$C$126&lt;='Debt (Assumed)'!$B$100,H79*'Debt (Assumed)'!$B$98,-PMT('Debt (Assumed)'!$B$98,Assumptions!$C$111,H79))))</f>
        <v>397516</v>
      </c>
      <c r="E80" s="30" t="n">
        <f aca="false">IF('Operating Model'!D$4&lt;=Assumptions!$C$126,IF(Assumptions!$C$130=1,D79*Assumptions!$C$125+E79*Assumptions!$C$128,-PMT(Assumptions!$C$125,Assumptions!$C$111,D79)-PMT(Assumptions!$C$128,Assumptions!$C$111,E79)),IF(Assumptions!$C$136=1,0,IF('Operating Model'!D$4-Assumptions!$C$126&lt;='Debt (Assumed)'!$B$100,H79*'Debt (Assumed)'!$B$98,-PMT('Debt (Assumed)'!$B$98,Assumptions!$C$111,H79))))</f>
        <v>397516</v>
      </c>
      <c r="F80" s="30" t="n">
        <f aca="false">IF('Operating Model'!E$4&lt;=Assumptions!$C$126,IF(Assumptions!$C$130=1,D79*Assumptions!$C$125+E79*Assumptions!$C$128,-PMT(Assumptions!$C$125,Assumptions!$C$111,D79)-PMT(Assumptions!$C$128,Assumptions!$C$111,E79)),IF(Assumptions!$C$136=1,0,IF('Operating Model'!E$4-Assumptions!$C$126&lt;='Debt (Assumed)'!$B$100,H79*'Debt (Assumed)'!$B$98,-PMT('Debt (Assumed)'!$B$98,Assumptions!$C$111,H79))))</f>
        <v>586314.640284137</v>
      </c>
      <c r="G80" s="30" t="n">
        <f aca="false">IF('Operating Model'!F$4&lt;=Assumptions!$C$126,IF(Assumptions!$C$130=1,D79*Assumptions!$C$125+E79*Assumptions!$C$128,-PMT(Assumptions!$C$125,Assumptions!$C$111,D79)-PMT(Assumptions!$C$128,Assumptions!$C$111,E79)),IF(Assumptions!$C$136=1,0,IF('Operating Model'!F$4-Assumptions!$C$126&lt;='Debt (Assumed)'!$B$100,H79*'Debt (Assumed)'!$B$98,-PMT('Debt (Assumed)'!$B$98,Assumptions!$C$111,H79))))</f>
        <v>586314.640284137</v>
      </c>
    </row>
    <row r="81" customFormat="false" ht="15" hidden="false" customHeight="false" outlineLevel="0" collapsed="false">
      <c r="A81" s="2" t="s">
        <v>545</v>
      </c>
      <c r="B81" s="30" t="n">
        <f aca="false">-F79</f>
        <v>-5095290</v>
      </c>
      <c r="C81" s="30" t="n">
        <f aca="false">IF(AND(Assumptions!$C$136=1,'Operating Model'!B$4&gt;Assumptions!$C$126),0,'Operating Model'!B55+(C78-'Operating Model'!B49)-C80-IF('Operating Model'!B$4=Assumptions!$C$126,IF(Assumptions!$C$136=1,-M79,G79-H79+L79),0)+IF(AND(Assumptions!$C$136&lt;&gt;1,'Operating Model'!B$4=Assumptions!$C$154),K79,0))</f>
        <v>451614.438496</v>
      </c>
      <c r="D81" s="30" t="n">
        <f aca="false">IF(AND(Assumptions!$C$136=1,'Operating Model'!C$4&gt;Assumptions!$C$126),0,'Operating Model'!C55+(D78-'Operating Model'!C49)-D80-IF('Operating Model'!C$4=Assumptions!$C$126,IF(Assumptions!$C$136=1,-M79,G79-H79+L79),0)+IF(AND(Assumptions!$C$136&lt;&gt;1,'Operating Model'!C$4=Assumptions!$C$154),K79,0))</f>
        <v>328301.041376455</v>
      </c>
      <c r="E81" s="30" t="n">
        <f aca="false">IF(AND(Assumptions!$C$136=1,'Operating Model'!D$4&gt;Assumptions!$C$126),0,'Operating Model'!D55+(E78-'Operating Model'!D49)-E80-IF('Operating Model'!D$4=Assumptions!$C$126,IF(Assumptions!$C$136=1,-M79,G79-H79+L79),0)+IF(AND(Assumptions!$C$136&lt;&gt;1,'Operating Model'!D$4=Assumptions!$C$154),K79,0))</f>
        <v>-357752.114533679</v>
      </c>
      <c r="F81" s="30" t="n">
        <f aca="false">IF(AND(Assumptions!$C$136=1,'Operating Model'!E$4&gt;Assumptions!$C$126),0,'Operating Model'!E55+(F78-'Operating Model'!E49)-F80-IF('Operating Model'!E$4=Assumptions!$C$126,IF(Assumptions!$C$136=1,-M79,G79-H79+L79),0)+IF(AND(Assumptions!$C$136&lt;&gt;1,'Operating Model'!E$4=Assumptions!$C$154),K79,0))</f>
        <v>302118.723364882</v>
      </c>
      <c r="G81" s="30" t="n">
        <f aca="false">IF(AND(Assumptions!$C$136=1,'Operating Model'!F$4&gt;Assumptions!$C$126),0,'Operating Model'!F55+(G78-'Operating Model'!F49)-G80-IF('Operating Model'!F$4=Assumptions!$C$126,IF(Assumptions!$C$136=1,-M79,G79-H79+L79),0)+IF(AND(Assumptions!$C$136&lt;&gt;1,'Operating Model'!F$4=Assumptions!$C$154),K79,0))</f>
        <v>7808240.62228401</v>
      </c>
      <c r="H81" s="22" t="n">
        <f aca="false">IFERROR(IRR(B81:G81),"N/A")</f>
        <v>0.116997419658652</v>
      </c>
      <c r="I81" s="24" t="n">
        <f aca="false">SUM(C81:G81)/F79</f>
        <v>1.67459020212543</v>
      </c>
    </row>
    <row r="83" customFormat="false" ht="15" hidden="false" customHeight="false" outlineLevel="0" collapsed="false">
      <c r="A83" s="2" t="s">
        <v>546</v>
      </c>
      <c r="C83" s="30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83" s="30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83" s="30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83" s="30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83" s="30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83" s="30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83" s="30" t="n">
        <f aca="false">H83-'Operating Model'!$B$42*(E$6/Assumptions!$C$7)*(1+Assumptions!$C$18+0)^('Operating Model'!G$4-1)</f>
        <v>1209117.41207427</v>
      </c>
    </row>
    <row r="84" customFormat="false" ht="15" hidden="false" customHeight="false" outlineLevel="0" collapsed="false">
      <c r="A84" s="2" t="s">
        <v>547</v>
      </c>
      <c r="B84" s="30" t="n">
        <f aca="false">Assumptions!$C$7*(E$6/Assumptions!$C$7)</f>
        <v>14490000</v>
      </c>
      <c r="C84" s="30" t="n">
        <f aca="false">MAX(0,(Assumptions!$C$124+Assumptions!$C$127)-Assumptions!$C$132*B84)</f>
        <v>0</v>
      </c>
      <c r="D84" s="30" t="n">
        <f aca="false">Assumptions!$C$124-MAX(0,C84-Assumptions!$C$127)</f>
        <v>5887000</v>
      </c>
      <c r="E84" s="30" t="n">
        <f aca="false">Assumptions!$C$127-MIN(C84,Assumptions!$C$127)</f>
        <v>3563000</v>
      </c>
      <c r="F84" s="30" t="n">
        <f aca="false">B84*(1+Assumptions!$C$10)+'Unit Mix'!$D$18*1+(D84+E84)*Assumptions!$C$131-(D84+E84)</f>
        <v>5795640</v>
      </c>
      <c r="G84" s="30" t="n">
        <f aca="false">IF(Assumptions!$C$130=1,D84+E84,-FV(Assumptions!$C$125,Assumptions!$C$126,PMT(Assumptions!$C$125,Assumptions!$C$111,D84),D84)-FV(Assumptions!$C$128,Assumptions!$C$126,PMT(Assumptions!$C$128,Assumptions!$C$111,E84),E84))</f>
        <v>9450000</v>
      </c>
      <c r="H84" s="30" t="n">
        <f aca="false">MIN(INDEX(C83:H83,Assumptions!$C$126+1)/$A$7*Assumptions!$C$108,INDEX(C83:H83,Assumptions!$C$126+1)/(Assumptions!$C$109*-PMT('Debt (Assumed)'!$B$99,Assumptions!$C$111,1)))</f>
        <v>8576889.34516329</v>
      </c>
      <c r="I84" s="30" t="n">
        <f aca="false">IF(MAX(0,Assumptions!$C$154-Assumptions!$C$126-'Debt (Assumed)'!$B$100)=0,H84,-FV('Debt (Assumed)'!$B$98,MAX(0,Assumptions!$C$154-Assumptions!$C$126-'Debt (Assumed)'!$B$100),PMT('Debt (Assumed)'!$B$98,Assumptions!$C$111,H84),H84))</f>
        <v>8576889.34516329</v>
      </c>
      <c r="J84" s="30" t="n">
        <f aca="false">I84*'Debt (Assumed)'!$B$102</f>
        <v>0</v>
      </c>
      <c r="K84" s="30" t="n">
        <f aca="false">I83/($A$7+Returns!$B$35)*(1-Assumptions!$C$158)-I84-J84</f>
        <v>7622842.61090481</v>
      </c>
      <c r="L84" s="30" t="n">
        <f aca="false">H84*'Debt (Assumed)'!$B$101</f>
        <v>92630.4049277635</v>
      </c>
      <c r="M84" s="30" t="n">
        <f aca="false">(INDEX(C83:H83,Assumptions!$C$126+1)-'Operating Model'!$B$42*(E$6/Assumptions!$C$7)*(1+Assumptions!$C$18+0)^Assumptions!$C$126)/($A$7+Returns!$B$35)*(1-Assumptions!$C$158)-G84</f>
        <v>6349470.2323214</v>
      </c>
    </row>
    <row r="85" customFormat="false" ht="15" hidden="false" customHeight="false" outlineLevel="0" collapsed="false">
      <c r="A85" s="2" t="s">
        <v>548</v>
      </c>
      <c r="C85" s="30" t="n">
        <f aca="false">IF('Operating Model'!B$4&lt;=Assumptions!$C$126,IF(Assumptions!$C$130=1,D84*Assumptions!$C$125+E84*Assumptions!$C$128,-PMT(Assumptions!$C$125,Assumptions!$C$111,D84)-PMT(Assumptions!$C$128,Assumptions!$C$111,E84)),IF(Assumptions!$C$136=1,0,IF('Operating Model'!B$4-Assumptions!$C$126&lt;='Debt (Assumed)'!$B$100,H84*'Debt (Assumed)'!$B$98,-PMT('Debt (Assumed)'!$B$98,Assumptions!$C$111,H84))))</f>
        <v>397516</v>
      </c>
      <c r="D85" s="30" t="n">
        <f aca="false">IF('Operating Model'!C$4&lt;=Assumptions!$C$126,IF(Assumptions!$C$130=1,D84*Assumptions!$C$125+E84*Assumptions!$C$128,-PMT(Assumptions!$C$125,Assumptions!$C$111,D84)-PMT(Assumptions!$C$128,Assumptions!$C$111,E84)),IF(Assumptions!$C$136=1,0,IF('Operating Model'!C$4-Assumptions!$C$126&lt;='Debt (Assumed)'!$B$100,H84*'Debt (Assumed)'!$B$98,-PMT('Debt (Assumed)'!$B$98,Assumptions!$C$111,H84))))</f>
        <v>397516</v>
      </c>
      <c r="E85" s="30" t="n">
        <f aca="false">IF('Operating Model'!D$4&lt;=Assumptions!$C$126,IF(Assumptions!$C$130=1,D84*Assumptions!$C$125+E84*Assumptions!$C$128,-PMT(Assumptions!$C$125,Assumptions!$C$111,D84)-PMT(Assumptions!$C$128,Assumptions!$C$111,E84)),IF(Assumptions!$C$136=1,0,IF('Operating Model'!D$4-Assumptions!$C$126&lt;='Debt (Assumed)'!$B$100,H84*'Debt (Assumed)'!$B$98,-PMT('Debt (Assumed)'!$B$98,Assumptions!$C$111,H84))))</f>
        <v>397516</v>
      </c>
      <c r="F85" s="30" t="n">
        <f aca="false">IF('Operating Model'!E$4&lt;=Assumptions!$C$126,IF(Assumptions!$C$130=1,D84*Assumptions!$C$125+E84*Assumptions!$C$128,-PMT(Assumptions!$C$125,Assumptions!$C$111,D84)-PMT(Assumptions!$C$128,Assumptions!$C$111,E84)),IF(Assumptions!$C$136=1,0,IF('Operating Model'!E$4-Assumptions!$C$126&lt;='Debt (Assumed)'!$B$100,H84*'Debt (Assumed)'!$B$98,-PMT('Debt (Assumed)'!$B$98,Assumptions!$C$111,H84))))</f>
        <v>578082.341864006</v>
      </c>
      <c r="G85" s="30" t="n">
        <f aca="false">IF('Operating Model'!F$4&lt;=Assumptions!$C$126,IF(Assumptions!$C$130=1,D84*Assumptions!$C$125+E84*Assumptions!$C$128,-PMT(Assumptions!$C$125,Assumptions!$C$111,D84)-PMT(Assumptions!$C$128,Assumptions!$C$111,E84)),IF(Assumptions!$C$136=1,0,IF('Operating Model'!F$4-Assumptions!$C$126&lt;='Debt (Assumed)'!$B$100,H84*'Debt (Assumed)'!$B$98,-PMT('Debt (Assumed)'!$B$98,Assumptions!$C$111,H84))))</f>
        <v>578082.341864006</v>
      </c>
    </row>
    <row r="86" customFormat="false" ht="15" hidden="false" customHeight="false" outlineLevel="0" collapsed="false">
      <c r="A86" s="2" t="s">
        <v>549</v>
      </c>
      <c r="B86" s="30" t="n">
        <f aca="false">-F84</f>
        <v>-5795640</v>
      </c>
      <c r="C86" s="30" t="n">
        <f aca="false">IF(AND(Assumptions!$C$136=1,'Operating Model'!B$4&gt;Assumptions!$C$126),0,'Operating Model'!B55+(C83-'Operating Model'!B49)-C85-IF('Operating Model'!B$4=Assumptions!$C$126,IF(Assumptions!$C$136=1,-M84,G84-H84+L84),0)+IF(AND(Assumptions!$C$136&lt;&gt;1,'Operating Model'!B$4=Assumptions!$C$154),K84,0))</f>
        <v>439784.146996</v>
      </c>
      <c r="D86" s="30" t="n">
        <f aca="false">IF(AND(Assumptions!$C$136=1,'Operating Model'!C$4&gt;Assumptions!$C$126),0,'Operating Model'!C55+(D83-'Operating Model'!C49)-D85-IF('Operating Model'!C$4=Assumptions!$C$126,IF(Assumptions!$C$136=1,-M84,G84-H84+L84),0)+IF(AND(Assumptions!$C$136&lt;&gt;1,'Operating Model'!C$4=Assumptions!$C$154),K84,0))</f>
        <v>316115.841131455</v>
      </c>
      <c r="E86" s="30" t="n">
        <f aca="false">IF(AND(Assumptions!$C$136=1,'Operating Model'!D$4&gt;Assumptions!$C$126),0,'Operating Model'!D55+(E83-'Operating Model'!D49)-E85-IF('Operating Model'!D$4=Assumptions!$C$126,IF(Assumptions!$C$136=1,-M84,G84-H84+L84),0)+IF(AND(Assumptions!$C$136&lt;&gt;1,'Operating Model'!D$4=Assumptions!$C$154),K84,0))</f>
        <v>-491124.674898698</v>
      </c>
      <c r="F86" s="30" t="n">
        <f aca="false">IF(AND(Assumptions!$C$136=1,'Operating Model'!E$4&gt;Assumptions!$C$126),0,'Operating Model'!E55+(F83-'Operating Model'!E49)-F85-IF('Operating Model'!E$4=Assumptions!$C$126,IF(Assumptions!$C$136=1,-M84,G84-H84+L84),0)+IF(AND(Assumptions!$C$136&lt;&gt;1,'Operating Model'!E$4=Assumptions!$C$154),K84,0))</f>
        <v>297423.742845092</v>
      </c>
      <c r="G86" s="30" t="n">
        <f aca="false">IF(AND(Assumptions!$C$136=1,'Operating Model'!F$4&gt;Assumptions!$C$126),0,'Operating Model'!F55+(G83-'Operating Model'!F49)-G85-IF('Operating Model'!F$4=Assumptions!$C$126,IF(Assumptions!$C$136=1,-M84,G84-H84+L84),0)+IF(AND(Assumptions!$C$136&lt;&gt;1,'Operating Model'!F$4=Assumptions!$C$154),K84,0))</f>
        <v>7925298.74951073</v>
      </c>
      <c r="H86" s="22" t="n">
        <f aca="false">IFERROR(IRR(B86:G86),"N/A")</f>
        <v>0.0841584273987631</v>
      </c>
      <c r="I86" s="24" t="n">
        <f aca="false">SUM(C86:G86)/F84</f>
        <v>1.46446256247534</v>
      </c>
    </row>
    <row r="88" customFormat="false" ht="15" hidden="false" customHeight="false" outlineLevel="0" collapsed="false">
      <c r="A88" s="2" t="s">
        <v>550</v>
      </c>
      <c r="C88" s="30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88" s="30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88" s="30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88" s="30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88" s="30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88" s="30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88" s="30" t="n">
        <f aca="false">H88-'Operating Model'!$B$42*(F$6/Assumptions!$C$7)*(1+Assumptions!$C$18+0)^('Operating Model'!G$4-1)</f>
        <v>1209117.41207427</v>
      </c>
    </row>
    <row r="89" customFormat="false" ht="15" hidden="false" customHeight="false" outlineLevel="0" collapsed="false">
      <c r="A89" s="2" t="s">
        <v>551</v>
      </c>
      <c r="B89" s="30" t="n">
        <f aca="false">Assumptions!$C$7*(F$6/Assumptions!$C$7)</f>
        <v>15180000</v>
      </c>
      <c r="C89" s="30" t="n">
        <f aca="false">MAX(0,(Assumptions!$C$124+Assumptions!$C$127)-Assumptions!$C$132*B89)</f>
        <v>0</v>
      </c>
      <c r="D89" s="30" t="n">
        <f aca="false">Assumptions!$C$124-MAX(0,C89-Assumptions!$C$127)</f>
        <v>5887000</v>
      </c>
      <c r="E89" s="30" t="n">
        <f aca="false">Assumptions!$C$127-MIN(C89,Assumptions!$C$127)</f>
        <v>3563000</v>
      </c>
      <c r="F89" s="30" t="n">
        <f aca="false">B89*(1+Assumptions!$C$10)+'Unit Mix'!$D$18*1+(D89+E89)*Assumptions!$C$131-(D89+E89)</f>
        <v>6495990</v>
      </c>
      <c r="G89" s="30" t="n">
        <f aca="false">IF(Assumptions!$C$130=1,D89+E89,-FV(Assumptions!$C$125,Assumptions!$C$126,PMT(Assumptions!$C$125,Assumptions!$C$111,D89),D89)-FV(Assumptions!$C$128,Assumptions!$C$126,PMT(Assumptions!$C$128,Assumptions!$C$111,E89),E89))</f>
        <v>9450000</v>
      </c>
      <c r="H89" s="30" t="n">
        <f aca="false">MIN(INDEX(C88:H88,Assumptions!$C$126+1)/$A$7*Assumptions!$C$108,INDEX(C88:H88,Assumptions!$C$126+1)/(Assumptions!$C$109*-PMT('Debt (Assumed)'!$B$99,Assumptions!$C$111,1)))</f>
        <v>8454748.41904858</v>
      </c>
      <c r="I89" s="30" t="n">
        <f aca="false">IF(MAX(0,Assumptions!$C$154-Assumptions!$C$126-'Debt (Assumed)'!$B$100)=0,H89,-FV('Debt (Assumed)'!$B$98,MAX(0,Assumptions!$C$154-Assumptions!$C$126-'Debt (Assumed)'!$B$100),PMT('Debt (Assumed)'!$B$98,Assumptions!$C$111,H89),H89))</f>
        <v>8454748.41904858</v>
      </c>
      <c r="J89" s="30" t="n">
        <f aca="false">I89*'Debt (Assumed)'!$B$102</f>
        <v>0</v>
      </c>
      <c r="K89" s="30" t="n">
        <f aca="false">I88/($A$7+Returns!$B$35)*(1-Assumptions!$C$158)-I89-J89</f>
        <v>7744983.53701952</v>
      </c>
      <c r="L89" s="30" t="n">
        <f aca="false">H89*'Debt (Assumed)'!$B$101</f>
        <v>91311.2829257247</v>
      </c>
      <c r="M89" s="30" t="n">
        <f aca="false">(INDEX(C88:H88,Assumptions!$C$126+1)-'Operating Model'!$B$42*(F$6/Assumptions!$C$7)*(1+Assumptions!$C$18+0)^Assumptions!$C$126)/($A$7+Returns!$B$35)*(1-Assumptions!$C$158)-G89</f>
        <v>6349470.2323214</v>
      </c>
    </row>
    <row r="90" customFormat="false" ht="15" hidden="false" customHeight="false" outlineLevel="0" collapsed="false">
      <c r="A90" s="2" t="s">
        <v>552</v>
      </c>
      <c r="C90" s="30" t="n">
        <f aca="false">IF('Operating Model'!B$4&lt;=Assumptions!$C$126,IF(Assumptions!$C$130=1,D89*Assumptions!$C$125+E89*Assumptions!$C$128,-PMT(Assumptions!$C$125,Assumptions!$C$111,D89)-PMT(Assumptions!$C$128,Assumptions!$C$111,E89)),IF(Assumptions!$C$136=1,0,IF('Operating Model'!B$4-Assumptions!$C$126&lt;='Debt (Assumed)'!$B$100,H89*'Debt (Assumed)'!$B$98,-PMT('Debt (Assumed)'!$B$98,Assumptions!$C$111,H89))))</f>
        <v>397516</v>
      </c>
      <c r="D90" s="30" t="n">
        <f aca="false">IF('Operating Model'!C$4&lt;=Assumptions!$C$126,IF(Assumptions!$C$130=1,D89*Assumptions!$C$125+E89*Assumptions!$C$128,-PMT(Assumptions!$C$125,Assumptions!$C$111,D89)-PMT(Assumptions!$C$128,Assumptions!$C$111,E89)),IF(Assumptions!$C$136=1,0,IF('Operating Model'!C$4-Assumptions!$C$126&lt;='Debt (Assumed)'!$B$100,H89*'Debt (Assumed)'!$B$98,-PMT('Debt (Assumed)'!$B$98,Assumptions!$C$111,H89))))</f>
        <v>397516</v>
      </c>
      <c r="E90" s="30" t="n">
        <f aca="false">IF('Operating Model'!D$4&lt;=Assumptions!$C$126,IF(Assumptions!$C$130=1,D89*Assumptions!$C$125+E89*Assumptions!$C$128,-PMT(Assumptions!$C$125,Assumptions!$C$111,D89)-PMT(Assumptions!$C$128,Assumptions!$C$111,E89)),IF(Assumptions!$C$136=1,0,IF('Operating Model'!D$4-Assumptions!$C$126&lt;='Debt (Assumed)'!$B$100,H89*'Debt (Assumed)'!$B$98,-PMT('Debt (Assumed)'!$B$98,Assumptions!$C$111,H89))))</f>
        <v>397516</v>
      </c>
      <c r="F90" s="30" t="n">
        <f aca="false">IF('Operating Model'!E$4&lt;=Assumptions!$C$126,IF(Assumptions!$C$130=1,D89*Assumptions!$C$125+E89*Assumptions!$C$128,-PMT(Assumptions!$C$125,Assumptions!$C$111,D89)-PMT(Assumptions!$C$128,Assumptions!$C$111,E89)),IF(Assumptions!$C$136=1,0,IF('Operating Model'!E$4-Assumptions!$C$126&lt;='Debt (Assumed)'!$B$100,H89*'Debt (Assumed)'!$B$98,-PMT('Debt (Assumed)'!$B$98,Assumptions!$C$111,H89))))</f>
        <v>569850.043443874</v>
      </c>
      <c r="G90" s="30" t="n">
        <f aca="false">IF('Operating Model'!F$4&lt;=Assumptions!$C$126,IF(Assumptions!$C$130=1,D89*Assumptions!$C$125+E89*Assumptions!$C$128,-PMT(Assumptions!$C$125,Assumptions!$C$111,D89)-PMT(Assumptions!$C$128,Assumptions!$C$111,E89)),IF(Assumptions!$C$136=1,0,IF('Operating Model'!F$4-Assumptions!$C$126&lt;='Debt (Assumed)'!$B$100,H89*'Debt (Assumed)'!$B$98,-PMT('Debt (Assumed)'!$B$98,Assumptions!$C$111,H89))))</f>
        <v>569850.043443874</v>
      </c>
    </row>
    <row r="91" customFormat="false" ht="15" hidden="false" customHeight="false" outlineLevel="0" collapsed="false">
      <c r="A91" s="2" t="s">
        <v>553</v>
      </c>
      <c r="B91" s="30" t="n">
        <f aca="false">-F89</f>
        <v>-6495990</v>
      </c>
      <c r="C91" s="30" t="n">
        <f aca="false">IF(AND(Assumptions!$C$136=1,'Operating Model'!B$4&gt;Assumptions!$C$126),0,'Operating Model'!B55+(C88-'Operating Model'!B49)-C90-IF('Operating Model'!B$4=Assumptions!$C$126,IF(Assumptions!$C$136=1,-M89,G89-H89+L89),0)+IF(AND(Assumptions!$C$136&lt;&gt;1,'Operating Model'!B$4=Assumptions!$C$154),K89,0))</f>
        <v>427953.855496</v>
      </c>
      <c r="D91" s="30" t="n">
        <f aca="false">IF(AND(Assumptions!$C$136=1,'Operating Model'!C$4&gt;Assumptions!$C$126),0,'Operating Model'!C55+(D88-'Operating Model'!C49)-D90-IF('Operating Model'!C$4=Assumptions!$C$126,IF(Assumptions!$C$136=1,-M89,G89-H89+L89),0)+IF(AND(Assumptions!$C$136&lt;&gt;1,'Operating Model'!C$4=Assumptions!$C$154),K89,0))</f>
        <v>303930.640886455</v>
      </c>
      <c r="E91" s="30" t="n">
        <f aca="false">IF(AND(Assumptions!$C$136=1,'Operating Model'!D$4&gt;Assumptions!$C$126),0,'Operating Model'!D55+(E88-'Operating Model'!D49)-E90-IF('Operating Model'!D$4=Assumptions!$C$126,IF(Assumptions!$C$136=1,-M89,G89-H89+L89),0)+IF(AND(Assumptions!$C$136&lt;&gt;1,'Operating Model'!D$4=Assumptions!$C$154),K89,0))</f>
        <v>-624497.235263717</v>
      </c>
      <c r="F91" s="30" t="n">
        <f aca="false">IF(AND(Assumptions!$C$136=1,'Operating Model'!E$4&gt;Assumptions!$C$126),0,'Operating Model'!E55+(F88-'Operating Model'!E49)-F90-IF('Operating Model'!E$4=Assumptions!$C$126,IF(Assumptions!$C$136=1,-M89,G89-H89+L89),0)+IF(AND(Assumptions!$C$136&lt;&gt;1,'Operating Model'!E$4=Assumptions!$C$154),K89,0))</f>
        <v>292728.762325303</v>
      </c>
      <c r="G91" s="30" t="n">
        <f aca="false">IF(AND(Assumptions!$C$136=1,'Operating Model'!F$4&gt;Assumptions!$C$126),0,'Operating Model'!F55+(G88-'Operating Model'!F49)-G90-IF('Operating Model'!F$4=Assumptions!$C$126,IF(Assumptions!$C$136=1,-M89,G89-H89+L89),0)+IF(AND(Assumptions!$C$136&lt;&gt;1,'Operating Model'!F$4=Assumptions!$C$154),K89,0))</f>
        <v>8042356.87673745</v>
      </c>
      <c r="H91" s="22" t="n">
        <f aca="false">IFERROR(IRR(B91:G91),"N/A")</f>
        <v>0.056386422038577</v>
      </c>
      <c r="I91" s="24" t="n">
        <f aca="false">SUM(C91:G91)/F89</f>
        <v>1.29964376487364</v>
      </c>
    </row>
    <row r="93" customFormat="false" ht="15" hidden="false" customHeight="false" outlineLevel="0" collapsed="false">
      <c r="A93" s="2" t="s">
        <v>554</v>
      </c>
      <c r="C93" s="30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93" s="30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93" s="30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93" s="30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93" s="30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93" s="30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93" s="30" t="n">
        <f aca="false">H93-'Operating Model'!$B$42*(B$6/Assumptions!$C$7)*(1+Assumptions!$C$18+0)^('Operating Model'!G$4-1)</f>
        <v>1209117.41207427</v>
      </c>
    </row>
    <row r="94" customFormat="false" ht="15" hidden="false" customHeight="false" outlineLevel="0" collapsed="false">
      <c r="A94" s="2" t="s">
        <v>555</v>
      </c>
      <c r="B94" s="30" t="n">
        <f aca="false">Assumptions!$C$7*(B$6/Assumptions!$C$7)</f>
        <v>12420000</v>
      </c>
      <c r="C94" s="30" t="n">
        <f aca="false">MAX(0,(Assumptions!$C$124+Assumptions!$C$127)-Assumptions!$C$132*B94)</f>
        <v>135000</v>
      </c>
      <c r="D94" s="30" t="n">
        <f aca="false">Assumptions!$C$124-MAX(0,C94-Assumptions!$C$127)</f>
        <v>5887000</v>
      </c>
      <c r="E94" s="30" t="n">
        <f aca="false">Assumptions!$C$127-MIN(C94,Assumptions!$C$127)</f>
        <v>3428000</v>
      </c>
      <c r="F94" s="30" t="n">
        <f aca="false">B94*(1+Assumptions!$C$10)+'Unit Mix'!$D$18*1+(D94+E94)*Assumptions!$C$131-(D94+E94)</f>
        <v>3828915</v>
      </c>
      <c r="G94" s="30" t="n">
        <f aca="false">IF(Assumptions!$C$130=1,D94+E94,-FV(Assumptions!$C$125,Assumptions!$C$126,PMT(Assumptions!$C$125,Assumptions!$C$111,D94),D94)-FV(Assumptions!$C$128,Assumptions!$C$126,PMT(Assumptions!$C$128,Assumptions!$C$111,E94),E94))</f>
        <v>9315000</v>
      </c>
      <c r="H94" s="30" t="n">
        <f aca="false">MIN(INDEX(C93:H93,Assumptions!$C$126+1)/$A$8*Assumptions!$C$108,INDEX(C93:H93,Assumptions!$C$126+1)/(Assumptions!$C$109*-PMT('Debt (Assumed)'!$B$99,Assumptions!$C$111,1)))</f>
        <v>8943312.12350742</v>
      </c>
      <c r="I94" s="30" t="n">
        <f aca="false">IF(MAX(0,Assumptions!$C$154-Assumptions!$C$126-'Debt (Assumed)'!$B$100)=0,H94,-FV('Debt (Assumed)'!$B$98,MAX(0,Assumptions!$C$154-Assumptions!$C$126-'Debt (Assumed)'!$B$100),PMT('Debt (Assumed)'!$B$98,Assumptions!$C$111,H94),H94))</f>
        <v>8943312.12350742</v>
      </c>
      <c r="J94" s="30" t="n">
        <f aca="false">I94*'Debt (Assumed)'!$B$102</f>
        <v>0</v>
      </c>
      <c r="K94" s="30" t="n">
        <f aca="false">I93/($A$8+Returns!$B$35)*(1-Assumptions!$C$158)-I94-J94</f>
        <v>6219906.97824062</v>
      </c>
      <c r="L94" s="30" t="n">
        <f aca="false">H94*'Debt (Assumed)'!$B$101</f>
        <v>96587.7709338801</v>
      </c>
      <c r="M94" s="30" t="n">
        <f aca="false">(INDEX(C93:H93,Assumptions!$C$126+1)-'Operating Model'!$B$42*(B$6/Assumptions!$C$7)*(1+Assumptions!$C$18+0)^Assumptions!$C$126)/($A$8+Returns!$B$35)*(1-Assumptions!$C$158)-G94</f>
        <v>5473567.45740764</v>
      </c>
    </row>
    <row r="95" customFormat="false" ht="15" hidden="false" customHeight="false" outlineLevel="0" collapsed="false">
      <c r="A95" s="2" t="s">
        <v>556</v>
      </c>
      <c r="C95" s="30" t="n">
        <f aca="false">IF('Operating Model'!B$4&lt;=Assumptions!$C$126,IF(Assumptions!$C$130=1,D94*Assumptions!$C$125+E94*Assumptions!$C$128,-PMT(Assumptions!$C$125,Assumptions!$C$111,D94)-PMT(Assumptions!$C$128,Assumptions!$C$111,E94)),IF(Assumptions!$C$136=1,0,IF('Operating Model'!B$4-Assumptions!$C$126&lt;='Debt (Assumed)'!$B$100,H94*'Debt (Assumed)'!$B$98,-PMT('Debt (Assumed)'!$B$98,Assumptions!$C$111,H94))))</f>
        <v>389146</v>
      </c>
      <c r="D95" s="30" t="n">
        <f aca="false">IF('Operating Model'!C$4&lt;=Assumptions!$C$126,IF(Assumptions!$C$130=1,D94*Assumptions!$C$125+E94*Assumptions!$C$128,-PMT(Assumptions!$C$125,Assumptions!$C$111,D94)-PMT(Assumptions!$C$128,Assumptions!$C$111,E94)),IF(Assumptions!$C$136=1,0,IF('Operating Model'!C$4-Assumptions!$C$126&lt;='Debt (Assumed)'!$B$100,H94*'Debt (Assumed)'!$B$98,-PMT('Debt (Assumed)'!$B$98,Assumptions!$C$111,H94))))</f>
        <v>389146</v>
      </c>
      <c r="E95" s="30" t="n">
        <f aca="false">IF('Operating Model'!D$4&lt;=Assumptions!$C$126,IF(Assumptions!$C$130=1,D94*Assumptions!$C$125+E94*Assumptions!$C$128,-PMT(Assumptions!$C$125,Assumptions!$C$111,D94)-PMT(Assumptions!$C$128,Assumptions!$C$111,E94)),IF(Assumptions!$C$136=1,0,IF('Operating Model'!D$4-Assumptions!$C$126&lt;='Debt (Assumed)'!$B$100,H94*'Debt (Assumed)'!$B$98,-PMT('Debt (Assumed)'!$B$98,Assumptions!$C$111,H94))))</f>
        <v>389146</v>
      </c>
      <c r="F95" s="30" t="n">
        <f aca="false">IF('Operating Model'!E$4&lt;=Assumptions!$C$126,IF(Assumptions!$C$130=1,D94*Assumptions!$C$125+E94*Assumptions!$C$128,-PMT(Assumptions!$C$125,Assumptions!$C$111,D94)-PMT(Assumptions!$C$128,Assumptions!$C$111,E94)),IF(Assumptions!$C$136=1,0,IF('Operating Model'!E$4-Assumptions!$C$126&lt;='Debt (Assumed)'!$B$100,H94*'Debt (Assumed)'!$B$98,-PMT('Debt (Assumed)'!$B$98,Assumptions!$C$111,H94))))</f>
        <v>602779.2371244</v>
      </c>
      <c r="G95" s="30" t="n">
        <f aca="false">IF('Operating Model'!F$4&lt;=Assumptions!$C$126,IF(Assumptions!$C$130=1,D94*Assumptions!$C$125+E94*Assumptions!$C$128,-PMT(Assumptions!$C$125,Assumptions!$C$111,D94)-PMT(Assumptions!$C$128,Assumptions!$C$111,E94)),IF(Assumptions!$C$136=1,0,IF('Operating Model'!F$4-Assumptions!$C$126&lt;='Debt (Assumed)'!$B$100,H94*'Debt (Assumed)'!$B$98,-PMT('Debt (Assumed)'!$B$98,Assumptions!$C$111,H94))))</f>
        <v>602779.2371244</v>
      </c>
    </row>
    <row r="96" customFormat="false" ht="15" hidden="false" customHeight="false" outlineLevel="0" collapsed="false">
      <c r="A96" s="2" t="s">
        <v>557</v>
      </c>
      <c r="B96" s="30" t="n">
        <f aca="false">-F94</f>
        <v>-3828915</v>
      </c>
      <c r="C96" s="30" t="n">
        <f aca="false">IF(AND(Assumptions!$C$136=1,'Operating Model'!B$4&gt;Assumptions!$C$126),0,'Operating Model'!B55+(C93-'Operating Model'!B49)-C95-IF('Operating Model'!B$4=Assumptions!$C$126,IF(Assumptions!$C$136=1,-M94,G94-H94+L94),0)+IF(AND(Assumptions!$C$136&lt;&gt;1,'Operating Model'!B$4=Assumptions!$C$154),K94,0))</f>
        <v>483645.021496</v>
      </c>
      <c r="D96" s="30" t="n">
        <f aca="false">IF(AND(Assumptions!$C$136=1,'Operating Model'!C$4&gt;Assumptions!$C$126),0,'Operating Model'!C55+(D93-'Operating Model'!C49)-D95-IF('Operating Model'!C$4=Assumptions!$C$126,IF(Assumptions!$C$136=1,-M94,G94-H94+L94),0)+IF(AND(Assumptions!$C$136&lt;&gt;1,'Operating Model'!C$4=Assumptions!$C$154),K94,0))</f>
        <v>361041.441866455</v>
      </c>
      <c r="E96" s="30" t="n">
        <f aca="false">IF(AND(Assumptions!$C$136=1,'Operating Model'!D$4&gt;Assumptions!$C$126),0,'Operating Model'!D55+(E93-'Operating Model'!D49)-E95-IF('Operating Model'!D$4=Assumptions!$C$126,IF(Assumptions!$C$136=1,-M94,G94-H94+L94),0)+IF(AND(Assumptions!$C$136&lt;&gt;1,'Operating Model'!D$4=Assumptions!$C$154),K94,0))</f>
        <v>52363.0061963619</v>
      </c>
      <c r="F96" s="30" t="n">
        <f aca="false">IF(AND(Assumptions!$C$136=1,'Operating Model'!E$4&gt;Assumptions!$C$126),0,'Operating Model'!E55+(F93-'Operating Model'!E49)-F95-IF('Operating Model'!E$4=Assumptions!$C$126,IF(Assumptions!$C$136=1,-M94,G94-H94+L94),0)+IF(AND(Assumptions!$C$136&lt;&gt;1,'Operating Model'!E$4=Assumptions!$C$154),K94,0))</f>
        <v>311508.68440446</v>
      </c>
      <c r="G96" s="30" t="n">
        <f aca="false">IF(AND(Assumptions!$C$136=1,'Operating Model'!F$4&gt;Assumptions!$C$126),0,'Operating Model'!F55+(G93-'Operating Model'!F49)-G95-IF('Operating Model'!F$4=Assumptions!$C$126,IF(Assumptions!$C$136=1,-M94,G94-H94+L94),0)+IF(AND(Assumptions!$C$136&lt;&gt;1,'Operating Model'!F$4=Assumptions!$C$154),K94,0))</f>
        <v>6537611.5135105</v>
      </c>
      <c r="H96" s="22" t="n">
        <f aca="false">IFERROR(IRR(B96:G96),"N/A")</f>
        <v>0.172053410306112</v>
      </c>
      <c r="I96" s="24" t="n">
        <f aca="false">SUM(C96:G96)/F94</f>
        <v>2.02307172331425</v>
      </c>
    </row>
    <row r="98" customFormat="false" ht="15" hidden="false" customHeight="false" outlineLevel="0" collapsed="false">
      <c r="A98" s="2" t="s">
        <v>558</v>
      </c>
      <c r="C98" s="30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98" s="30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98" s="30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98" s="30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98" s="30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98" s="30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98" s="30" t="n">
        <f aca="false">H98-'Operating Model'!$B$42*(C$6/Assumptions!$C$7)*(1+Assumptions!$C$18+0)^('Operating Model'!G$4-1)</f>
        <v>1209117.41207427</v>
      </c>
    </row>
    <row r="99" customFormat="false" ht="15" hidden="false" customHeight="false" outlineLevel="0" collapsed="false">
      <c r="A99" s="2" t="s">
        <v>559</v>
      </c>
      <c r="B99" s="30" t="n">
        <f aca="false">Assumptions!$C$7*(C$6/Assumptions!$C$7)</f>
        <v>13110000</v>
      </c>
      <c r="C99" s="30" t="n">
        <f aca="false">MAX(0,(Assumptions!$C$124+Assumptions!$C$127)-Assumptions!$C$132*B99)</f>
        <v>0</v>
      </c>
      <c r="D99" s="30" t="n">
        <f aca="false">Assumptions!$C$124-MAX(0,C99-Assumptions!$C$127)</f>
        <v>5887000</v>
      </c>
      <c r="E99" s="30" t="n">
        <f aca="false">Assumptions!$C$127-MIN(C99,Assumptions!$C$127)</f>
        <v>3563000</v>
      </c>
      <c r="F99" s="30" t="n">
        <f aca="false">B99*(1+Assumptions!$C$10)+'Unit Mix'!$D$18*1+(D99+E99)*Assumptions!$C$131-(D99+E99)</f>
        <v>4394940</v>
      </c>
      <c r="G99" s="30" t="n">
        <f aca="false">IF(Assumptions!$C$130=1,D99+E99,-FV(Assumptions!$C$125,Assumptions!$C$126,PMT(Assumptions!$C$125,Assumptions!$C$111,D99),D99)-FV(Assumptions!$C$128,Assumptions!$C$126,PMT(Assumptions!$C$128,Assumptions!$C$111,E99),E99))</f>
        <v>9450000</v>
      </c>
      <c r="H99" s="30" t="n">
        <f aca="false">MIN(INDEX(C98:H98,Assumptions!$C$126+1)/$A$8*Assumptions!$C$108,INDEX(C98:H98,Assumptions!$C$126+1)/(Assumptions!$C$109*-PMT('Debt (Assumed)'!$B$99,Assumptions!$C$111,1)))</f>
        <v>8821171.19739271</v>
      </c>
      <c r="I99" s="30" t="n">
        <f aca="false">IF(MAX(0,Assumptions!$C$154-Assumptions!$C$126-'Debt (Assumed)'!$B$100)=0,H99,-FV('Debt (Assumed)'!$B$98,MAX(0,Assumptions!$C$154-Assumptions!$C$126-'Debt (Assumed)'!$B$100),PMT('Debt (Assumed)'!$B$98,Assumptions!$C$111,H99),H99))</f>
        <v>8821171.19739271</v>
      </c>
      <c r="J99" s="30" t="n">
        <f aca="false">I99*'Debt (Assumed)'!$B$102</f>
        <v>0</v>
      </c>
      <c r="K99" s="30" t="n">
        <f aca="false">I98/($A$8+Returns!$B$35)*(1-Assumptions!$C$158)-I99-J99</f>
        <v>6342047.90435533</v>
      </c>
      <c r="L99" s="30" t="n">
        <f aca="false">H99*'Debt (Assumed)'!$B$101</f>
        <v>95268.6489318413</v>
      </c>
      <c r="M99" s="30" t="n">
        <f aca="false">(INDEX(C98:H98,Assumptions!$C$126+1)-'Operating Model'!$B$42*(C$6/Assumptions!$C$7)*(1+Assumptions!$C$18+0)^Assumptions!$C$126)/($A$8+Returns!$B$35)*(1-Assumptions!$C$158)-G99</f>
        <v>5338567.45740764</v>
      </c>
    </row>
    <row r="100" customFormat="false" ht="15" hidden="false" customHeight="false" outlineLevel="0" collapsed="false">
      <c r="A100" s="2" t="s">
        <v>560</v>
      </c>
      <c r="C100" s="30" t="n">
        <f aca="false">IF('Operating Model'!B$4&lt;=Assumptions!$C$126,IF(Assumptions!$C$130=1,D99*Assumptions!$C$125+E99*Assumptions!$C$128,-PMT(Assumptions!$C$125,Assumptions!$C$111,D99)-PMT(Assumptions!$C$128,Assumptions!$C$111,E99)),IF(Assumptions!$C$136=1,0,IF('Operating Model'!B$4-Assumptions!$C$126&lt;='Debt (Assumed)'!$B$100,H99*'Debt (Assumed)'!$B$98,-PMT('Debt (Assumed)'!$B$98,Assumptions!$C$111,H99))))</f>
        <v>397516</v>
      </c>
      <c r="D100" s="30" t="n">
        <f aca="false">IF('Operating Model'!C$4&lt;=Assumptions!$C$126,IF(Assumptions!$C$130=1,D99*Assumptions!$C$125+E99*Assumptions!$C$128,-PMT(Assumptions!$C$125,Assumptions!$C$111,D99)-PMT(Assumptions!$C$128,Assumptions!$C$111,E99)),IF(Assumptions!$C$136=1,0,IF('Operating Model'!C$4-Assumptions!$C$126&lt;='Debt (Assumed)'!$B$100,H99*'Debt (Assumed)'!$B$98,-PMT('Debt (Assumed)'!$B$98,Assumptions!$C$111,H99))))</f>
        <v>397516</v>
      </c>
      <c r="E100" s="30" t="n">
        <f aca="false">IF('Operating Model'!D$4&lt;=Assumptions!$C$126,IF(Assumptions!$C$130=1,D99*Assumptions!$C$125+E99*Assumptions!$C$128,-PMT(Assumptions!$C$125,Assumptions!$C$111,D99)-PMT(Assumptions!$C$128,Assumptions!$C$111,E99)),IF(Assumptions!$C$136=1,0,IF('Operating Model'!D$4-Assumptions!$C$126&lt;='Debt (Assumed)'!$B$100,H99*'Debt (Assumed)'!$B$98,-PMT('Debt (Assumed)'!$B$98,Assumptions!$C$111,H99))))</f>
        <v>397516</v>
      </c>
      <c r="F100" s="30" t="n">
        <f aca="false">IF('Operating Model'!E$4&lt;=Assumptions!$C$126,IF(Assumptions!$C$130=1,D99*Assumptions!$C$125+E99*Assumptions!$C$128,-PMT(Assumptions!$C$125,Assumptions!$C$111,D99)-PMT(Assumptions!$C$128,Assumptions!$C$111,E99)),IF(Assumptions!$C$136=1,0,IF('Operating Model'!E$4-Assumptions!$C$126&lt;='Debt (Assumed)'!$B$100,H99*'Debt (Assumed)'!$B$98,-PMT('Debt (Assumed)'!$B$98,Assumptions!$C$111,H99))))</f>
        <v>594546.938704269</v>
      </c>
      <c r="G100" s="30" t="n">
        <f aca="false">IF('Operating Model'!F$4&lt;=Assumptions!$C$126,IF(Assumptions!$C$130=1,D99*Assumptions!$C$125+E99*Assumptions!$C$128,-PMT(Assumptions!$C$125,Assumptions!$C$111,D99)-PMT(Assumptions!$C$128,Assumptions!$C$111,E99)),IF(Assumptions!$C$136=1,0,IF('Operating Model'!F$4-Assumptions!$C$126&lt;='Debt (Assumed)'!$B$100,H99*'Debt (Assumed)'!$B$98,-PMT('Debt (Assumed)'!$B$98,Assumptions!$C$111,H99))))</f>
        <v>594546.938704269</v>
      </c>
    </row>
    <row r="101" customFormat="false" ht="15" hidden="false" customHeight="false" outlineLevel="0" collapsed="false">
      <c r="A101" s="2" t="s">
        <v>561</v>
      </c>
      <c r="B101" s="30" t="n">
        <f aca="false">-F99</f>
        <v>-4394940</v>
      </c>
      <c r="C101" s="30" t="n">
        <f aca="false">IF(AND(Assumptions!$C$136=1,'Operating Model'!B$4&gt;Assumptions!$C$126),0,'Operating Model'!B55+(C98-'Operating Model'!B49)-C100-IF('Operating Model'!B$4=Assumptions!$C$126,IF(Assumptions!$C$136=1,-M99,G99-H99+L99),0)+IF(AND(Assumptions!$C$136&lt;&gt;1,'Operating Model'!B$4=Assumptions!$C$154),K99,0))</f>
        <v>463444.729996</v>
      </c>
      <c r="D101" s="30" t="n">
        <f aca="false">IF(AND(Assumptions!$C$136=1,'Operating Model'!C$4&gt;Assumptions!$C$126),0,'Operating Model'!C55+(D98-'Operating Model'!C49)-D100-IF('Operating Model'!C$4=Assumptions!$C$126,IF(Assumptions!$C$136=1,-M99,G99-H99+L99),0)+IF(AND(Assumptions!$C$136&lt;&gt;1,'Operating Model'!C$4=Assumptions!$C$154),K99,0))</f>
        <v>340486.241621455</v>
      </c>
      <c r="E101" s="30" t="n">
        <f aca="false">IF(AND(Assumptions!$C$136=1,'Operating Model'!D$4&gt;Assumptions!$C$126),0,'Operating Model'!D55+(E98-'Operating Model'!D49)-E100-IF('Operating Model'!D$4=Assumptions!$C$126,IF(Assumptions!$C$136=1,-M99,G99-H99+L99),0)+IF(AND(Assumptions!$C$136&lt;&gt;1,'Operating Model'!D$4=Assumptions!$C$154),K99,0))</f>
        <v>-224379.554168657</v>
      </c>
      <c r="F101" s="30" t="n">
        <f aca="false">IF(AND(Assumptions!$C$136=1,'Operating Model'!E$4&gt;Assumptions!$C$126),0,'Operating Model'!E55+(F98-'Operating Model'!E49)-F100-IF('Operating Model'!E$4=Assumptions!$C$126,IF(Assumptions!$C$136=1,-M99,G99-H99+L99),0)+IF(AND(Assumptions!$C$136&lt;&gt;1,'Operating Model'!E$4=Assumptions!$C$154),K99,0))</f>
        <v>306813.703884671</v>
      </c>
      <c r="G101" s="30" t="n">
        <f aca="false">IF(AND(Assumptions!$C$136=1,'Operating Model'!F$4&gt;Assumptions!$C$126),0,'Operating Model'!F55+(G98-'Operating Model'!F49)-G100-IF('Operating Model'!F$4=Assumptions!$C$126,IF(Assumptions!$C$136=1,-M99,G99-H99+L99),0)+IF(AND(Assumptions!$C$136&lt;&gt;1,'Operating Model'!F$4=Assumptions!$C$154),K99,0))</f>
        <v>6654669.64073722</v>
      </c>
      <c r="H101" s="22" t="n">
        <f aca="false">IFERROR(IRR(B101:G101),"N/A")</f>
        <v>0.125735463362739</v>
      </c>
      <c r="I101" s="24" t="n">
        <f aca="false">SUM(C101:G101)/F99</f>
        <v>1.7158447583063</v>
      </c>
    </row>
    <row r="103" customFormat="false" ht="15" hidden="false" customHeight="false" outlineLevel="0" collapsed="false">
      <c r="A103" s="2" t="s">
        <v>562</v>
      </c>
      <c r="C103" s="30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03" s="30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03" s="30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03" s="30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03" s="30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03" s="30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03" s="30" t="n">
        <f aca="false">H103-'Operating Model'!$B$42*(D$6/Assumptions!$C$7)*(1+Assumptions!$C$18+0)^('Operating Model'!G$4-1)</f>
        <v>1209117.41207427</v>
      </c>
    </row>
    <row r="104" customFormat="false" ht="15" hidden="false" customHeight="false" outlineLevel="0" collapsed="false">
      <c r="A104" s="2" t="s">
        <v>563</v>
      </c>
      <c r="B104" s="30" t="n">
        <f aca="false">Assumptions!$C$7*(D$6/Assumptions!$C$7)</f>
        <v>13800000</v>
      </c>
      <c r="C104" s="30" t="n">
        <f aca="false">MAX(0,(Assumptions!$C$124+Assumptions!$C$127)-Assumptions!$C$132*B104)</f>
        <v>0</v>
      </c>
      <c r="D104" s="30" t="n">
        <f aca="false">Assumptions!$C$124-MAX(0,C104-Assumptions!$C$127)</f>
        <v>5887000</v>
      </c>
      <c r="E104" s="30" t="n">
        <f aca="false">Assumptions!$C$127-MIN(C104,Assumptions!$C$127)</f>
        <v>3563000</v>
      </c>
      <c r="F104" s="30" t="n">
        <f aca="false">B104*(1+Assumptions!$C$10)+'Unit Mix'!$D$18*1+(D104+E104)*Assumptions!$C$131-(D104+E104)</f>
        <v>5095290</v>
      </c>
      <c r="G104" s="30" t="n">
        <f aca="false">IF(Assumptions!$C$130=1,D104+E104,-FV(Assumptions!$C$125,Assumptions!$C$126,PMT(Assumptions!$C$125,Assumptions!$C$111,D104),D104)-FV(Assumptions!$C$128,Assumptions!$C$126,PMT(Assumptions!$C$128,Assumptions!$C$111,E104),E104))</f>
        <v>9450000</v>
      </c>
      <c r="H104" s="30" t="n">
        <f aca="false">MIN(INDEX(C103:H103,Assumptions!$C$126+1)/$A$8*Assumptions!$C$108,INDEX(C103:H103,Assumptions!$C$126+1)/(Assumptions!$C$109*-PMT('Debt (Assumed)'!$B$99,Assumptions!$C$111,1)))</f>
        <v>8699030.271278</v>
      </c>
      <c r="I104" s="30" t="n">
        <f aca="false">IF(MAX(0,Assumptions!$C$154-Assumptions!$C$126-'Debt (Assumed)'!$B$100)=0,H104,-FV('Debt (Assumed)'!$B$98,MAX(0,Assumptions!$C$154-Assumptions!$C$126-'Debt (Assumed)'!$B$100),PMT('Debt (Assumed)'!$B$98,Assumptions!$C$111,H104),H104))</f>
        <v>8699030.271278</v>
      </c>
      <c r="J104" s="30" t="n">
        <f aca="false">I104*'Debt (Assumed)'!$B$102</f>
        <v>0</v>
      </c>
      <c r="K104" s="30" t="n">
        <f aca="false">I103/($A$8+Returns!$B$35)*(1-Assumptions!$C$158)-I104-J104</f>
        <v>6464188.83047004</v>
      </c>
      <c r="L104" s="30" t="n">
        <f aca="false">H104*'Debt (Assumed)'!$B$101</f>
        <v>93949.5269298024</v>
      </c>
      <c r="M104" s="30" t="n">
        <f aca="false">(INDEX(C103:H103,Assumptions!$C$126+1)-'Operating Model'!$B$42*(D$6/Assumptions!$C$7)*(1+Assumptions!$C$18+0)^Assumptions!$C$126)/($A$8+Returns!$B$35)*(1-Assumptions!$C$158)-G104</f>
        <v>5338567.45740764</v>
      </c>
    </row>
    <row r="105" customFormat="false" ht="15" hidden="false" customHeight="false" outlineLevel="0" collapsed="false">
      <c r="A105" s="2" t="s">
        <v>564</v>
      </c>
      <c r="C105" s="30" t="n">
        <f aca="false">IF('Operating Model'!B$4&lt;=Assumptions!$C$126,IF(Assumptions!$C$130=1,D104*Assumptions!$C$125+E104*Assumptions!$C$128,-PMT(Assumptions!$C$125,Assumptions!$C$111,D104)-PMT(Assumptions!$C$128,Assumptions!$C$111,E104)),IF(Assumptions!$C$136=1,0,IF('Operating Model'!B$4-Assumptions!$C$126&lt;='Debt (Assumed)'!$B$100,H104*'Debt (Assumed)'!$B$98,-PMT('Debt (Assumed)'!$B$98,Assumptions!$C$111,H104))))</f>
        <v>397516</v>
      </c>
      <c r="D105" s="30" t="n">
        <f aca="false">IF('Operating Model'!C$4&lt;=Assumptions!$C$126,IF(Assumptions!$C$130=1,D104*Assumptions!$C$125+E104*Assumptions!$C$128,-PMT(Assumptions!$C$125,Assumptions!$C$111,D104)-PMT(Assumptions!$C$128,Assumptions!$C$111,E104)),IF(Assumptions!$C$136=1,0,IF('Operating Model'!C$4-Assumptions!$C$126&lt;='Debt (Assumed)'!$B$100,H104*'Debt (Assumed)'!$B$98,-PMT('Debt (Assumed)'!$B$98,Assumptions!$C$111,H104))))</f>
        <v>397516</v>
      </c>
      <c r="E105" s="30" t="n">
        <f aca="false">IF('Operating Model'!D$4&lt;=Assumptions!$C$126,IF(Assumptions!$C$130=1,D104*Assumptions!$C$125+E104*Assumptions!$C$128,-PMT(Assumptions!$C$125,Assumptions!$C$111,D104)-PMT(Assumptions!$C$128,Assumptions!$C$111,E104)),IF(Assumptions!$C$136=1,0,IF('Operating Model'!D$4-Assumptions!$C$126&lt;='Debt (Assumed)'!$B$100,H104*'Debt (Assumed)'!$B$98,-PMT('Debt (Assumed)'!$B$98,Assumptions!$C$111,H104))))</f>
        <v>397516</v>
      </c>
      <c r="F105" s="30" t="n">
        <f aca="false">IF('Operating Model'!E$4&lt;=Assumptions!$C$126,IF(Assumptions!$C$130=1,D104*Assumptions!$C$125+E104*Assumptions!$C$128,-PMT(Assumptions!$C$125,Assumptions!$C$111,D104)-PMT(Assumptions!$C$128,Assumptions!$C$111,E104)),IF(Assumptions!$C$136=1,0,IF('Operating Model'!E$4-Assumptions!$C$126&lt;='Debt (Assumed)'!$B$100,H104*'Debt (Assumed)'!$B$98,-PMT('Debt (Assumed)'!$B$98,Assumptions!$C$111,H104))))</f>
        <v>586314.640284137</v>
      </c>
      <c r="G105" s="30" t="n">
        <f aca="false">IF('Operating Model'!F$4&lt;=Assumptions!$C$126,IF(Assumptions!$C$130=1,D104*Assumptions!$C$125+E104*Assumptions!$C$128,-PMT(Assumptions!$C$125,Assumptions!$C$111,D104)-PMT(Assumptions!$C$128,Assumptions!$C$111,E104)),IF(Assumptions!$C$136=1,0,IF('Operating Model'!F$4-Assumptions!$C$126&lt;='Debt (Assumed)'!$B$100,H104*'Debt (Assumed)'!$B$98,-PMT('Debt (Assumed)'!$B$98,Assumptions!$C$111,H104))))</f>
        <v>586314.640284137</v>
      </c>
    </row>
    <row r="106" customFormat="false" ht="15" hidden="false" customHeight="false" outlineLevel="0" collapsed="false">
      <c r="A106" s="2" t="s">
        <v>565</v>
      </c>
      <c r="B106" s="30" t="n">
        <f aca="false">-F104</f>
        <v>-5095290</v>
      </c>
      <c r="C106" s="30" t="n">
        <f aca="false">IF(AND(Assumptions!$C$136=1,'Operating Model'!B$4&gt;Assumptions!$C$126),0,'Operating Model'!B55+(C103-'Operating Model'!B49)-C105-IF('Operating Model'!B$4=Assumptions!$C$126,IF(Assumptions!$C$136=1,-M104,G104-H104+L104),0)+IF(AND(Assumptions!$C$136&lt;&gt;1,'Operating Model'!B$4=Assumptions!$C$154),K104,0))</f>
        <v>451614.438496</v>
      </c>
      <c r="D106" s="30" t="n">
        <f aca="false">IF(AND(Assumptions!$C$136=1,'Operating Model'!C$4&gt;Assumptions!$C$126),0,'Operating Model'!C55+(D103-'Operating Model'!C49)-D105-IF('Operating Model'!C$4=Assumptions!$C$126,IF(Assumptions!$C$136=1,-M104,G104-H104+L104),0)+IF(AND(Assumptions!$C$136&lt;&gt;1,'Operating Model'!C$4=Assumptions!$C$154),K104,0))</f>
        <v>328301.041376455</v>
      </c>
      <c r="E106" s="30" t="n">
        <f aca="false">IF(AND(Assumptions!$C$136=1,'Operating Model'!D$4&gt;Assumptions!$C$126),0,'Operating Model'!D55+(E103-'Operating Model'!D49)-E105-IF('Operating Model'!D$4=Assumptions!$C$126,IF(Assumptions!$C$136=1,-M104,G104-H104+L104),0)+IF(AND(Assumptions!$C$136&lt;&gt;1,'Operating Model'!D$4=Assumptions!$C$154),K104,0))</f>
        <v>-357752.114533679</v>
      </c>
      <c r="F106" s="30" t="n">
        <f aca="false">IF(AND(Assumptions!$C$136=1,'Operating Model'!E$4&gt;Assumptions!$C$126),0,'Operating Model'!E55+(F103-'Operating Model'!E49)-F105-IF('Operating Model'!E$4=Assumptions!$C$126,IF(Assumptions!$C$136=1,-M104,G104-H104+L104),0)+IF(AND(Assumptions!$C$136&lt;&gt;1,'Operating Model'!E$4=Assumptions!$C$154),K104,0))</f>
        <v>302118.723364882</v>
      </c>
      <c r="G106" s="30" t="n">
        <f aca="false">IF(AND(Assumptions!$C$136=1,'Operating Model'!F$4&gt;Assumptions!$C$126),0,'Operating Model'!F55+(G103-'Operating Model'!F49)-G105-IF('Operating Model'!F$4=Assumptions!$C$126,IF(Assumptions!$C$136=1,-M104,G104-H104+L104),0)+IF(AND(Assumptions!$C$136&lt;&gt;1,'Operating Model'!F$4=Assumptions!$C$154),K104,0))</f>
        <v>6771727.76796395</v>
      </c>
      <c r="H106" s="22" t="n">
        <f aca="false">IFERROR(IRR(B106:G106),"N/A")</f>
        <v>0.0869121658278733</v>
      </c>
      <c r="I106" s="24" t="n">
        <f aca="false">SUM(C106:G106)/F104</f>
        <v>1.47116451795042</v>
      </c>
    </row>
    <row r="108" customFormat="false" ht="15" hidden="false" customHeight="false" outlineLevel="0" collapsed="false">
      <c r="A108" s="2" t="s">
        <v>566</v>
      </c>
      <c r="C108" s="30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08" s="30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08" s="30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08" s="30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08" s="30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08" s="30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08" s="30" t="n">
        <f aca="false">H108-'Operating Model'!$B$42*(E$6/Assumptions!$C$7)*(1+Assumptions!$C$18+0)^('Operating Model'!G$4-1)</f>
        <v>1209117.41207427</v>
      </c>
    </row>
    <row r="109" customFormat="false" ht="15" hidden="false" customHeight="false" outlineLevel="0" collapsed="false">
      <c r="A109" s="2" t="s">
        <v>567</v>
      </c>
      <c r="B109" s="30" t="n">
        <f aca="false">Assumptions!$C$7*(E$6/Assumptions!$C$7)</f>
        <v>14490000</v>
      </c>
      <c r="C109" s="30" t="n">
        <f aca="false">MAX(0,(Assumptions!$C$124+Assumptions!$C$127)-Assumptions!$C$132*B109)</f>
        <v>0</v>
      </c>
      <c r="D109" s="30" t="n">
        <f aca="false">Assumptions!$C$124-MAX(0,C109-Assumptions!$C$127)</f>
        <v>5887000</v>
      </c>
      <c r="E109" s="30" t="n">
        <f aca="false">Assumptions!$C$127-MIN(C109,Assumptions!$C$127)</f>
        <v>3563000</v>
      </c>
      <c r="F109" s="30" t="n">
        <f aca="false">B109*(1+Assumptions!$C$10)+'Unit Mix'!$D$18*1+(D109+E109)*Assumptions!$C$131-(D109+E109)</f>
        <v>5795640</v>
      </c>
      <c r="G109" s="30" t="n">
        <f aca="false">IF(Assumptions!$C$130=1,D109+E109,-FV(Assumptions!$C$125,Assumptions!$C$126,PMT(Assumptions!$C$125,Assumptions!$C$111,D109),D109)-FV(Assumptions!$C$128,Assumptions!$C$126,PMT(Assumptions!$C$128,Assumptions!$C$111,E109),E109))</f>
        <v>9450000</v>
      </c>
      <c r="H109" s="30" t="n">
        <f aca="false">MIN(INDEX(C108:H108,Assumptions!$C$126+1)/$A$8*Assumptions!$C$108,INDEX(C108:H108,Assumptions!$C$126+1)/(Assumptions!$C$109*-PMT('Debt (Assumed)'!$B$99,Assumptions!$C$111,1)))</f>
        <v>8576889.34516329</v>
      </c>
      <c r="I109" s="30" t="n">
        <f aca="false">IF(MAX(0,Assumptions!$C$154-Assumptions!$C$126-'Debt (Assumed)'!$B$100)=0,H109,-FV('Debt (Assumed)'!$B$98,MAX(0,Assumptions!$C$154-Assumptions!$C$126-'Debt (Assumed)'!$B$100),PMT('Debt (Assumed)'!$B$98,Assumptions!$C$111,H109),H109))</f>
        <v>8576889.34516329</v>
      </c>
      <c r="J109" s="30" t="n">
        <f aca="false">I109*'Debt (Assumed)'!$B$102</f>
        <v>0</v>
      </c>
      <c r="K109" s="30" t="n">
        <f aca="false">I108/($A$8+Returns!$B$35)*(1-Assumptions!$C$158)-I109-J109</f>
        <v>6586329.75658475</v>
      </c>
      <c r="L109" s="30" t="n">
        <f aca="false">H109*'Debt (Assumed)'!$B$101</f>
        <v>92630.4049277635</v>
      </c>
      <c r="M109" s="30" t="n">
        <f aca="false">(INDEX(C108:H108,Assumptions!$C$126+1)-'Operating Model'!$B$42*(E$6/Assumptions!$C$7)*(1+Assumptions!$C$18+0)^Assumptions!$C$126)/($A$8+Returns!$B$35)*(1-Assumptions!$C$158)-G109</f>
        <v>5338567.45740764</v>
      </c>
    </row>
    <row r="110" customFormat="false" ht="15" hidden="false" customHeight="false" outlineLevel="0" collapsed="false">
      <c r="A110" s="2" t="s">
        <v>568</v>
      </c>
      <c r="C110" s="30" t="n">
        <f aca="false">IF('Operating Model'!B$4&lt;=Assumptions!$C$126,IF(Assumptions!$C$130=1,D109*Assumptions!$C$125+E109*Assumptions!$C$128,-PMT(Assumptions!$C$125,Assumptions!$C$111,D109)-PMT(Assumptions!$C$128,Assumptions!$C$111,E109)),IF(Assumptions!$C$136=1,0,IF('Operating Model'!B$4-Assumptions!$C$126&lt;='Debt (Assumed)'!$B$100,H109*'Debt (Assumed)'!$B$98,-PMT('Debt (Assumed)'!$B$98,Assumptions!$C$111,H109))))</f>
        <v>397516</v>
      </c>
      <c r="D110" s="30" t="n">
        <f aca="false">IF('Operating Model'!C$4&lt;=Assumptions!$C$126,IF(Assumptions!$C$130=1,D109*Assumptions!$C$125+E109*Assumptions!$C$128,-PMT(Assumptions!$C$125,Assumptions!$C$111,D109)-PMT(Assumptions!$C$128,Assumptions!$C$111,E109)),IF(Assumptions!$C$136=1,0,IF('Operating Model'!C$4-Assumptions!$C$126&lt;='Debt (Assumed)'!$B$100,H109*'Debt (Assumed)'!$B$98,-PMT('Debt (Assumed)'!$B$98,Assumptions!$C$111,H109))))</f>
        <v>397516</v>
      </c>
      <c r="E110" s="30" t="n">
        <f aca="false">IF('Operating Model'!D$4&lt;=Assumptions!$C$126,IF(Assumptions!$C$130=1,D109*Assumptions!$C$125+E109*Assumptions!$C$128,-PMT(Assumptions!$C$125,Assumptions!$C$111,D109)-PMT(Assumptions!$C$128,Assumptions!$C$111,E109)),IF(Assumptions!$C$136=1,0,IF('Operating Model'!D$4-Assumptions!$C$126&lt;='Debt (Assumed)'!$B$100,H109*'Debt (Assumed)'!$B$98,-PMT('Debt (Assumed)'!$B$98,Assumptions!$C$111,H109))))</f>
        <v>397516</v>
      </c>
      <c r="F110" s="30" t="n">
        <f aca="false">IF('Operating Model'!E$4&lt;=Assumptions!$C$126,IF(Assumptions!$C$130=1,D109*Assumptions!$C$125+E109*Assumptions!$C$128,-PMT(Assumptions!$C$125,Assumptions!$C$111,D109)-PMT(Assumptions!$C$128,Assumptions!$C$111,E109)),IF(Assumptions!$C$136=1,0,IF('Operating Model'!E$4-Assumptions!$C$126&lt;='Debt (Assumed)'!$B$100,H109*'Debt (Assumed)'!$B$98,-PMT('Debt (Assumed)'!$B$98,Assumptions!$C$111,H109))))</f>
        <v>578082.341864006</v>
      </c>
      <c r="G110" s="30" t="n">
        <f aca="false">IF('Operating Model'!F$4&lt;=Assumptions!$C$126,IF(Assumptions!$C$130=1,D109*Assumptions!$C$125+E109*Assumptions!$C$128,-PMT(Assumptions!$C$125,Assumptions!$C$111,D109)-PMT(Assumptions!$C$128,Assumptions!$C$111,E109)),IF(Assumptions!$C$136=1,0,IF('Operating Model'!F$4-Assumptions!$C$126&lt;='Debt (Assumed)'!$B$100,H109*'Debt (Assumed)'!$B$98,-PMT('Debt (Assumed)'!$B$98,Assumptions!$C$111,H109))))</f>
        <v>578082.341864006</v>
      </c>
    </row>
    <row r="111" customFormat="false" ht="15" hidden="false" customHeight="false" outlineLevel="0" collapsed="false">
      <c r="A111" s="2" t="s">
        <v>569</v>
      </c>
      <c r="B111" s="30" t="n">
        <f aca="false">-F109</f>
        <v>-5795640</v>
      </c>
      <c r="C111" s="30" t="n">
        <f aca="false">IF(AND(Assumptions!$C$136=1,'Operating Model'!B$4&gt;Assumptions!$C$126),0,'Operating Model'!B55+(C108-'Operating Model'!B49)-C110-IF('Operating Model'!B$4=Assumptions!$C$126,IF(Assumptions!$C$136=1,-M109,G109-H109+L109),0)+IF(AND(Assumptions!$C$136&lt;&gt;1,'Operating Model'!B$4=Assumptions!$C$154),K109,0))</f>
        <v>439784.146996</v>
      </c>
      <c r="D111" s="30" t="n">
        <f aca="false">IF(AND(Assumptions!$C$136=1,'Operating Model'!C$4&gt;Assumptions!$C$126),0,'Operating Model'!C55+(D108-'Operating Model'!C49)-D110-IF('Operating Model'!C$4=Assumptions!$C$126,IF(Assumptions!$C$136=1,-M109,G109-H109+L109),0)+IF(AND(Assumptions!$C$136&lt;&gt;1,'Operating Model'!C$4=Assumptions!$C$154),K109,0))</f>
        <v>316115.841131455</v>
      </c>
      <c r="E111" s="30" t="n">
        <f aca="false">IF(AND(Assumptions!$C$136=1,'Operating Model'!D$4&gt;Assumptions!$C$126),0,'Operating Model'!D55+(E108-'Operating Model'!D49)-E110-IF('Operating Model'!D$4=Assumptions!$C$126,IF(Assumptions!$C$136=1,-M109,G109-H109+L109),0)+IF(AND(Assumptions!$C$136&lt;&gt;1,'Operating Model'!D$4=Assumptions!$C$154),K109,0))</f>
        <v>-491124.674898698</v>
      </c>
      <c r="F111" s="30" t="n">
        <f aca="false">IF(AND(Assumptions!$C$136=1,'Operating Model'!E$4&gt;Assumptions!$C$126),0,'Operating Model'!E55+(F108-'Operating Model'!E49)-F110-IF('Operating Model'!E$4=Assumptions!$C$126,IF(Assumptions!$C$136=1,-M109,G109-H109+L109),0)+IF(AND(Assumptions!$C$136&lt;&gt;1,'Operating Model'!E$4=Assumptions!$C$154),K109,0))</f>
        <v>297423.742845092</v>
      </c>
      <c r="G111" s="30" t="n">
        <f aca="false">IF(AND(Assumptions!$C$136=1,'Operating Model'!F$4&gt;Assumptions!$C$126),0,'Operating Model'!F55+(G108-'Operating Model'!F49)-G110-IF('Operating Model'!F$4=Assumptions!$C$126,IF(Assumptions!$C$136=1,-M109,G109-H109+L109),0)+IF(AND(Assumptions!$C$136&lt;&gt;1,'Operating Model'!F$4=Assumptions!$C$154),K109,0))</f>
        <v>6888785.89519067</v>
      </c>
      <c r="H111" s="22" t="n">
        <f aca="false">IFERROR(IRR(B111:G111),"N/A")</f>
        <v>0.0549187126422431</v>
      </c>
      <c r="I111" s="24" t="n">
        <f aca="false">SUM(C111:G111)/F109</f>
        <v>1.28561900864521</v>
      </c>
    </row>
    <row r="113" customFormat="false" ht="15" hidden="false" customHeight="false" outlineLevel="0" collapsed="false">
      <c r="A113" s="2" t="s">
        <v>570</v>
      </c>
      <c r="C113" s="30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13" s="30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13" s="30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13" s="30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13" s="30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13" s="30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13" s="30" t="n">
        <f aca="false">H113-'Operating Model'!$B$42*(F$6/Assumptions!$C$7)*(1+Assumptions!$C$18+0)^('Operating Model'!G$4-1)</f>
        <v>1209117.41207427</v>
      </c>
    </row>
    <row r="114" customFormat="false" ht="15" hidden="false" customHeight="false" outlineLevel="0" collapsed="false">
      <c r="A114" s="2" t="s">
        <v>571</v>
      </c>
      <c r="B114" s="30" t="n">
        <f aca="false">Assumptions!$C$7*(F$6/Assumptions!$C$7)</f>
        <v>15180000</v>
      </c>
      <c r="C114" s="30" t="n">
        <f aca="false">MAX(0,(Assumptions!$C$124+Assumptions!$C$127)-Assumptions!$C$132*B114)</f>
        <v>0</v>
      </c>
      <c r="D114" s="30" t="n">
        <f aca="false">Assumptions!$C$124-MAX(0,C114-Assumptions!$C$127)</f>
        <v>5887000</v>
      </c>
      <c r="E114" s="30" t="n">
        <f aca="false">Assumptions!$C$127-MIN(C114,Assumptions!$C$127)</f>
        <v>3563000</v>
      </c>
      <c r="F114" s="30" t="n">
        <f aca="false">B114*(1+Assumptions!$C$10)+'Unit Mix'!$D$18*1+(D114+E114)*Assumptions!$C$131-(D114+E114)</f>
        <v>6495990</v>
      </c>
      <c r="G114" s="30" t="n">
        <f aca="false">IF(Assumptions!$C$130=1,D114+E114,-FV(Assumptions!$C$125,Assumptions!$C$126,PMT(Assumptions!$C$125,Assumptions!$C$111,D114),D114)-FV(Assumptions!$C$128,Assumptions!$C$126,PMT(Assumptions!$C$128,Assumptions!$C$111,E114),E114))</f>
        <v>9450000</v>
      </c>
      <c r="H114" s="30" t="n">
        <f aca="false">MIN(INDEX(C113:H113,Assumptions!$C$126+1)/$A$8*Assumptions!$C$108,INDEX(C113:H113,Assumptions!$C$126+1)/(Assumptions!$C$109*-PMT('Debt (Assumed)'!$B$99,Assumptions!$C$111,1)))</f>
        <v>8454748.41904858</v>
      </c>
      <c r="I114" s="30" t="n">
        <f aca="false">IF(MAX(0,Assumptions!$C$154-Assumptions!$C$126-'Debt (Assumed)'!$B$100)=0,H114,-FV('Debt (Assumed)'!$B$98,MAX(0,Assumptions!$C$154-Assumptions!$C$126-'Debt (Assumed)'!$B$100),PMT('Debt (Assumed)'!$B$98,Assumptions!$C$111,H114),H114))</f>
        <v>8454748.41904858</v>
      </c>
      <c r="J114" s="30" t="n">
        <f aca="false">I114*'Debt (Assumed)'!$B$102</f>
        <v>0</v>
      </c>
      <c r="K114" s="30" t="n">
        <f aca="false">I113/($A$8+Returns!$B$35)*(1-Assumptions!$C$158)-I114-J114</f>
        <v>6708470.68269945</v>
      </c>
      <c r="L114" s="30" t="n">
        <f aca="false">H114*'Debt (Assumed)'!$B$101</f>
        <v>91311.2829257247</v>
      </c>
      <c r="M114" s="30" t="n">
        <f aca="false">(INDEX(C113:H113,Assumptions!$C$126+1)-'Operating Model'!$B$42*(F$6/Assumptions!$C$7)*(1+Assumptions!$C$18+0)^Assumptions!$C$126)/($A$8+Returns!$B$35)*(1-Assumptions!$C$158)-G114</f>
        <v>5338567.45740764</v>
      </c>
    </row>
    <row r="115" customFormat="false" ht="15" hidden="false" customHeight="false" outlineLevel="0" collapsed="false">
      <c r="A115" s="2" t="s">
        <v>572</v>
      </c>
      <c r="C115" s="30" t="n">
        <f aca="false">IF('Operating Model'!B$4&lt;=Assumptions!$C$126,IF(Assumptions!$C$130=1,D114*Assumptions!$C$125+E114*Assumptions!$C$128,-PMT(Assumptions!$C$125,Assumptions!$C$111,D114)-PMT(Assumptions!$C$128,Assumptions!$C$111,E114)),IF(Assumptions!$C$136=1,0,IF('Operating Model'!B$4-Assumptions!$C$126&lt;='Debt (Assumed)'!$B$100,H114*'Debt (Assumed)'!$B$98,-PMT('Debt (Assumed)'!$B$98,Assumptions!$C$111,H114))))</f>
        <v>397516</v>
      </c>
      <c r="D115" s="30" t="n">
        <f aca="false">IF('Operating Model'!C$4&lt;=Assumptions!$C$126,IF(Assumptions!$C$130=1,D114*Assumptions!$C$125+E114*Assumptions!$C$128,-PMT(Assumptions!$C$125,Assumptions!$C$111,D114)-PMT(Assumptions!$C$128,Assumptions!$C$111,E114)),IF(Assumptions!$C$136=1,0,IF('Operating Model'!C$4-Assumptions!$C$126&lt;='Debt (Assumed)'!$B$100,H114*'Debt (Assumed)'!$B$98,-PMT('Debt (Assumed)'!$B$98,Assumptions!$C$111,H114))))</f>
        <v>397516</v>
      </c>
      <c r="E115" s="30" t="n">
        <f aca="false">IF('Operating Model'!D$4&lt;=Assumptions!$C$126,IF(Assumptions!$C$130=1,D114*Assumptions!$C$125+E114*Assumptions!$C$128,-PMT(Assumptions!$C$125,Assumptions!$C$111,D114)-PMT(Assumptions!$C$128,Assumptions!$C$111,E114)),IF(Assumptions!$C$136=1,0,IF('Operating Model'!D$4-Assumptions!$C$126&lt;='Debt (Assumed)'!$B$100,H114*'Debt (Assumed)'!$B$98,-PMT('Debt (Assumed)'!$B$98,Assumptions!$C$111,H114))))</f>
        <v>397516</v>
      </c>
      <c r="F115" s="30" t="n">
        <f aca="false">IF('Operating Model'!E$4&lt;=Assumptions!$C$126,IF(Assumptions!$C$130=1,D114*Assumptions!$C$125+E114*Assumptions!$C$128,-PMT(Assumptions!$C$125,Assumptions!$C$111,D114)-PMT(Assumptions!$C$128,Assumptions!$C$111,E114)),IF(Assumptions!$C$136=1,0,IF('Operating Model'!E$4-Assumptions!$C$126&lt;='Debt (Assumed)'!$B$100,H114*'Debt (Assumed)'!$B$98,-PMT('Debt (Assumed)'!$B$98,Assumptions!$C$111,H114))))</f>
        <v>569850.043443874</v>
      </c>
      <c r="G115" s="30" t="n">
        <f aca="false">IF('Operating Model'!F$4&lt;=Assumptions!$C$126,IF(Assumptions!$C$130=1,D114*Assumptions!$C$125+E114*Assumptions!$C$128,-PMT(Assumptions!$C$125,Assumptions!$C$111,D114)-PMT(Assumptions!$C$128,Assumptions!$C$111,E114)),IF(Assumptions!$C$136=1,0,IF('Operating Model'!F$4-Assumptions!$C$126&lt;='Debt (Assumed)'!$B$100,H114*'Debt (Assumed)'!$B$98,-PMT('Debt (Assumed)'!$B$98,Assumptions!$C$111,H114))))</f>
        <v>569850.043443874</v>
      </c>
    </row>
    <row r="116" customFormat="false" ht="15" hidden="false" customHeight="false" outlineLevel="0" collapsed="false">
      <c r="A116" s="2" t="s">
        <v>573</v>
      </c>
      <c r="B116" s="30" t="n">
        <f aca="false">-F114</f>
        <v>-6495990</v>
      </c>
      <c r="C116" s="30" t="n">
        <f aca="false">IF(AND(Assumptions!$C$136=1,'Operating Model'!B$4&gt;Assumptions!$C$126),0,'Operating Model'!B55+(C113-'Operating Model'!B49)-C115-IF('Operating Model'!B$4=Assumptions!$C$126,IF(Assumptions!$C$136=1,-M114,G114-H114+L114),0)+IF(AND(Assumptions!$C$136&lt;&gt;1,'Operating Model'!B$4=Assumptions!$C$154),K114,0))</f>
        <v>427953.855496</v>
      </c>
      <c r="D116" s="30" t="n">
        <f aca="false">IF(AND(Assumptions!$C$136=1,'Operating Model'!C$4&gt;Assumptions!$C$126),0,'Operating Model'!C55+(D113-'Operating Model'!C49)-D115-IF('Operating Model'!C$4=Assumptions!$C$126,IF(Assumptions!$C$136=1,-M114,G114-H114+L114),0)+IF(AND(Assumptions!$C$136&lt;&gt;1,'Operating Model'!C$4=Assumptions!$C$154),K114,0))</f>
        <v>303930.640886455</v>
      </c>
      <c r="E116" s="30" t="n">
        <f aca="false">IF(AND(Assumptions!$C$136=1,'Operating Model'!D$4&gt;Assumptions!$C$126),0,'Operating Model'!D55+(E113-'Operating Model'!D49)-E115-IF('Operating Model'!D$4=Assumptions!$C$126,IF(Assumptions!$C$136=1,-M114,G114-H114+L114),0)+IF(AND(Assumptions!$C$136&lt;&gt;1,'Operating Model'!D$4=Assumptions!$C$154),K114,0))</f>
        <v>-624497.235263717</v>
      </c>
      <c r="F116" s="30" t="n">
        <f aca="false">IF(AND(Assumptions!$C$136=1,'Operating Model'!E$4&gt;Assumptions!$C$126),0,'Operating Model'!E55+(F113-'Operating Model'!E49)-F115-IF('Operating Model'!E$4=Assumptions!$C$126,IF(Assumptions!$C$136=1,-M114,G114-H114+L114),0)+IF(AND(Assumptions!$C$136&lt;&gt;1,'Operating Model'!E$4=Assumptions!$C$154),K114,0))</f>
        <v>292728.762325303</v>
      </c>
      <c r="G116" s="30" t="n">
        <f aca="false">IF(AND(Assumptions!$C$136=1,'Operating Model'!F$4&gt;Assumptions!$C$126),0,'Operating Model'!F55+(G113-'Operating Model'!F49)-G115-IF('Operating Model'!F$4=Assumptions!$C$126,IF(Assumptions!$C$136=1,-M114,G114-H114+L114),0)+IF(AND(Assumptions!$C$136&lt;&gt;1,'Operating Model'!F$4=Assumptions!$C$154),K114,0))</f>
        <v>7005844.02241739</v>
      </c>
      <c r="H116" s="22" t="n">
        <f aca="false">IFERROR(IRR(B116:G116),"N/A")</f>
        <v>0.027916517541779</v>
      </c>
      <c r="I116" s="24" t="n">
        <f aca="false">SUM(C116:G116)/F114</f>
        <v>1.14008181137308</v>
      </c>
    </row>
    <row r="118" customFormat="false" ht="15" hidden="false" customHeight="false" outlineLevel="0" collapsed="false">
      <c r="A118" s="2" t="s">
        <v>574</v>
      </c>
      <c r="C118" s="30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18" s="30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18" s="30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18" s="30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18" s="30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18" s="30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18" s="30" t="n">
        <f aca="false">H118-'Operating Model'!$B$42*(B$6/Assumptions!$C$7)*(1+Assumptions!$C$18+0)^('Operating Model'!G$4-1)</f>
        <v>1209117.41207427</v>
      </c>
    </row>
    <row r="119" customFormat="false" ht="15" hidden="false" customHeight="false" outlineLevel="0" collapsed="false">
      <c r="A119" s="2" t="s">
        <v>575</v>
      </c>
      <c r="B119" s="30" t="n">
        <f aca="false">Assumptions!$C$7*(B$6/Assumptions!$C$7)</f>
        <v>12420000</v>
      </c>
      <c r="C119" s="30" t="n">
        <f aca="false">MAX(0,(Assumptions!$C$124+Assumptions!$C$127)-Assumptions!$C$132*B119)</f>
        <v>135000</v>
      </c>
      <c r="D119" s="30" t="n">
        <f aca="false">Assumptions!$C$124-MAX(0,C119-Assumptions!$C$127)</f>
        <v>5887000</v>
      </c>
      <c r="E119" s="30" t="n">
        <f aca="false">Assumptions!$C$127-MIN(C119,Assumptions!$C$127)</f>
        <v>3428000</v>
      </c>
      <c r="F119" s="30" t="n">
        <f aca="false">B119*(1+Assumptions!$C$10)+'Unit Mix'!$D$18*1+(D119+E119)*Assumptions!$C$131-(D119+E119)</f>
        <v>3828915</v>
      </c>
      <c r="G119" s="30" t="n">
        <f aca="false">IF(Assumptions!$C$130=1,D119+E119,-FV(Assumptions!$C$125,Assumptions!$C$126,PMT(Assumptions!$C$125,Assumptions!$C$111,D119),D119)-FV(Assumptions!$C$128,Assumptions!$C$126,PMT(Assumptions!$C$128,Assumptions!$C$111,E119),E119))</f>
        <v>9315000</v>
      </c>
      <c r="H119" s="30" t="n">
        <f aca="false">MIN(INDEX(C118:H118,Assumptions!$C$126+1)/$A$9*Assumptions!$C$108,INDEX(C118:H118,Assumptions!$C$126+1)/(Assumptions!$C$109*-PMT('Debt (Assumed)'!$B$99,Assumptions!$C$111,1)))</f>
        <v>8943312.12350742</v>
      </c>
      <c r="I119" s="30" t="n">
        <f aca="false">IF(MAX(0,Assumptions!$C$154-Assumptions!$C$126-'Debt (Assumed)'!$B$100)=0,H119,-FV('Debt (Assumed)'!$B$98,MAX(0,Assumptions!$C$154-Assumptions!$C$126-'Debt (Assumed)'!$B$100),PMT('Debt (Assumed)'!$B$98,Assumptions!$C$111,H119),H119))</f>
        <v>8943312.12350742</v>
      </c>
      <c r="J119" s="30" t="n">
        <f aca="false">I119*'Debt (Assumed)'!$B$102</f>
        <v>0</v>
      </c>
      <c r="K119" s="30" t="n">
        <f aca="false">I118/($A$9+Returns!$B$35)*(1-Assumptions!$C$158)-I119-J119</f>
        <v>5308056.88068567</v>
      </c>
      <c r="L119" s="30" t="n">
        <f aca="false">H119*'Debt (Assumed)'!$B$101</f>
        <v>96587.7709338801</v>
      </c>
      <c r="M119" s="30" t="n">
        <f aca="false">(INDEX(C118:H118,Assumptions!$C$126+1)-'Operating Model'!$B$42*(B$6/Assumptions!$C$7)*(1+Assumptions!$C$18+0)^Assumptions!$C$126)/($A$9+Returns!$B$35)*(1-Assumptions!$C$158)-G119</f>
        <v>4584247.28151039</v>
      </c>
    </row>
    <row r="120" customFormat="false" ht="15" hidden="false" customHeight="false" outlineLevel="0" collapsed="false">
      <c r="A120" s="2" t="s">
        <v>576</v>
      </c>
      <c r="C120" s="30" t="n">
        <f aca="false">IF('Operating Model'!B$4&lt;=Assumptions!$C$126,IF(Assumptions!$C$130=1,D119*Assumptions!$C$125+E119*Assumptions!$C$128,-PMT(Assumptions!$C$125,Assumptions!$C$111,D119)-PMT(Assumptions!$C$128,Assumptions!$C$111,E119)),IF(Assumptions!$C$136=1,0,IF('Operating Model'!B$4-Assumptions!$C$126&lt;='Debt (Assumed)'!$B$100,H119*'Debt (Assumed)'!$B$98,-PMT('Debt (Assumed)'!$B$98,Assumptions!$C$111,H119))))</f>
        <v>389146</v>
      </c>
      <c r="D120" s="30" t="n">
        <f aca="false">IF('Operating Model'!C$4&lt;=Assumptions!$C$126,IF(Assumptions!$C$130=1,D119*Assumptions!$C$125+E119*Assumptions!$C$128,-PMT(Assumptions!$C$125,Assumptions!$C$111,D119)-PMT(Assumptions!$C$128,Assumptions!$C$111,E119)),IF(Assumptions!$C$136=1,0,IF('Operating Model'!C$4-Assumptions!$C$126&lt;='Debt (Assumed)'!$B$100,H119*'Debt (Assumed)'!$B$98,-PMT('Debt (Assumed)'!$B$98,Assumptions!$C$111,H119))))</f>
        <v>389146</v>
      </c>
      <c r="E120" s="30" t="n">
        <f aca="false">IF('Operating Model'!D$4&lt;=Assumptions!$C$126,IF(Assumptions!$C$130=1,D119*Assumptions!$C$125+E119*Assumptions!$C$128,-PMT(Assumptions!$C$125,Assumptions!$C$111,D119)-PMT(Assumptions!$C$128,Assumptions!$C$111,E119)),IF(Assumptions!$C$136=1,0,IF('Operating Model'!D$4-Assumptions!$C$126&lt;='Debt (Assumed)'!$B$100,H119*'Debt (Assumed)'!$B$98,-PMT('Debt (Assumed)'!$B$98,Assumptions!$C$111,H119))))</f>
        <v>389146</v>
      </c>
      <c r="F120" s="30" t="n">
        <f aca="false">IF('Operating Model'!E$4&lt;=Assumptions!$C$126,IF(Assumptions!$C$130=1,D119*Assumptions!$C$125+E119*Assumptions!$C$128,-PMT(Assumptions!$C$125,Assumptions!$C$111,D119)-PMT(Assumptions!$C$128,Assumptions!$C$111,E119)),IF(Assumptions!$C$136=1,0,IF('Operating Model'!E$4-Assumptions!$C$126&lt;='Debt (Assumed)'!$B$100,H119*'Debt (Assumed)'!$B$98,-PMT('Debt (Assumed)'!$B$98,Assumptions!$C$111,H119))))</f>
        <v>602779.2371244</v>
      </c>
      <c r="G120" s="30" t="n">
        <f aca="false">IF('Operating Model'!F$4&lt;=Assumptions!$C$126,IF(Assumptions!$C$130=1,D119*Assumptions!$C$125+E119*Assumptions!$C$128,-PMT(Assumptions!$C$125,Assumptions!$C$111,D119)-PMT(Assumptions!$C$128,Assumptions!$C$111,E119)),IF(Assumptions!$C$136=1,0,IF('Operating Model'!F$4-Assumptions!$C$126&lt;='Debt (Assumed)'!$B$100,H119*'Debt (Assumed)'!$B$98,-PMT('Debt (Assumed)'!$B$98,Assumptions!$C$111,H119))))</f>
        <v>602779.2371244</v>
      </c>
    </row>
    <row r="121" customFormat="false" ht="15" hidden="false" customHeight="false" outlineLevel="0" collapsed="false">
      <c r="A121" s="2" t="s">
        <v>577</v>
      </c>
      <c r="B121" s="30" t="n">
        <f aca="false">-F119</f>
        <v>-3828915</v>
      </c>
      <c r="C121" s="30" t="n">
        <f aca="false">IF(AND(Assumptions!$C$136=1,'Operating Model'!B$4&gt;Assumptions!$C$126),0,'Operating Model'!B55+(C118-'Operating Model'!B49)-C120-IF('Operating Model'!B$4=Assumptions!$C$126,IF(Assumptions!$C$136=1,-M119,G119-H119+L119),0)+IF(AND(Assumptions!$C$136&lt;&gt;1,'Operating Model'!B$4=Assumptions!$C$154),K119,0))</f>
        <v>483645.021496</v>
      </c>
      <c r="D121" s="30" t="n">
        <f aca="false">IF(AND(Assumptions!$C$136=1,'Operating Model'!C$4&gt;Assumptions!$C$126),0,'Operating Model'!C55+(D118-'Operating Model'!C49)-D120-IF('Operating Model'!C$4=Assumptions!$C$126,IF(Assumptions!$C$136=1,-M119,G119-H119+L119),0)+IF(AND(Assumptions!$C$136&lt;&gt;1,'Operating Model'!C$4=Assumptions!$C$154),K119,0))</f>
        <v>361041.441866455</v>
      </c>
      <c r="E121" s="30" t="n">
        <f aca="false">IF(AND(Assumptions!$C$136=1,'Operating Model'!D$4&gt;Assumptions!$C$126),0,'Operating Model'!D55+(E118-'Operating Model'!D49)-E120-IF('Operating Model'!D$4=Assumptions!$C$126,IF(Assumptions!$C$136=1,-M119,G119-H119+L119),0)+IF(AND(Assumptions!$C$136&lt;&gt;1,'Operating Model'!D$4=Assumptions!$C$154),K119,0))</f>
        <v>52363.0061963619</v>
      </c>
      <c r="F121" s="30" t="n">
        <f aca="false">IF(AND(Assumptions!$C$136=1,'Operating Model'!E$4&gt;Assumptions!$C$126),0,'Operating Model'!E55+(F118-'Operating Model'!E49)-F120-IF('Operating Model'!E$4=Assumptions!$C$126,IF(Assumptions!$C$136=1,-M119,G119-H119+L119),0)+IF(AND(Assumptions!$C$136&lt;&gt;1,'Operating Model'!E$4=Assumptions!$C$154),K119,0))</f>
        <v>311508.68440446</v>
      </c>
      <c r="G121" s="30" t="n">
        <f aca="false">IF(AND(Assumptions!$C$136=1,'Operating Model'!F$4&gt;Assumptions!$C$126),0,'Operating Model'!F55+(G118-'Operating Model'!F49)-G120-IF('Operating Model'!F$4=Assumptions!$C$126,IF(Assumptions!$C$136=1,-M119,G119-H119+L119),0)+IF(AND(Assumptions!$C$136&lt;&gt;1,'Operating Model'!F$4=Assumptions!$C$154),K119,0))</f>
        <v>5625761.41595555</v>
      </c>
      <c r="H121" s="22" t="n">
        <f aca="false">IFERROR(IRR(B121:G121),"N/A")</f>
        <v>0.141027330741819</v>
      </c>
      <c r="I121" s="24" t="n">
        <f aca="false">SUM(C121:G121)/F119</f>
        <v>1.78492329286987</v>
      </c>
    </row>
    <row r="123" customFormat="false" ht="15" hidden="false" customHeight="false" outlineLevel="0" collapsed="false">
      <c r="A123" s="2" t="s">
        <v>578</v>
      </c>
      <c r="C123" s="30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23" s="30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23" s="30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23" s="30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23" s="30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23" s="30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23" s="30" t="n">
        <f aca="false">H123-'Operating Model'!$B$42*(C$6/Assumptions!$C$7)*(1+Assumptions!$C$18+0)^('Operating Model'!G$4-1)</f>
        <v>1209117.41207427</v>
      </c>
    </row>
    <row r="124" customFormat="false" ht="15" hidden="false" customHeight="false" outlineLevel="0" collapsed="false">
      <c r="A124" s="2" t="s">
        <v>579</v>
      </c>
      <c r="B124" s="30" t="n">
        <f aca="false">Assumptions!$C$7*(C$6/Assumptions!$C$7)</f>
        <v>13110000</v>
      </c>
      <c r="C124" s="30" t="n">
        <f aca="false">MAX(0,(Assumptions!$C$124+Assumptions!$C$127)-Assumptions!$C$132*B124)</f>
        <v>0</v>
      </c>
      <c r="D124" s="30" t="n">
        <f aca="false">Assumptions!$C$124-MAX(0,C124-Assumptions!$C$127)</f>
        <v>5887000</v>
      </c>
      <c r="E124" s="30" t="n">
        <f aca="false">Assumptions!$C$127-MIN(C124,Assumptions!$C$127)</f>
        <v>3563000</v>
      </c>
      <c r="F124" s="30" t="n">
        <f aca="false">B124*(1+Assumptions!$C$10)+'Unit Mix'!$D$18*1+(D124+E124)*Assumptions!$C$131-(D124+E124)</f>
        <v>4394940</v>
      </c>
      <c r="G124" s="30" t="n">
        <f aca="false">IF(Assumptions!$C$130=1,D124+E124,-FV(Assumptions!$C$125,Assumptions!$C$126,PMT(Assumptions!$C$125,Assumptions!$C$111,D124),D124)-FV(Assumptions!$C$128,Assumptions!$C$126,PMT(Assumptions!$C$128,Assumptions!$C$111,E124),E124))</f>
        <v>9450000</v>
      </c>
      <c r="H124" s="30" t="n">
        <f aca="false">MIN(INDEX(C123:H123,Assumptions!$C$126+1)/$A$9*Assumptions!$C$108,INDEX(C123:H123,Assumptions!$C$126+1)/(Assumptions!$C$109*-PMT('Debt (Assumed)'!$B$99,Assumptions!$C$111,1)))</f>
        <v>8821171.19739271</v>
      </c>
      <c r="I124" s="30" t="n">
        <f aca="false">IF(MAX(0,Assumptions!$C$154-Assumptions!$C$126-'Debt (Assumed)'!$B$100)=0,H124,-FV('Debt (Assumed)'!$B$98,MAX(0,Assumptions!$C$154-Assumptions!$C$126-'Debt (Assumed)'!$B$100),PMT('Debt (Assumed)'!$B$98,Assumptions!$C$111,H124),H124))</f>
        <v>8821171.19739271</v>
      </c>
      <c r="J124" s="30" t="n">
        <f aca="false">I124*'Debt (Assumed)'!$B$102</f>
        <v>0</v>
      </c>
      <c r="K124" s="30" t="n">
        <f aca="false">I123/($A$9+Returns!$B$35)*(1-Assumptions!$C$158)-I124-J124</f>
        <v>5430197.80680038</v>
      </c>
      <c r="L124" s="30" t="n">
        <f aca="false">H124*'Debt (Assumed)'!$B$101</f>
        <v>95268.6489318413</v>
      </c>
      <c r="M124" s="30" t="n">
        <f aca="false">(INDEX(C123:H123,Assumptions!$C$126+1)-'Operating Model'!$B$42*(C$6/Assumptions!$C$7)*(1+Assumptions!$C$18+0)^Assumptions!$C$126)/($A$9+Returns!$B$35)*(1-Assumptions!$C$158)-G124</f>
        <v>4449247.28151039</v>
      </c>
    </row>
    <row r="125" customFormat="false" ht="15" hidden="false" customHeight="false" outlineLevel="0" collapsed="false">
      <c r="A125" s="2" t="s">
        <v>580</v>
      </c>
      <c r="C125" s="30" t="n">
        <f aca="false">IF('Operating Model'!B$4&lt;=Assumptions!$C$126,IF(Assumptions!$C$130=1,D124*Assumptions!$C$125+E124*Assumptions!$C$128,-PMT(Assumptions!$C$125,Assumptions!$C$111,D124)-PMT(Assumptions!$C$128,Assumptions!$C$111,E124)),IF(Assumptions!$C$136=1,0,IF('Operating Model'!B$4-Assumptions!$C$126&lt;='Debt (Assumed)'!$B$100,H124*'Debt (Assumed)'!$B$98,-PMT('Debt (Assumed)'!$B$98,Assumptions!$C$111,H124))))</f>
        <v>397516</v>
      </c>
      <c r="D125" s="30" t="n">
        <f aca="false">IF('Operating Model'!C$4&lt;=Assumptions!$C$126,IF(Assumptions!$C$130=1,D124*Assumptions!$C$125+E124*Assumptions!$C$128,-PMT(Assumptions!$C$125,Assumptions!$C$111,D124)-PMT(Assumptions!$C$128,Assumptions!$C$111,E124)),IF(Assumptions!$C$136=1,0,IF('Operating Model'!C$4-Assumptions!$C$126&lt;='Debt (Assumed)'!$B$100,H124*'Debt (Assumed)'!$B$98,-PMT('Debt (Assumed)'!$B$98,Assumptions!$C$111,H124))))</f>
        <v>397516</v>
      </c>
      <c r="E125" s="30" t="n">
        <f aca="false">IF('Operating Model'!D$4&lt;=Assumptions!$C$126,IF(Assumptions!$C$130=1,D124*Assumptions!$C$125+E124*Assumptions!$C$128,-PMT(Assumptions!$C$125,Assumptions!$C$111,D124)-PMT(Assumptions!$C$128,Assumptions!$C$111,E124)),IF(Assumptions!$C$136=1,0,IF('Operating Model'!D$4-Assumptions!$C$126&lt;='Debt (Assumed)'!$B$100,H124*'Debt (Assumed)'!$B$98,-PMT('Debt (Assumed)'!$B$98,Assumptions!$C$111,H124))))</f>
        <v>397516</v>
      </c>
      <c r="F125" s="30" t="n">
        <f aca="false">IF('Operating Model'!E$4&lt;=Assumptions!$C$126,IF(Assumptions!$C$130=1,D124*Assumptions!$C$125+E124*Assumptions!$C$128,-PMT(Assumptions!$C$125,Assumptions!$C$111,D124)-PMT(Assumptions!$C$128,Assumptions!$C$111,E124)),IF(Assumptions!$C$136=1,0,IF('Operating Model'!E$4-Assumptions!$C$126&lt;='Debt (Assumed)'!$B$100,H124*'Debt (Assumed)'!$B$98,-PMT('Debt (Assumed)'!$B$98,Assumptions!$C$111,H124))))</f>
        <v>594546.938704269</v>
      </c>
      <c r="G125" s="30" t="n">
        <f aca="false">IF('Operating Model'!F$4&lt;=Assumptions!$C$126,IF(Assumptions!$C$130=1,D124*Assumptions!$C$125+E124*Assumptions!$C$128,-PMT(Assumptions!$C$125,Assumptions!$C$111,D124)-PMT(Assumptions!$C$128,Assumptions!$C$111,E124)),IF(Assumptions!$C$136=1,0,IF('Operating Model'!F$4-Assumptions!$C$126&lt;='Debt (Assumed)'!$B$100,H124*'Debt (Assumed)'!$B$98,-PMT('Debt (Assumed)'!$B$98,Assumptions!$C$111,H124))))</f>
        <v>594546.938704269</v>
      </c>
    </row>
    <row r="126" customFormat="false" ht="15" hidden="false" customHeight="false" outlineLevel="0" collapsed="false">
      <c r="A126" s="2" t="s">
        <v>581</v>
      </c>
      <c r="B126" s="30" t="n">
        <f aca="false">-F124</f>
        <v>-4394940</v>
      </c>
      <c r="C126" s="30" t="n">
        <f aca="false">IF(AND(Assumptions!$C$136=1,'Operating Model'!B$4&gt;Assumptions!$C$126),0,'Operating Model'!B55+(C123-'Operating Model'!B49)-C125-IF('Operating Model'!B$4=Assumptions!$C$126,IF(Assumptions!$C$136=1,-M124,G124-H124+L124),0)+IF(AND(Assumptions!$C$136&lt;&gt;1,'Operating Model'!B$4=Assumptions!$C$154),K124,0))</f>
        <v>463444.729996</v>
      </c>
      <c r="D126" s="30" t="n">
        <f aca="false">IF(AND(Assumptions!$C$136=1,'Operating Model'!C$4&gt;Assumptions!$C$126),0,'Operating Model'!C55+(D123-'Operating Model'!C49)-D125-IF('Operating Model'!C$4=Assumptions!$C$126,IF(Assumptions!$C$136=1,-M124,G124-H124+L124),0)+IF(AND(Assumptions!$C$136&lt;&gt;1,'Operating Model'!C$4=Assumptions!$C$154),K124,0))</f>
        <v>340486.241621455</v>
      </c>
      <c r="E126" s="30" t="n">
        <f aca="false">IF(AND(Assumptions!$C$136=1,'Operating Model'!D$4&gt;Assumptions!$C$126),0,'Operating Model'!D55+(E123-'Operating Model'!D49)-E125-IF('Operating Model'!D$4=Assumptions!$C$126,IF(Assumptions!$C$136=1,-M124,G124-H124+L124),0)+IF(AND(Assumptions!$C$136&lt;&gt;1,'Operating Model'!D$4=Assumptions!$C$154),K124,0))</f>
        <v>-224379.554168657</v>
      </c>
      <c r="F126" s="30" t="n">
        <f aca="false">IF(AND(Assumptions!$C$136=1,'Operating Model'!E$4&gt;Assumptions!$C$126),0,'Operating Model'!E55+(F123-'Operating Model'!E49)-F125-IF('Operating Model'!E$4=Assumptions!$C$126,IF(Assumptions!$C$136=1,-M124,G124-H124+L124),0)+IF(AND(Assumptions!$C$136&lt;&gt;1,'Operating Model'!E$4=Assumptions!$C$154),K124,0))</f>
        <v>306813.703884671</v>
      </c>
      <c r="G126" s="30" t="n">
        <f aca="false">IF(AND(Assumptions!$C$136=1,'Operating Model'!F$4&gt;Assumptions!$C$126),0,'Operating Model'!F55+(G123-'Operating Model'!F49)-G125-IF('Operating Model'!F$4=Assumptions!$C$126,IF(Assumptions!$C$136=1,-M124,G124-H124+L124),0)+IF(AND(Assumptions!$C$136&lt;&gt;1,'Operating Model'!F$4=Assumptions!$C$154),K124,0))</f>
        <v>5742819.54318227</v>
      </c>
      <c r="H126" s="22" t="n">
        <f aca="false">IFERROR(IRR(B126:G126),"N/A")</f>
        <v>0.0951553999236045</v>
      </c>
      <c r="I126" s="24" t="n">
        <f aca="false">SUM(C126:G126)/F124</f>
        <v>1.5083675009251</v>
      </c>
    </row>
    <row r="128" customFormat="false" ht="15" hidden="false" customHeight="false" outlineLevel="0" collapsed="false">
      <c r="A128" s="2" t="s">
        <v>582</v>
      </c>
      <c r="C128" s="30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28" s="30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28" s="30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28" s="30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28" s="30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28" s="30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28" s="30" t="n">
        <f aca="false">H128-'Operating Model'!$B$42*(D$6/Assumptions!$C$7)*(1+Assumptions!$C$18+0)^('Operating Model'!G$4-1)</f>
        <v>1209117.41207427</v>
      </c>
    </row>
    <row r="129" customFormat="false" ht="15" hidden="false" customHeight="false" outlineLevel="0" collapsed="false">
      <c r="A129" s="2" t="s">
        <v>583</v>
      </c>
      <c r="B129" s="30" t="n">
        <f aca="false">Assumptions!$C$7*(D$6/Assumptions!$C$7)</f>
        <v>13800000</v>
      </c>
      <c r="C129" s="30" t="n">
        <f aca="false">MAX(0,(Assumptions!$C$124+Assumptions!$C$127)-Assumptions!$C$132*B129)</f>
        <v>0</v>
      </c>
      <c r="D129" s="30" t="n">
        <f aca="false">Assumptions!$C$124-MAX(0,C129-Assumptions!$C$127)</f>
        <v>5887000</v>
      </c>
      <c r="E129" s="30" t="n">
        <f aca="false">Assumptions!$C$127-MIN(C129,Assumptions!$C$127)</f>
        <v>3563000</v>
      </c>
      <c r="F129" s="30" t="n">
        <f aca="false">B129*(1+Assumptions!$C$10)+'Unit Mix'!$D$18*1+(D129+E129)*Assumptions!$C$131-(D129+E129)</f>
        <v>5095290</v>
      </c>
      <c r="G129" s="30" t="n">
        <f aca="false">IF(Assumptions!$C$130=1,D129+E129,-FV(Assumptions!$C$125,Assumptions!$C$126,PMT(Assumptions!$C$125,Assumptions!$C$111,D129),D129)-FV(Assumptions!$C$128,Assumptions!$C$126,PMT(Assumptions!$C$128,Assumptions!$C$111,E129),E129))</f>
        <v>9450000</v>
      </c>
      <c r="H129" s="30" t="n">
        <f aca="false">MIN(INDEX(C128:H128,Assumptions!$C$126+1)/$A$9*Assumptions!$C$108,INDEX(C128:H128,Assumptions!$C$126+1)/(Assumptions!$C$109*-PMT('Debt (Assumed)'!$B$99,Assumptions!$C$111,1)))</f>
        <v>8699030.271278</v>
      </c>
      <c r="I129" s="30" t="n">
        <f aca="false">IF(MAX(0,Assumptions!$C$154-Assumptions!$C$126-'Debt (Assumed)'!$B$100)=0,H129,-FV('Debt (Assumed)'!$B$98,MAX(0,Assumptions!$C$154-Assumptions!$C$126-'Debt (Assumed)'!$B$100),PMT('Debt (Assumed)'!$B$98,Assumptions!$C$111,H129),H129))</f>
        <v>8699030.271278</v>
      </c>
      <c r="J129" s="30" t="n">
        <f aca="false">I129*'Debt (Assumed)'!$B$102</f>
        <v>0</v>
      </c>
      <c r="K129" s="30" t="n">
        <f aca="false">I128/($A$9+Returns!$B$35)*(1-Assumptions!$C$158)-I129-J129</f>
        <v>5552338.73291509</v>
      </c>
      <c r="L129" s="30" t="n">
        <f aca="false">H129*'Debt (Assumed)'!$B$101</f>
        <v>93949.5269298024</v>
      </c>
      <c r="M129" s="30" t="n">
        <f aca="false">(INDEX(C128:H128,Assumptions!$C$126+1)-'Operating Model'!$B$42*(D$6/Assumptions!$C$7)*(1+Assumptions!$C$18+0)^Assumptions!$C$126)/($A$9+Returns!$B$35)*(1-Assumptions!$C$158)-G129</f>
        <v>4449247.28151039</v>
      </c>
    </row>
    <row r="130" customFormat="false" ht="15" hidden="false" customHeight="false" outlineLevel="0" collapsed="false">
      <c r="A130" s="2" t="s">
        <v>584</v>
      </c>
      <c r="C130" s="30" t="n">
        <f aca="false">IF('Operating Model'!B$4&lt;=Assumptions!$C$126,IF(Assumptions!$C$130=1,D129*Assumptions!$C$125+E129*Assumptions!$C$128,-PMT(Assumptions!$C$125,Assumptions!$C$111,D129)-PMT(Assumptions!$C$128,Assumptions!$C$111,E129)),IF(Assumptions!$C$136=1,0,IF('Operating Model'!B$4-Assumptions!$C$126&lt;='Debt (Assumed)'!$B$100,H129*'Debt (Assumed)'!$B$98,-PMT('Debt (Assumed)'!$B$98,Assumptions!$C$111,H129))))</f>
        <v>397516</v>
      </c>
      <c r="D130" s="30" t="n">
        <f aca="false">IF('Operating Model'!C$4&lt;=Assumptions!$C$126,IF(Assumptions!$C$130=1,D129*Assumptions!$C$125+E129*Assumptions!$C$128,-PMT(Assumptions!$C$125,Assumptions!$C$111,D129)-PMT(Assumptions!$C$128,Assumptions!$C$111,E129)),IF(Assumptions!$C$136=1,0,IF('Operating Model'!C$4-Assumptions!$C$126&lt;='Debt (Assumed)'!$B$100,H129*'Debt (Assumed)'!$B$98,-PMT('Debt (Assumed)'!$B$98,Assumptions!$C$111,H129))))</f>
        <v>397516</v>
      </c>
      <c r="E130" s="30" t="n">
        <f aca="false">IF('Operating Model'!D$4&lt;=Assumptions!$C$126,IF(Assumptions!$C$130=1,D129*Assumptions!$C$125+E129*Assumptions!$C$128,-PMT(Assumptions!$C$125,Assumptions!$C$111,D129)-PMT(Assumptions!$C$128,Assumptions!$C$111,E129)),IF(Assumptions!$C$136=1,0,IF('Operating Model'!D$4-Assumptions!$C$126&lt;='Debt (Assumed)'!$B$100,H129*'Debt (Assumed)'!$B$98,-PMT('Debt (Assumed)'!$B$98,Assumptions!$C$111,H129))))</f>
        <v>397516</v>
      </c>
      <c r="F130" s="30" t="n">
        <f aca="false">IF('Operating Model'!E$4&lt;=Assumptions!$C$126,IF(Assumptions!$C$130=1,D129*Assumptions!$C$125+E129*Assumptions!$C$128,-PMT(Assumptions!$C$125,Assumptions!$C$111,D129)-PMT(Assumptions!$C$128,Assumptions!$C$111,E129)),IF(Assumptions!$C$136=1,0,IF('Operating Model'!E$4-Assumptions!$C$126&lt;='Debt (Assumed)'!$B$100,H129*'Debt (Assumed)'!$B$98,-PMT('Debt (Assumed)'!$B$98,Assumptions!$C$111,H129))))</f>
        <v>586314.640284137</v>
      </c>
      <c r="G130" s="30" t="n">
        <f aca="false">IF('Operating Model'!F$4&lt;=Assumptions!$C$126,IF(Assumptions!$C$130=1,D129*Assumptions!$C$125+E129*Assumptions!$C$128,-PMT(Assumptions!$C$125,Assumptions!$C$111,D129)-PMT(Assumptions!$C$128,Assumptions!$C$111,E129)),IF(Assumptions!$C$136=1,0,IF('Operating Model'!F$4-Assumptions!$C$126&lt;='Debt (Assumed)'!$B$100,H129*'Debt (Assumed)'!$B$98,-PMT('Debt (Assumed)'!$B$98,Assumptions!$C$111,H129))))</f>
        <v>586314.640284137</v>
      </c>
    </row>
    <row r="131" customFormat="false" ht="15" hidden="false" customHeight="false" outlineLevel="0" collapsed="false">
      <c r="A131" s="2" t="s">
        <v>585</v>
      </c>
      <c r="B131" s="30" t="n">
        <f aca="false">-F129</f>
        <v>-5095290</v>
      </c>
      <c r="C131" s="30" t="n">
        <f aca="false">IF(AND(Assumptions!$C$136=1,'Operating Model'!B$4&gt;Assumptions!$C$126),0,'Operating Model'!B55+(C128-'Operating Model'!B49)-C130-IF('Operating Model'!B$4=Assumptions!$C$126,IF(Assumptions!$C$136=1,-M129,G129-H129+L129),0)+IF(AND(Assumptions!$C$136&lt;&gt;1,'Operating Model'!B$4=Assumptions!$C$154),K129,0))</f>
        <v>451614.438496</v>
      </c>
      <c r="D131" s="30" t="n">
        <f aca="false">IF(AND(Assumptions!$C$136=1,'Operating Model'!C$4&gt;Assumptions!$C$126),0,'Operating Model'!C55+(D128-'Operating Model'!C49)-D130-IF('Operating Model'!C$4=Assumptions!$C$126,IF(Assumptions!$C$136=1,-M129,G129-H129+L129),0)+IF(AND(Assumptions!$C$136&lt;&gt;1,'Operating Model'!C$4=Assumptions!$C$154),K129,0))</f>
        <v>328301.041376455</v>
      </c>
      <c r="E131" s="30" t="n">
        <f aca="false">IF(AND(Assumptions!$C$136=1,'Operating Model'!D$4&gt;Assumptions!$C$126),0,'Operating Model'!D55+(E128-'Operating Model'!D49)-E130-IF('Operating Model'!D$4=Assumptions!$C$126,IF(Assumptions!$C$136=1,-M129,G129-H129+L129),0)+IF(AND(Assumptions!$C$136&lt;&gt;1,'Operating Model'!D$4=Assumptions!$C$154),K129,0))</f>
        <v>-357752.114533679</v>
      </c>
      <c r="F131" s="30" t="n">
        <f aca="false">IF(AND(Assumptions!$C$136=1,'Operating Model'!E$4&gt;Assumptions!$C$126),0,'Operating Model'!E55+(F128-'Operating Model'!E49)-F130-IF('Operating Model'!E$4=Assumptions!$C$126,IF(Assumptions!$C$136=1,-M129,G129-H129+L129),0)+IF(AND(Assumptions!$C$136&lt;&gt;1,'Operating Model'!E$4=Assumptions!$C$154),K129,0))</f>
        <v>302118.723364882</v>
      </c>
      <c r="G131" s="30" t="n">
        <f aca="false">IF(AND(Assumptions!$C$136=1,'Operating Model'!F$4&gt;Assumptions!$C$126),0,'Operating Model'!F55+(G128-'Operating Model'!F49)-G130-IF('Operating Model'!F$4=Assumptions!$C$126,IF(Assumptions!$C$136=1,-M129,G129-H129+L129),0)+IF(AND(Assumptions!$C$136&lt;&gt;1,'Operating Model'!F$4=Assumptions!$C$154),K129,0))</f>
        <v>5859877.670409</v>
      </c>
      <c r="H131" s="22" t="n">
        <f aca="false">IFERROR(IRR(B131:G131),"N/A")</f>
        <v>0.0572839138202697</v>
      </c>
      <c r="I131" s="24" t="n">
        <f aca="false">SUM(C131:G131)/F129</f>
        <v>1.29220510689532</v>
      </c>
    </row>
    <row r="133" customFormat="false" ht="15" hidden="false" customHeight="false" outlineLevel="0" collapsed="false">
      <c r="A133" s="2" t="s">
        <v>586</v>
      </c>
      <c r="C133" s="30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33" s="30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33" s="30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33" s="30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33" s="30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33" s="30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33" s="30" t="n">
        <f aca="false">H133-'Operating Model'!$B$42*(E$6/Assumptions!$C$7)*(1+Assumptions!$C$18+0)^('Operating Model'!G$4-1)</f>
        <v>1209117.41207427</v>
      </c>
    </row>
    <row r="134" customFormat="false" ht="15" hidden="false" customHeight="false" outlineLevel="0" collapsed="false">
      <c r="A134" s="2" t="s">
        <v>587</v>
      </c>
      <c r="B134" s="30" t="n">
        <f aca="false">Assumptions!$C$7*(E$6/Assumptions!$C$7)</f>
        <v>14490000</v>
      </c>
      <c r="C134" s="30" t="n">
        <f aca="false">MAX(0,(Assumptions!$C$124+Assumptions!$C$127)-Assumptions!$C$132*B134)</f>
        <v>0</v>
      </c>
      <c r="D134" s="30" t="n">
        <f aca="false">Assumptions!$C$124-MAX(0,C134-Assumptions!$C$127)</f>
        <v>5887000</v>
      </c>
      <c r="E134" s="30" t="n">
        <f aca="false">Assumptions!$C$127-MIN(C134,Assumptions!$C$127)</f>
        <v>3563000</v>
      </c>
      <c r="F134" s="30" t="n">
        <f aca="false">B134*(1+Assumptions!$C$10)+'Unit Mix'!$D$18*1+(D134+E134)*Assumptions!$C$131-(D134+E134)</f>
        <v>5795640</v>
      </c>
      <c r="G134" s="30" t="n">
        <f aca="false">IF(Assumptions!$C$130=1,D134+E134,-FV(Assumptions!$C$125,Assumptions!$C$126,PMT(Assumptions!$C$125,Assumptions!$C$111,D134),D134)-FV(Assumptions!$C$128,Assumptions!$C$126,PMT(Assumptions!$C$128,Assumptions!$C$111,E134),E134))</f>
        <v>9450000</v>
      </c>
      <c r="H134" s="30" t="n">
        <f aca="false">MIN(INDEX(C133:H133,Assumptions!$C$126+1)/$A$9*Assumptions!$C$108,INDEX(C133:H133,Assumptions!$C$126+1)/(Assumptions!$C$109*-PMT('Debt (Assumed)'!$B$99,Assumptions!$C$111,1)))</f>
        <v>8576889.34516329</v>
      </c>
      <c r="I134" s="30" t="n">
        <f aca="false">IF(MAX(0,Assumptions!$C$154-Assumptions!$C$126-'Debt (Assumed)'!$B$100)=0,H134,-FV('Debt (Assumed)'!$B$98,MAX(0,Assumptions!$C$154-Assumptions!$C$126-'Debt (Assumed)'!$B$100),PMT('Debt (Assumed)'!$B$98,Assumptions!$C$111,H134),H134))</f>
        <v>8576889.34516329</v>
      </c>
      <c r="J134" s="30" t="n">
        <f aca="false">I134*'Debt (Assumed)'!$B$102</f>
        <v>0</v>
      </c>
      <c r="K134" s="30" t="n">
        <f aca="false">I133/($A$9+Returns!$B$35)*(1-Assumptions!$C$158)-I134-J134</f>
        <v>5674479.6590298</v>
      </c>
      <c r="L134" s="30" t="n">
        <f aca="false">H134*'Debt (Assumed)'!$B$101</f>
        <v>92630.4049277635</v>
      </c>
      <c r="M134" s="30" t="n">
        <f aca="false">(INDEX(C133:H133,Assumptions!$C$126+1)-'Operating Model'!$B$42*(E$6/Assumptions!$C$7)*(1+Assumptions!$C$18+0)^Assumptions!$C$126)/($A$9+Returns!$B$35)*(1-Assumptions!$C$158)-G134</f>
        <v>4449247.28151039</v>
      </c>
    </row>
    <row r="135" customFormat="false" ht="15" hidden="false" customHeight="false" outlineLevel="0" collapsed="false">
      <c r="A135" s="2" t="s">
        <v>588</v>
      </c>
      <c r="C135" s="30" t="n">
        <f aca="false">IF('Operating Model'!B$4&lt;=Assumptions!$C$126,IF(Assumptions!$C$130=1,D134*Assumptions!$C$125+E134*Assumptions!$C$128,-PMT(Assumptions!$C$125,Assumptions!$C$111,D134)-PMT(Assumptions!$C$128,Assumptions!$C$111,E134)),IF(Assumptions!$C$136=1,0,IF('Operating Model'!B$4-Assumptions!$C$126&lt;='Debt (Assumed)'!$B$100,H134*'Debt (Assumed)'!$B$98,-PMT('Debt (Assumed)'!$B$98,Assumptions!$C$111,H134))))</f>
        <v>397516</v>
      </c>
      <c r="D135" s="30" t="n">
        <f aca="false">IF('Operating Model'!C$4&lt;=Assumptions!$C$126,IF(Assumptions!$C$130=1,D134*Assumptions!$C$125+E134*Assumptions!$C$128,-PMT(Assumptions!$C$125,Assumptions!$C$111,D134)-PMT(Assumptions!$C$128,Assumptions!$C$111,E134)),IF(Assumptions!$C$136=1,0,IF('Operating Model'!C$4-Assumptions!$C$126&lt;='Debt (Assumed)'!$B$100,H134*'Debt (Assumed)'!$B$98,-PMT('Debt (Assumed)'!$B$98,Assumptions!$C$111,H134))))</f>
        <v>397516</v>
      </c>
      <c r="E135" s="30" t="n">
        <f aca="false">IF('Operating Model'!D$4&lt;=Assumptions!$C$126,IF(Assumptions!$C$130=1,D134*Assumptions!$C$125+E134*Assumptions!$C$128,-PMT(Assumptions!$C$125,Assumptions!$C$111,D134)-PMT(Assumptions!$C$128,Assumptions!$C$111,E134)),IF(Assumptions!$C$136=1,0,IF('Operating Model'!D$4-Assumptions!$C$126&lt;='Debt (Assumed)'!$B$100,H134*'Debt (Assumed)'!$B$98,-PMT('Debt (Assumed)'!$B$98,Assumptions!$C$111,H134))))</f>
        <v>397516</v>
      </c>
      <c r="F135" s="30" t="n">
        <f aca="false">IF('Operating Model'!E$4&lt;=Assumptions!$C$126,IF(Assumptions!$C$130=1,D134*Assumptions!$C$125+E134*Assumptions!$C$128,-PMT(Assumptions!$C$125,Assumptions!$C$111,D134)-PMT(Assumptions!$C$128,Assumptions!$C$111,E134)),IF(Assumptions!$C$136=1,0,IF('Operating Model'!E$4-Assumptions!$C$126&lt;='Debt (Assumed)'!$B$100,H134*'Debt (Assumed)'!$B$98,-PMT('Debt (Assumed)'!$B$98,Assumptions!$C$111,H134))))</f>
        <v>578082.341864006</v>
      </c>
      <c r="G135" s="30" t="n">
        <f aca="false">IF('Operating Model'!F$4&lt;=Assumptions!$C$126,IF(Assumptions!$C$130=1,D134*Assumptions!$C$125+E134*Assumptions!$C$128,-PMT(Assumptions!$C$125,Assumptions!$C$111,D134)-PMT(Assumptions!$C$128,Assumptions!$C$111,E134)),IF(Assumptions!$C$136=1,0,IF('Operating Model'!F$4-Assumptions!$C$126&lt;='Debt (Assumed)'!$B$100,H134*'Debt (Assumed)'!$B$98,-PMT('Debt (Assumed)'!$B$98,Assumptions!$C$111,H134))))</f>
        <v>578082.341864006</v>
      </c>
    </row>
    <row r="136" customFormat="false" ht="15" hidden="false" customHeight="false" outlineLevel="0" collapsed="false">
      <c r="A136" s="2" t="s">
        <v>589</v>
      </c>
      <c r="B136" s="30" t="n">
        <f aca="false">-F134</f>
        <v>-5795640</v>
      </c>
      <c r="C136" s="30" t="n">
        <f aca="false">IF(AND(Assumptions!$C$136=1,'Operating Model'!B$4&gt;Assumptions!$C$126),0,'Operating Model'!B55+(C133-'Operating Model'!B49)-C135-IF('Operating Model'!B$4=Assumptions!$C$126,IF(Assumptions!$C$136=1,-M134,G134-H134+L134),0)+IF(AND(Assumptions!$C$136&lt;&gt;1,'Operating Model'!B$4=Assumptions!$C$154),K134,0))</f>
        <v>439784.146996</v>
      </c>
      <c r="D136" s="30" t="n">
        <f aca="false">IF(AND(Assumptions!$C$136=1,'Operating Model'!C$4&gt;Assumptions!$C$126),0,'Operating Model'!C55+(D133-'Operating Model'!C49)-D135-IF('Operating Model'!C$4=Assumptions!$C$126,IF(Assumptions!$C$136=1,-M134,G134-H134+L134),0)+IF(AND(Assumptions!$C$136&lt;&gt;1,'Operating Model'!C$4=Assumptions!$C$154),K134,0))</f>
        <v>316115.841131455</v>
      </c>
      <c r="E136" s="30" t="n">
        <f aca="false">IF(AND(Assumptions!$C$136=1,'Operating Model'!D$4&gt;Assumptions!$C$126),0,'Operating Model'!D55+(E133-'Operating Model'!D49)-E135-IF('Operating Model'!D$4=Assumptions!$C$126,IF(Assumptions!$C$136=1,-M134,G134-H134+L134),0)+IF(AND(Assumptions!$C$136&lt;&gt;1,'Operating Model'!D$4=Assumptions!$C$154),K134,0))</f>
        <v>-491124.674898698</v>
      </c>
      <c r="F136" s="30" t="n">
        <f aca="false">IF(AND(Assumptions!$C$136=1,'Operating Model'!E$4&gt;Assumptions!$C$126),0,'Operating Model'!E55+(F133-'Operating Model'!E49)-F135-IF('Operating Model'!E$4=Assumptions!$C$126,IF(Assumptions!$C$136=1,-M134,G134-H134+L134),0)+IF(AND(Assumptions!$C$136&lt;&gt;1,'Operating Model'!E$4=Assumptions!$C$154),K134,0))</f>
        <v>297423.742845092</v>
      </c>
      <c r="G136" s="30" t="n">
        <f aca="false">IF(AND(Assumptions!$C$136=1,'Operating Model'!F$4&gt;Assumptions!$C$126),0,'Operating Model'!F55+(G133-'Operating Model'!F49)-G135-IF('Operating Model'!F$4=Assumptions!$C$126,IF(Assumptions!$C$136=1,-M134,G134-H134+L134),0)+IF(AND(Assumptions!$C$136&lt;&gt;1,'Operating Model'!F$4=Assumptions!$C$154),K134,0))</f>
        <v>5976935.79763572</v>
      </c>
      <c r="H136" s="22" t="n">
        <f aca="false">IFERROR(IRR(B136:G136),"N/A")</f>
        <v>0.0261526698021515</v>
      </c>
      <c r="I136" s="24" t="n">
        <f aca="false">SUM(C136:G136)/F134</f>
        <v>1.12828520296457</v>
      </c>
    </row>
    <row r="138" customFormat="false" ht="15" hidden="false" customHeight="false" outlineLevel="0" collapsed="false">
      <c r="A138" s="2" t="s">
        <v>590</v>
      </c>
      <c r="C138" s="30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38" s="30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38" s="30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38" s="30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38" s="30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38" s="30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38" s="30" t="n">
        <f aca="false">H138-'Operating Model'!$B$42*(F$6/Assumptions!$C$7)*(1+Assumptions!$C$18+0)^('Operating Model'!G$4-1)</f>
        <v>1209117.41207427</v>
      </c>
    </row>
    <row r="139" customFormat="false" ht="15" hidden="false" customHeight="false" outlineLevel="0" collapsed="false">
      <c r="A139" s="2" t="s">
        <v>591</v>
      </c>
      <c r="B139" s="30" t="n">
        <f aca="false">Assumptions!$C$7*(F$6/Assumptions!$C$7)</f>
        <v>15180000</v>
      </c>
      <c r="C139" s="30" t="n">
        <f aca="false">MAX(0,(Assumptions!$C$124+Assumptions!$C$127)-Assumptions!$C$132*B139)</f>
        <v>0</v>
      </c>
      <c r="D139" s="30" t="n">
        <f aca="false">Assumptions!$C$124-MAX(0,C139-Assumptions!$C$127)</f>
        <v>5887000</v>
      </c>
      <c r="E139" s="30" t="n">
        <f aca="false">Assumptions!$C$127-MIN(C139,Assumptions!$C$127)</f>
        <v>3563000</v>
      </c>
      <c r="F139" s="30" t="n">
        <f aca="false">B139*(1+Assumptions!$C$10)+'Unit Mix'!$D$18*1+(D139+E139)*Assumptions!$C$131-(D139+E139)</f>
        <v>6495990</v>
      </c>
      <c r="G139" s="30" t="n">
        <f aca="false">IF(Assumptions!$C$130=1,D139+E139,-FV(Assumptions!$C$125,Assumptions!$C$126,PMT(Assumptions!$C$125,Assumptions!$C$111,D139),D139)-FV(Assumptions!$C$128,Assumptions!$C$126,PMT(Assumptions!$C$128,Assumptions!$C$111,E139),E139))</f>
        <v>9450000</v>
      </c>
      <c r="H139" s="30" t="n">
        <f aca="false">MIN(INDEX(C138:H138,Assumptions!$C$126+1)/$A$9*Assumptions!$C$108,INDEX(C138:H138,Assumptions!$C$126+1)/(Assumptions!$C$109*-PMT('Debt (Assumed)'!$B$99,Assumptions!$C$111,1)))</f>
        <v>8454748.41904858</v>
      </c>
      <c r="I139" s="30" t="n">
        <f aca="false">IF(MAX(0,Assumptions!$C$154-Assumptions!$C$126-'Debt (Assumed)'!$B$100)=0,H139,-FV('Debt (Assumed)'!$B$98,MAX(0,Assumptions!$C$154-Assumptions!$C$126-'Debt (Assumed)'!$B$100),PMT('Debt (Assumed)'!$B$98,Assumptions!$C$111,H139),H139))</f>
        <v>8454748.41904858</v>
      </c>
      <c r="J139" s="30" t="n">
        <f aca="false">I139*'Debt (Assumed)'!$B$102</f>
        <v>0</v>
      </c>
      <c r="K139" s="30" t="n">
        <f aca="false">I138/($A$9+Returns!$B$35)*(1-Assumptions!$C$158)-I139-J139</f>
        <v>5796620.58514451</v>
      </c>
      <c r="L139" s="30" t="n">
        <f aca="false">H139*'Debt (Assumed)'!$B$101</f>
        <v>91311.2829257247</v>
      </c>
      <c r="M139" s="30" t="n">
        <f aca="false">(INDEX(C138:H138,Assumptions!$C$126+1)-'Operating Model'!$B$42*(F$6/Assumptions!$C$7)*(1+Assumptions!$C$18+0)^Assumptions!$C$126)/($A$9+Returns!$B$35)*(1-Assumptions!$C$158)-G139</f>
        <v>4449247.28151039</v>
      </c>
    </row>
    <row r="140" customFormat="false" ht="15" hidden="false" customHeight="false" outlineLevel="0" collapsed="false">
      <c r="A140" s="2" t="s">
        <v>592</v>
      </c>
      <c r="C140" s="30" t="n">
        <f aca="false">IF('Operating Model'!B$4&lt;=Assumptions!$C$126,IF(Assumptions!$C$130=1,D139*Assumptions!$C$125+E139*Assumptions!$C$128,-PMT(Assumptions!$C$125,Assumptions!$C$111,D139)-PMT(Assumptions!$C$128,Assumptions!$C$111,E139)),IF(Assumptions!$C$136=1,0,IF('Operating Model'!B$4-Assumptions!$C$126&lt;='Debt (Assumed)'!$B$100,H139*'Debt (Assumed)'!$B$98,-PMT('Debt (Assumed)'!$B$98,Assumptions!$C$111,H139))))</f>
        <v>397516</v>
      </c>
      <c r="D140" s="30" t="n">
        <f aca="false">IF('Operating Model'!C$4&lt;=Assumptions!$C$126,IF(Assumptions!$C$130=1,D139*Assumptions!$C$125+E139*Assumptions!$C$128,-PMT(Assumptions!$C$125,Assumptions!$C$111,D139)-PMT(Assumptions!$C$128,Assumptions!$C$111,E139)),IF(Assumptions!$C$136=1,0,IF('Operating Model'!C$4-Assumptions!$C$126&lt;='Debt (Assumed)'!$B$100,H139*'Debt (Assumed)'!$B$98,-PMT('Debt (Assumed)'!$B$98,Assumptions!$C$111,H139))))</f>
        <v>397516</v>
      </c>
      <c r="E140" s="30" t="n">
        <f aca="false">IF('Operating Model'!D$4&lt;=Assumptions!$C$126,IF(Assumptions!$C$130=1,D139*Assumptions!$C$125+E139*Assumptions!$C$128,-PMT(Assumptions!$C$125,Assumptions!$C$111,D139)-PMT(Assumptions!$C$128,Assumptions!$C$111,E139)),IF(Assumptions!$C$136=1,0,IF('Operating Model'!D$4-Assumptions!$C$126&lt;='Debt (Assumed)'!$B$100,H139*'Debt (Assumed)'!$B$98,-PMT('Debt (Assumed)'!$B$98,Assumptions!$C$111,H139))))</f>
        <v>397516</v>
      </c>
      <c r="F140" s="30" t="n">
        <f aca="false">IF('Operating Model'!E$4&lt;=Assumptions!$C$126,IF(Assumptions!$C$130=1,D139*Assumptions!$C$125+E139*Assumptions!$C$128,-PMT(Assumptions!$C$125,Assumptions!$C$111,D139)-PMT(Assumptions!$C$128,Assumptions!$C$111,E139)),IF(Assumptions!$C$136=1,0,IF('Operating Model'!E$4-Assumptions!$C$126&lt;='Debt (Assumed)'!$B$100,H139*'Debt (Assumed)'!$B$98,-PMT('Debt (Assumed)'!$B$98,Assumptions!$C$111,H139))))</f>
        <v>569850.043443874</v>
      </c>
      <c r="G140" s="30" t="n">
        <f aca="false">IF('Operating Model'!F$4&lt;=Assumptions!$C$126,IF(Assumptions!$C$130=1,D139*Assumptions!$C$125+E139*Assumptions!$C$128,-PMT(Assumptions!$C$125,Assumptions!$C$111,D139)-PMT(Assumptions!$C$128,Assumptions!$C$111,E139)),IF(Assumptions!$C$136=1,0,IF('Operating Model'!F$4-Assumptions!$C$126&lt;='Debt (Assumed)'!$B$100,H139*'Debt (Assumed)'!$B$98,-PMT('Debt (Assumed)'!$B$98,Assumptions!$C$111,H139))))</f>
        <v>569850.043443874</v>
      </c>
    </row>
    <row r="141" customFormat="false" ht="15" hidden="false" customHeight="false" outlineLevel="0" collapsed="false">
      <c r="A141" s="2" t="s">
        <v>593</v>
      </c>
      <c r="B141" s="30" t="n">
        <f aca="false">-F139</f>
        <v>-6495990</v>
      </c>
      <c r="C141" s="30" t="n">
        <f aca="false">IF(AND(Assumptions!$C$136=1,'Operating Model'!B$4&gt;Assumptions!$C$126),0,'Operating Model'!B55+(C138-'Operating Model'!B49)-C140-IF('Operating Model'!B$4=Assumptions!$C$126,IF(Assumptions!$C$136=1,-M139,G139-H139+L139),0)+IF(AND(Assumptions!$C$136&lt;&gt;1,'Operating Model'!B$4=Assumptions!$C$154),K139,0))</f>
        <v>427953.855496</v>
      </c>
      <c r="D141" s="30" t="n">
        <f aca="false">IF(AND(Assumptions!$C$136=1,'Operating Model'!C$4&gt;Assumptions!$C$126),0,'Operating Model'!C55+(D138-'Operating Model'!C49)-D140-IF('Operating Model'!C$4=Assumptions!$C$126,IF(Assumptions!$C$136=1,-M139,G139-H139+L139),0)+IF(AND(Assumptions!$C$136&lt;&gt;1,'Operating Model'!C$4=Assumptions!$C$154),K139,0))</f>
        <v>303930.640886455</v>
      </c>
      <c r="E141" s="30" t="n">
        <f aca="false">IF(AND(Assumptions!$C$136=1,'Operating Model'!D$4&gt;Assumptions!$C$126),0,'Operating Model'!D55+(E138-'Operating Model'!D49)-E140-IF('Operating Model'!D$4=Assumptions!$C$126,IF(Assumptions!$C$136=1,-M139,G139-H139+L139),0)+IF(AND(Assumptions!$C$136&lt;&gt;1,'Operating Model'!D$4=Assumptions!$C$154),K139,0))</f>
        <v>-624497.235263717</v>
      </c>
      <c r="F141" s="30" t="n">
        <f aca="false">IF(AND(Assumptions!$C$136=1,'Operating Model'!E$4&gt;Assumptions!$C$126),0,'Operating Model'!E55+(F138-'Operating Model'!E49)-F140-IF('Operating Model'!E$4=Assumptions!$C$126,IF(Assumptions!$C$136=1,-M139,G139-H139+L139),0)+IF(AND(Assumptions!$C$136&lt;&gt;1,'Operating Model'!E$4=Assumptions!$C$154),K139,0))</f>
        <v>292728.762325303</v>
      </c>
      <c r="G141" s="30" t="n">
        <f aca="false">IF(AND(Assumptions!$C$136=1,'Operating Model'!F$4&gt;Assumptions!$C$126),0,'Operating Model'!F55+(G138-'Operating Model'!F49)-G140-IF('Operating Model'!F$4=Assumptions!$C$126,IF(Assumptions!$C$136=1,-M139,G139-H139+L139),0)+IF(AND(Assumptions!$C$136&lt;&gt;1,'Operating Model'!F$4=Assumptions!$C$154),K139,0))</f>
        <v>6093993.92486244</v>
      </c>
      <c r="H141" s="22" t="n">
        <f aca="false">IFERROR(IRR(B141:G141),"N/A")</f>
        <v>-6.10231670380596E-005</v>
      </c>
      <c r="I141" s="24" t="n">
        <f aca="false">SUM(C141:G141)/F139</f>
        <v>0.999710582729728</v>
      </c>
    </row>
    <row r="143" customFormat="false" ht="15" hidden="false" customHeight="false" outlineLevel="0" collapsed="false">
      <c r="A143" s="2" t="s">
        <v>594</v>
      </c>
      <c r="C143" s="30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43" s="30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43" s="30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43" s="30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43" s="30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43" s="30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43" s="30" t="n">
        <f aca="false">H143-'Operating Model'!$B$42*(B$6/Assumptions!$C$7)*(1+Assumptions!$C$18+0)^('Operating Model'!G$4-1)</f>
        <v>1209117.41207427</v>
      </c>
    </row>
    <row r="144" customFormat="false" ht="15" hidden="false" customHeight="false" outlineLevel="0" collapsed="false">
      <c r="A144" s="2" t="s">
        <v>595</v>
      </c>
      <c r="B144" s="30" t="n">
        <f aca="false">Assumptions!$C$7*(B$6/Assumptions!$C$7)</f>
        <v>12420000</v>
      </c>
      <c r="C144" s="30" t="n">
        <f aca="false">MAX(0,(Assumptions!$C$124+Assumptions!$C$127)-Assumptions!$C$132*B144)</f>
        <v>135000</v>
      </c>
      <c r="D144" s="30" t="n">
        <f aca="false">Assumptions!$C$124-MAX(0,C144-Assumptions!$C$127)</f>
        <v>5887000</v>
      </c>
      <c r="E144" s="30" t="n">
        <f aca="false">Assumptions!$C$127-MIN(C144,Assumptions!$C$127)</f>
        <v>3428000</v>
      </c>
      <c r="F144" s="30" t="n">
        <f aca="false">B144*(1+Assumptions!$C$10)+'Unit Mix'!$D$18*1+(D144+E144)*Assumptions!$C$131-(D144+E144)</f>
        <v>3828915</v>
      </c>
      <c r="G144" s="30" t="n">
        <f aca="false">IF(Assumptions!$C$130=1,D144+E144,-FV(Assumptions!$C$125,Assumptions!$C$126,PMT(Assumptions!$C$125,Assumptions!$C$111,D144),D144)-FV(Assumptions!$C$128,Assumptions!$C$126,PMT(Assumptions!$C$128,Assumptions!$C$111,E144),E144))</f>
        <v>9315000</v>
      </c>
      <c r="H144" s="30" t="n">
        <f aca="false">MIN(INDEX(C143:H143,Assumptions!$C$126+1)/$A$10*Assumptions!$C$108,INDEX(C143:H143,Assumptions!$C$126+1)/(Assumptions!$C$109*-PMT('Debt (Assumed)'!$B$99,Assumptions!$C$111,1)))</f>
        <v>8943312.12350742</v>
      </c>
      <c r="I144" s="30" t="n">
        <f aca="false">IF(MAX(0,Assumptions!$C$154-Assumptions!$C$126-'Debt (Assumed)'!$B$100)=0,H144,-FV('Debt (Assumed)'!$B$98,MAX(0,Assumptions!$C$154-Assumptions!$C$126-'Debt (Assumed)'!$B$100),PMT('Debt (Assumed)'!$B$98,Assumptions!$C$111,H144),H144))</f>
        <v>8943312.12350742</v>
      </c>
      <c r="J144" s="30" t="n">
        <f aca="false">I144*'Debt (Assumed)'!$B$102</f>
        <v>0</v>
      </c>
      <c r="K144" s="30" t="n">
        <f aca="false">I143/($A$10+Returns!$B$35)*(1-Assumptions!$C$158)-I144-J144</f>
        <v>4499655.24610182</v>
      </c>
      <c r="L144" s="30" t="n">
        <f aca="false">H144*'Debt (Assumed)'!$B$101</f>
        <v>96587.7709338801</v>
      </c>
      <c r="M144" s="30" t="n">
        <f aca="false">(INDEX(C143:H143,Assumptions!$C$126+1)-'Operating Model'!$B$42*(B$6/Assumptions!$C$7)*(1+Assumptions!$C$18+0)^Assumptions!$C$126)/($A$10+Returns!$B$35)*(1-Assumptions!$C$158)-G144</f>
        <v>3795819.57196528</v>
      </c>
    </row>
    <row r="145" customFormat="false" ht="15" hidden="false" customHeight="false" outlineLevel="0" collapsed="false">
      <c r="A145" s="2" t="s">
        <v>596</v>
      </c>
      <c r="C145" s="30" t="n">
        <f aca="false">IF('Operating Model'!B$4&lt;=Assumptions!$C$126,IF(Assumptions!$C$130=1,D144*Assumptions!$C$125+E144*Assumptions!$C$128,-PMT(Assumptions!$C$125,Assumptions!$C$111,D144)-PMT(Assumptions!$C$128,Assumptions!$C$111,E144)),IF(Assumptions!$C$136=1,0,IF('Operating Model'!B$4-Assumptions!$C$126&lt;='Debt (Assumed)'!$B$100,H144*'Debt (Assumed)'!$B$98,-PMT('Debt (Assumed)'!$B$98,Assumptions!$C$111,H144))))</f>
        <v>389146</v>
      </c>
      <c r="D145" s="30" t="n">
        <f aca="false">IF('Operating Model'!C$4&lt;=Assumptions!$C$126,IF(Assumptions!$C$130=1,D144*Assumptions!$C$125+E144*Assumptions!$C$128,-PMT(Assumptions!$C$125,Assumptions!$C$111,D144)-PMT(Assumptions!$C$128,Assumptions!$C$111,E144)),IF(Assumptions!$C$136=1,0,IF('Operating Model'!C$4-Assumptions!$C$126&lt;='Debt (Assumed)'!$B$100,H144*'Debt (Assumed)'!$B$98,-PMT('Debt (Assumed)'!$B$98,Assumptions!$C$111,H144))))</f>
        <v>389146</v>
      </c>
      <c r="E145" s="30" t="n">
        <f aca="false">IF('Operating Model'!D$4&lt;=Assumptions!$C$126,IF(Assumptions!$C$130=1,D144*Assumptions!$C$125+E144*Assumptions!$C$128,-PMT(Assumptions!$C$125,Assumptions!$C$111,D144)-PMT(Assumptions!$C$128,Assumptions!$C$111,E144)),IF(Assumptions!$C$136=1,0,IF('Operating Model'!D$4-Assumptions!$C$126&lt;='Debt (Assumed)'!$B$100,H144*'Debt (Assumed)'!$B$98,-PMT('Debt (Assumed)'!$B$98,Assumptions!$C$111,H144))))</f>
        <v>389146</v>
      </c>
      <c r="F145" s="30" t="n">
        <f aca="false">IF('Operating Model'!E$4&lt;=Assumptions!$C$126,IF(Assumptions!$C$130=1,D144*Assumptions!$C$125+E144*Assumptions!$C$128,-PMT(Assumptions!$C$125,Assumptions!$C$111,D144)-PMT(Assumptions!$C$128,Assumptions!$C$111,E144)),IF(Assumptions!$C$136=1,0,IF('Operating Model'!E$4-Assumptions!$C$126&lt;='Debt (Assumed)'!$B$100,H144*'Debt (Assumed)'!$B$98,-PMT('Debt (Assumed)'!$B$98,Assumptions!$C$111,H144))))</f>
        <v>602779.2371244</v>
      </c>
      <c r="G145" s="30" t="n">
        <f aca="false">IF('Operating Model'!F$4&lt;=Assumptions!$C$126,IF(Assumptions!$C$130=1,D144*Assumptions!$C$125+E144*Assumptions!$C$128,-PMT(Assumptions!$C$125,Assumptions!$C$111,D144)-PMT(Assumptions!$C$128,Assumptions!$C$111,E144)),IF(Assumptions!$C$136=1,0,IF('Operating Model'!F$4-Assumptions!$C$126&lt;='Debt (Assumed)'!$B$100,H144*'Debt (Assumed)'!$B$98,-PMT('Debt (Assumed)'!$B$98,Assumptions!$C$111,H144))))</f>
        <v>602779.2371244</v>
      </c>
    </row>
    <row r="146" customFormat="false" ht="15" hidden="false" customHeight="false" outlineLevel="0" collapsed="false">
      <c r="A146" s="2" t="s">
        <v>597</v>
      </c>
      <c r="B146" s="30" t="n">
        <f aca="false">-F144</f>
        <v>-3828915</v>
      </c>
      <c r="C146" s="30" t="n">
        <f aca="false">IF(AND(Assumptions!$C$136=1,'Operating Model'!B$4&gt;Assumptions!$C$126),0,'Operating Model'!B55+(C143-'Operating Model'!B49)-C145-IF('Operating Model'!B$4=Assumptions!$C$126,IF(Assumptions!$C$136=1,-M144,G144-H144+L144),0)+IF(AND(Assumptions!$C$136&lt;&gt;1,'Operating Model'!B$4=Assumptions!$C$154),K144,0))</f>
        <v>483645.021496</v>
      </c>
      <c r="D146" s="30" t="n">
        <f aca="false">IF(AND(Assumptions!$C$136=1,'Operating Model'!C$4&gt;Assumptions!$C$126),0,'Operating Model'!C55+(D143-'Operating Model'!C49)-D145-IF('Operating Model'!C$4=Assumptions!$C$126,IF(Assumptions!$C$136=1,-M144,G144-H144+L144),0)+IF(AND(Assumptions!$C$136&lt;&gt;1,'Operating Model'!C$4=Assumptions!$C$154),K144,0))</f>
        <v>361041.441866455</v>
      </c>
      <c r="E146" s="30" t="n">
        <f aca="false">IF(AND(Assumptions!$C$136=1,'Operating Model'!D$4&gt;Assumptions!$C$126),0,'Operating Model'!D55+(E143-'Operating Model'!D49)-E145-IF('Operating Model'!D$4=Assumptions!$C$126,IF(Assumptions!$C$136=1,-M144,G144-H144+L144),0)+IF(AND(Assumptions!$C$136&lt;&gt;1,'Operating Model'!D$4=Assumptions!$C$154),K144,0))</f>
        <v>52363.0061963619</v>
      </c>
      <c r="F146" s="30" t="n">
        <f aca="false">IF(AND(Assumptions!$C$136=1,'Operating Model'!E$4&gt;Assumptions!$C$126),0,'Operating Model'!E55+(F143-'Operating Model'!E49)-F145-IF('Operating Model'!E$4=Assumptions!$C$126,IF(Assumptions!$C$136=1,-M144,G144-H144+L144),0)+IF(AND(Assumptions!$C$136&lt;&gt;1,'Operating Model'!E$4=Assumptions!$C$154),K144,0))</f>
        <v>311508.68440446</v>
      </c>
      <c r="G146" s="30" t="n">
        <f aca="false">IF(AND(Assumptions!$C$136=1,'Operating Model'!F$4&gt;Assumptions!$C$126),0,'Operating Model'!F55+(G143-'Operating Model'!F49)-G145-IF('Operating Model'!F$4=Assumptions!$C$126,IF(Assumptions!$C$136=1,-M144,G144-H144+L144),0)+IF(AND(Assumptions!$C$136&lt;&gt;1,'Operating Model'!F$4=Assumptions!$C$154),K144,0))</f>
        <v>4817359.7813717</v>
      </c>
      <c r="H146" s="22" t="n">
        <f aca="false">IFERROR(IRR(B146:G146),"N/A")</f>
        <v>0.110149425078056</v>
      </c>
      <c r="I146" s="24" t="n">
        <f aca="false">SUM(C146:G146)/F144</f>
        <v>1.57379255881496</v>
      </c>
    </row>
    <row r="148" customFormat="false" ht="15" hidden="false" customHeight="false" outlineLevel="0" collapsed="false">
      <c r="A148" s="2" t="s">
        <v>598</v>
      </c>
      <c r="C148" s="30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48" s="30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48" s="30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48" s="30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48" s="30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48" s="30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48" s="30" t="n">
        <f aca="false">H148-'Operating Model'!$B$42*(C$6/Assumptions!$C$7)*(1+Assumptions!$C$18+0)^('Operating Model'!G$4-1)</f>
        <v>1209117.41207427</v>
      </c>
    </row>
    <row r="149" customFormat="false" ht="15" hidden="false" customHeight="false" outlineLevel="0" collapsed="false">
      <c r="A149" s="2" t="s">
        <v>599</v>
      </c>
      <c r="B149" s="30" t="n">
        <f aca="false">Assumptions!$C$7*(C$6/Assumptions!$C$7)</f>
        <v>13110000</v>
      </c>
      <c r="C149" s="30" t="n">
        <f aca="false">MAX(0,(Assumptions!$C$124+Assumptions!$C$127)-Assumptions!$C$132*B149)</f>
        <v>0</v>
      </c>
      <c r="D149" s="30" t="n">
        <f aca="false">Assumptions!$C$124-MAX(0,C149-Assumptions!$C$127)</f>
        <v>5887000</v>
      </c>
      <c r="E149" s="30" t="n">
        <f aca="false">Assumptions!$C$127-MIN(C149,Assumptions!$C$127)</f>
        <v>3563000</v>
      </c>
      <c r="F149" s="30" t="n">
        <f aca="false">B149*(1+Assumptions!$C$10)+'Unit Mix'!$D$18*1+(D149+E149)*Assumptions!$C$131-(D149+E149)</f>
        <v>4394940</v>
      </c>
      <c r="G149" s="30" t="n">
        <f aca="false">IF(Assumptions!$C$130=1,D149+E149,-FV(Assumptions!$C$125,Assumptions!$C$126,PMT(Assumptions!$C$125,Assumptions!$C$111,D149),D149)-FV(Assumptions!$C$128,Assumptions!$C$126,PMT(Assumptions!$C$128,Assumptions!$C$111,E149),E149))</f>
        <v>9450000</v>
      </c>
      <c r="H149" s="30" t="n">
        <f aca="false">MIN(INDEX(C148:H148,Assumptions!$C$126+1)/$A$10*Assumptions!$C$108,INDEX(C148:H148,Assumptions!$C$126+1)/(Assumptions!$C$109*-PMT('Debt (Assumed)'!$B$99,Assumptions!$C$111,1)))</f>
        <v>8821171.19739271</v>
      </c>
      <c r="I149" s="30" t="n">
        <f aca="false">IF(MAX(0,Assumptions!$C$154-Assumptions!$C$126-'Debt (Assumed)'!$B$100)=0,H149,-FV('Debt (Assumed)'!$B$98,MAX(0,Assumptions!$C$154-Assumptions!$C$126-'Debt (Assumed)'!$B$100),PMT('Debt (Assumed)'!$B$98,Assumptions!$C$111,H149),H149))</f>
        <v>8821171.19739271</v>
      </c>
      <c r="J149" s="30" t="n">
        <f aca="false">I149*'Debt (Assumed)'!$B$102</f>
        <v>0</v>
      </c>
      <c r="K149" s="30" t="n">
        <f aca="false">I148/($A$10+Returns!$B$35)*(1-Assumptions!$C$158)-I149-J149</f>
        <v>4621796.17221653</v>
      </c>
      <c r="L149" s="30" t="n">
        <f aca="false">H149*'Debt (Assumed)'!$B$101</f>
        <v>95268.6489318413</v>
      </c>
      <c r="M149" s="30" t="n">
        <f aca="false">(INDEX(C148:H148,Assumptions!$C$126+1)-'Operating Model'!$B$42*(C$6/Assumptions!$C$7)*(1+Assumptions!$C$18+0)^Assumptions!$C$126)/($A$10+Returns!$B$35)*(1-Assumptions!$C$158)-G149</f>
        <v>3660819.57196528</v>
      </c>
    </row>
    <row r="150" customFormat="false" ht="15" hidden="false" customHeight="false" outlineLevel="0" collapsed="false">
      <c r="A150" s="2" t="s">
        <v>600</v>
      </c>
      <c r="C150" s="30" t="n">
        <f aca="false">IF('Operating Model'!B$4&lt;=Assumptions!$C$126,IF(Assumptions!$C$130=1,D149*Assumptions!$C$125+E149*Assumptions!$C$128,-PMT(Assumptions!$C$125,Assumptions!$C$111,D149)-PMT(Assumptions!$C$128,Assumptions!$C$111,E149)),IF(Assumptions!$C$136=1,0,IF('Operating Model'!B$4-Assumptions!$C$126&lt;='Debt (Assumed)'!$B$100,H149*'Debt (Assumed)'!$B$98,-PMT('Debt (Assumed)'!$B$98,Assumptions!$C$111,H149))))</f>
        <v>397516</v>
      </c>
      <c r="D150" s="30" t="n">
        <f aca="false">IF('Operating Model'!C$4&lt;=Assumptions!$C$126,IF(Assumptions!$C$130=1,D149*Assumptions!$C$125+E149*Assumptions!$C$128,-PMT(Assumptions!$C$125,Assumptions!$C$111,D149)-PMT(Assumptions!$C$128,Assumptions!$C$111,E149)),IF(Assumptions!$C$136=1,0,IF('Operating Model'!C$4-Assumptions!$C$126&lt;='Debt (Assumed)'!$B$100,H149*'Debt (Assumed)'!$B$98,-PMT('Debt (Assumed)'!$B$98,Assumptions!$C$111,H149))))</f>
        <v>397516</v>
      </c>
      <c r="E150" s="30" t="n">
        <f aca="false">IF('Operating Model'!D$4&lt;=Assumptions!$C$126,IF(Assumptions!$C$130=1,D149*Assumptions!$C$125+E149*Assumptions!$C$128,-PMT(Assumptions!$C$125,Assumptions!$C$111,D149)-PMT(Assumptions!$C$128,Assumptions!$C$111,E149)),IF(Assumptions!$C$136=1,0,IF('Operating Model'!D$4-Assumptions!$C$126&lt;='Debt (Assumed)'!$B$100,H149*'Debt (Assumed)'!$B$98,-PMT('Debt (Assumed)'!$B$98,Assumptions!$C$111,H149))))</f>
        <v>397516</v>
      </c>
      <c r="F150" s="30" t="n">
        <f aca="false">IF('Operating Model'!E$4&lt;=Assumptions!$C$126,IF(Assumptions!$C$130=1,D149*Assumptions!$C$125+E149*Assumptions!$C$128,-PMT(Assumptions!$C$125,Assumptions!$C$111,D149)-PMT(Assumptions!$C$128,Assumptions!$C$111,E149)),IF(Assumptions!$C$136=1,0,IF('Operating Model'!E$4-Assumptions!$C$126&lt;='Debt (Assumed)'!$B$100,H149*'Debt (Assumed)'!$B$98,-PMT('Debt (Assumed)'!$B$98,Assumptions!$C$111,H149))))</f>
        <v>594546.938704269</v>
      </c>
      <c r="G150" s="30" t="n">
        <f aca="false">IF('Operating Model'!F$4&lt;=Assumptions!$C$126,IF(Assumptions!$C$130=1,D149*Assumptions!$C$125+E149*Assumptions!$C$128,-PMT(Assumptions!$C$125,Assumptions!$C$111,D149)-PMT(Assumptions!$C$128,Assumptions!$C$111,E149)),IF(Assumptions!$C$136=1,0,IF('Operating Model'!F$4-Assumptions!$C$126&lt;='Debt (Assumed)'!$B$100,H149*'Debt (Assumed)'!$B$98,-PMT('Debt (Assumed)'!$B$98,Assumptions!$C$111,H149))))</f>
        <v>594546.938704269</v>
      </c>
    </row>
    <row r="151" customFormat="false" ht="15" hidden="false" customHeight="false" outlineLevel="0" collapsed="false">
      <c r="A151" s="2" t="s">
        <v>601</v>
      </c>
      <c r="B151" s="30" t="n">
        <f aca="false">-F149</f>
        <v>-4394940</v>
      </c>
      <c r="C151" s="30" t="n">
        <f aca="false">IF(AND(Assumptions!$C$136=1,'Operating Model'!B$4&gt;Assumptions!$C$126),0,'Operating Model'!B55+(C148-'Operating Model'!B49)-C150-IF('Operating Model'!B$4=Assumptions!$C$126,IF(Assumptions!$C$136=1,-M149,G149-H149+L149),0)+IF(AND(Assumptions!$C$136&lt;&gt;1,'Operating Model'!B$4=Assumptions!$C$154),K149,0))</f>
        <v>463444.729996</v>
      </c>
      <c r="D151" s="30" t="n">
        <f aca="false">IF(AND(Assumptions!$C$136=1,'Operating Model'!C$4&gt;Assumptions!$C$126),0,'Operating Model'!C55+(D148-'Operating Model'!C49)-D150-IF('Operating Model'!C$4=Assumptions!$C$126,IF(Assumptions!$C$136=1,-M149,G149-H149+L149),0)+IF(AND(Assumptions!$C$136&lt;&gt;1,'Operating Model'!C$4=Assumptions!$C$154),K149,0))</f>
        <v>340486.241621455</v>
      </c>
      <c r="E151" s="30" t="n">
        <f aca="false">IF(AND(Assumptions!$C$136=1,'Operating Model'!D$4&gt;Assumptions!$C$126),0,'Operating Model'!D55+(E148-'Operating Model'!D49)-E150-IF('Operating Model'!D$4=Assumptions!$C$126,IF(Assumptions!$C$136=1,-M149,G149-H149+L149),0)+IF(AND(Assumptions!$C$136&lt;&gt;1,'Operating Model'!D$4=Assumptions!$C$154),K149,0))</f>
        <v>-224379.554168657</v>
      </c>
      <c r="F151" s="30" t="n">
        <f aca="false">IF(AND(Assumptions!$C$136=1,'Operating Model'!E$4&gt;Assumptions!$C$126),0,'Operating Model'!E55+(F148-'Operating Model'!E49)-F150-IF('Operating Model'!E$4=Assumptions!$C$126,IF(Assumptions!$C$136=1,-M149,G149-H149+L149),0)+IF(AND(Assumptions!$C$136&lt;&gt;1,'Operating Model'!E$4=Assumptions!$C$154),K149,0))</f>
        <v>306813.703884671</v>
      </c>
      <c r="G151" s="30" t="n">
        <f aca="false">IF(AND(Assumptions!$C$136=1,'Operating Model'!F$4&gt;Assumptions!$C$126),0,'Operating Model'!F55+(G148-'Operating Model'!F49)-G150-IF('Operating Model'!F$4=Assumptions!$C$126,IF(Assumptions!$C$136=1,-M149,G149-H149+L149),0)+IF(AND(Assumptions!$C$136&lt;&gt;1,'Operating Model'!F$4=Assumptions!$C$154),K149,0))</f>
        <v>4934417.90859843</v>
      </c>
      <c r="H151" s="22" t="n">
        <f aca="false">IFERROR(IRR(B151:G151),"N/A")</f>
        <v>0.0647093421031615</v>
      </c>
      <c r="I151" s="24" t="n">
        <f aca="false">SUM(C151:G151)/F149</f>
        <v>1.32442832665108</v>
      </c>
    </row>
    <row r="153" customFormat="false" ht="15" hidden="false" customHeight="false" outlineLevel="0" collapsed="false">
      <c r="A153" s="2" t="s">
        <v>602</v>
      </c>
      <c r="C153" s="30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53" s="30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53" s="30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53" s="30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53" s="30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53" s="30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53" s="30" t="n">
        <f aca="false">H153-'Operating Model'!$B$42*(D$6/Assumptions!$C$7)*(1+Assumptions!$C$18+0)^('Operating Model'!G$4-1)</f>
        <v>1209117.41207427</v>
      </c>
    </row>
    <row r="154" customFormat="false" ht="15" hidden="false" customHeight="false" outlineLevel="0" collapsed="false">
      <c r="A154" s="2" t="s">
        <v>603</v>
      </c>
      <c r="B154" s="30" t="n">
        <f aca="false">Assumptions!$C$7*(D$6/Assumptions!$C$7)</f>
        <v>13800000</v>
      </c>
      <c r="C154" s="30" t="n">
        <f aca="false">MAX(0,(Assumptions!$C$124+Assumptions!$C$127)-Assumptions!$C$132*B154)</f>
        <v>0</v>
      </c>
      <c r="D154" s="30" t="n">
        <f aca="false">Assumptions!$C$124-MAX(0,C154-Assumptions!$C$127)</f>
        <v>5887000</v>
      </c>
      <c r="E154" s="30" t="n">
        <f aca="false">Assumptions!$C$127-MIN(C154,Assumptions!$C$127)</f>
        <v>3563000</v>
      </c>
      <c r="F154" s="30" t="n">
        <f aca="false">B154*(1+Assumptions!$C$10)+'Unit Mix'!$D$18*1+(D154+E154)*Assumptions!$C$131-(D154+E154)</f>
        <v>5095290</v>
      </c>
      <c r="G154" s="30" t="n">
        <f aca="false">IF(Assumptions!$C$130=1,D154+E154,-FV(Assumptions!$C$125,Assumptions!$C$126,PMT(Assumptions!$C$125,Assumptions!$C$111,D154),D154)-FV(Assumptions!$C$128,Assumptions!$C$126,PMT(Assumptions!$C$128,Assumptions!$C$111,E154),E154))</f>
        <v>9450000</v>
      </c>
      <c r="H154" s="30" t="n">
        <f aca="false">MIN(INDEX(C153:H153,Assumptions!$C$126+1)/$A$10*Assumptions!$C$108,INDEX(C153:H153,Assumptions!$C$126+1)/(Assumptions!$C$109*-PMT('Debt (Assumed)'!$B$99,Assumptions!$C$111,1)))</f>
        <v>8699030.271278</v>
      </c>
      <c r="I154" s="30" t="n">
        <f aca="false">IF(MAX(0,Assumptions!$C$154-Assumptions!$C$126-'Debt (Assumed)'!$B$100)=0,H154,-FV('Debt (Assumed)'!$B$98,MAX(0,Assumptions!$C$154-Assumptions!$C$126-'Debt (Assumed)'!$B$100),PMT('Debt (Assumed)'!$B$98,Assumptions!$C$111,H154),H154))</f>
        <v>8699030.271278</v>
      </c>
      <c r="J154" s="30" t="n">
        <f aca="false">I154*'Debt (Assumed)'!$B$102</f>
        <v>0</v>
      </c>
      <c r="K154" s="30" t="n">
        <f aca="false">I153/($A$10+Returns!$B$35)*(1-Assumptions!$C$158)-I154-J154</f>
        <v>4743937.09833124</v>
      </c>
      <c r="L154" s="30" t="n">
        <f aca="false">H154*'Debt (Assumed)'!$B$101</f>
        <v>93949.5269298024</v>
      </c>
      <c r="M154" s="30" t="n">
        <f aca="false">(INDEX(C153:H153,Assumptions!$C$126+1)-'Operating Model'!$B$42*(D$6/Assumptions!$C$7)*(1+Assumptions!$C$18+0)^Assumptions!$C$126)/($A$10+Returns!$B$35)*(1-Assumptions!$C$158)-G154</f>
        <v>3660819.57196528</v>
      </c>
    </row>
    <row r="155" customFormat="false" ht="15" hidden="false" customHeight="false" outlineLevel="0" collapsed="false">
      <c r="A155" s="2" t="s">
        <v>604</v>
      </c>
      <c r="C155" s="30" t="n">
        <f aca="false">IF('Operating Model'!B$4&lt;=Assumptions!$C$126,IF(Assumptions!$C$130=1,D154*Assumptions!$C$125+E154*Assumptions!$C$128,-PMT(Assumptions!$C$125,Assumptions!$C$111,D154)-PMT(Assumptions!$C$128,Assumptions!$C$111,E154)),IF(Assumptions!$C$136=1,0,IF('Operating Model'!B$4-Assumptions!$C$126&lt;='Debt (Assumed)'!$B$100,H154*'Debt (Assumed)'!$B$98,-PMT('Debt (Assumed)'!$B$98,Assumptions!$C$111,H154))))</f>
        <v>397516</v>
      </c>
      <c r="D155" s="30" t="n">
        <f aca="false">IF('Operating Model'!C$4&lt;=Assumptions!$C$126,IF(Assumptions!$C$130=1,D154*Assumptions!$C$125+E154*Assumptions!$C$128,-PMT(Assumptions!$C$125,Assumptions!$C$111,D154)-PMT(Assumptions!$C$128,Assumptions!$C$111,E154)),IF(Assumptions!$C$136=1,0,IF('Operating Model'!C$4-Assumptions!$C$126&lt;='Debt (Assumed)'!$B$100,H154*'Debt (Assumed)'!$B$98,-PMT('Debt (Assumed)'!$B$98,Assumptions!$C$111,H154))))</f>
        <v>397516</v>
      </c>
      <c r="E155" s="30" t="n">
        <f aca="false">IF('Operating Model'!D$4&lt;=Assumptions!$C$126,IF(Assumptions!$C$130=1,D154*Assumptions!$C$125+E154*Assumptions!$C$128,-PMT(Assumptions!$C$125,Assumptions!$C$111,D154)-PMT(Assumptions!$C$128,Assumptions!$C$111,E154)),IF(Assumptions!$C$136=1,0,IF('Operating Model'!D$4-Assumptions!$C$126&lt;='Debt (Assumed)'!$B$100,H154*'Debt (Assumed)'!$B$98,-PMT('Debt (Assumed)'!$B$98,Assumptions!$C$111,H154))))</f>
        <v>397516</v>
      </c>
      <c r="F155" s="30" t="n">
        <f aca="false">IF('Operating Model'!E$4&lt;=Assumptions!$C$126,IF(Assumptions!$C$130=1,D154*Assumptions!$C$125+E154*Assumptions!$C$128,-PMT(Assumptions!$C$125,Assumptions!$C$111,D154)-PMT(Assumptions!$C$128,Assumptions!$C$111,E154)),IF(Assumptions!$C$136=1,0,IF('Operating Model'!E$4-Assumptions!$C$126&lt;='Debt (Assumed)'!$B$100,H154*'Debt (Assumed)'!$B$98,-PMT('Debt (Assumed)'!$B$98,Assumptions!$C$111,H154))))</f>
        <v>586314.640284137</v>
      </c>
      <c r="G155" s="30" t="n">
        <f aca="false">IF('Operating Model'!F$4&lt;=Assumptions!$C$126,IF(Assumptions!$C$130=1,D154*Assumptions!$C$125+E154*Assumptions!$C$128,-PMT(Assumptions!$C$125,Assumptions!$C$111,D154)-PMT(Assumptions!$C$128,Assumptions!$C$111,E154)),IF(Assumptions!$C$136=1,0,IF('Operating Model'!F$4-Assumptions!$C$126&lt;='Debt (Assumed)'!$B$100,H154*'Debt (Assumed)'!$B$98,-PMT('Debt (Assumed)'!$B$98,Assumptions!$C$111,H154))))</f>
        <v>586314.640284137</v>
      </c>
    </row>
    <row r="156" customFormat="false" ht="15" hidden="false" customHeight="false" outlineLevel="0" collapsed="false">
      <c r="A156" s="2" t="s">
        <v>605</v>
      </c>
      <c r="B156" s="30" t="n">
        <f aca="false">-F154</f>
        <v>-5095290</v>
      </c>
      <c r="C156" s="30" t="n">
        <f aca="false">IF(AND(Assumptions!$C$136=1,'Operating Model'!B$4&gt;Assumptions!$C$126),0,'Operating Model'!B55+(C153-'Operating Model'!B49)-C155-IF('Operating Model'!B$4=Assumptions!$C$126,IF(Assumptions!$C$136=1,-M154,G154-H154+L154),0)+IF(AND(Assumptions!$C$136&lt;&gt;1,'Operating Model'!B$4=Assumptions!$C$154),K154,0))</f>
        <v>451614.438496</v>
      </c>
      <c r="D156" s="30" t="n">
        <f aca="false">IF(AND(Assumptions!$C$136=1,'Operating Model'!C$4&gt;Assumptions!$C$126),0,'Operating Model'!C55+(D153-'Operating Model'!C49)-D155-IF('Operating Model'!C$4=Assumptions!$C$126,IF(Assumptions!$C$136=1,-M154,G154-H154+L154),0)+IF(AND(Assumptions!$C$136&lt;&gt;1,'Operating Model'!C$4=Assumptions!$C$154),K154,0))</f>
        <v>328301.041376455</v>
      </c>
      <c r="E156" s="30" t="n">
        <f aca="false">IF(AND(Assumptions!$C$136=1,'Operating Model'!D$4&gt;Assumptions!$C$126),0,'Operating Model'!D55+(E153-'Operating Model'!D49)-E155-IF('Operating Model'!D$4=Assumptions!$C$126,IF(Assumptions!$C$136=1,-M154,G154-H154+L154),0)+IF(AND(Assumptions!$C$136&lt;&gt;1,'Operating Model'!D$4=Assumptions!$C$154),K154,0))</f>
        <v>-357752.114533679</v>
      </c>
      <c r="F156" s="30" t="n">
        <f aca="false">IF(AND(Assumptions!$C$136=1,'Operating Model'!E$4&gt;Assumptions!$C$126),0,'Operating Model'!E55+(F153-'Operating Model'!E49)-F155-IF('Operating Model'!E$4=Assumptions!$C$126,IF(Assumptions!$C$136=1,-M154,G154-H154+L154),0)+IF(AND(Assumptions!$C$136&lt;&gt;1,'Operating Model'!E$4=Assumptions!$C$154),K154,0))</f>
        <v>302118.723364882</v>
      </c>
      <c r="G156" s="30" t="n">
        <f aca="false">IF(AND(Assumptions!$C$136=1,'Operating Model'!F$4&gt;Assumptions!$C$126),0,'Operating Model'!F55+(G153-'Operating Model'!F49)-G155-IF('Operating Model'!F$4=Assumptions!$C$126,IF(Assumptions!$C$136=1,-M154,G154-H154+L154),0)+IF(AND(Assumptions!$C$136&lt;&gt;1,'Operating Model'!F$4=Assumptions!$C$154),K154,0))</f>
        <v>5051476.03582515</v>
      </c>
      <c r="H156" s="22" t="n">
        <f aca="false">IFERROR(IRR(B156:G156),"N/A")</f>
        <v>0.0278180589848475</v>
      </c>
      <c r="I156" s="24" t="n">
        <f aca="false">SUM(C156:G156)/F154</f>
        <v>1.13354845838584</v>
      </c>
    </row>
    <row r="158" customFormat="false" ht="15" hidden="false" customHeight="false" outlineLevel="0" collapsed="false">
      <c r="A158" s="2" t="s">
        <v>606</v>
      </c>
      <c r="C158" s="30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58" s="30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58" s="30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58" s="30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58" s="30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58" s="30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58" s="30" t="n">
        <f aca="false">H158-'Operating Model'!$B$42*(E$6/Assumptions!$C$7)*(1+Assumptions!$C$18+0)^('Operating Model'!G$4-1)</f>
        <v>1209117.41207427</v>
      </c>
    </row>
    <row r="159" customFormat="false" ht="15" hidden="false" customHeight="false" outlineLevel="0" collapsed="false">
      <c r="A159" s="2" t="s">
        <v>607</v>
      </c>
      <c r="B159" s="30" t="n">
        <f aca="false">Assumptions!$C$7*(E$6/Assumptions!$C$7)</f>
        <v>14490000</v>
      </c>
      <c r="C159" s="30" t="n">
        <f aca="false">MAX(0,(Assumptions!$C$124+Assumptions!$C$127)-Assumptions!$C$132*B159)</f>
        <v>0</v>
      </c>
      <c r="D159" s="30" t="n">
        <f aca="false">Assumptions!$C$124-MAX(0,C159-Assumptions!$C$127)</f>
        <v>5887000</v>
      </c>
      <c r="E159" s="30" t="n">
        <f aca="false">Assumptions!$C$127-MIN(C159,Assumptions!$C$127)</f>
        <v>3563000</v>
      </c>
      <c r="F159" s="30" t="n">
        <f aca="false">B159*(1+Assumptions!$C$10)+'Unit Mix'!$D$18*1+(D159+E159)*Assumptions!$C$131-(D159+E159)</f>
        <v>5795640</v>
      </c>
      <c r="G159" s="30" t="n">
        <f aca="false">IF(Assumptions!$C$130=1,D159+E159,-FV(Assumptions!$C$125,Assumptions!$C$126,PMT(Assumptions!$C$125,Assumptions!$C$111,D159),D159)-FV(Assumptions!$C$128,Assumptions!$C$126,PMT(Assumptions!$C$128,Assumptions!$C$111,E159),E159))</f>
        <v>9450000</v>
      </c>
      <c r="H159" s="30" t="n">
        <f aca="false">MIN(INDEX(C158:H158,Assumptions!$C$126+1)/$A$10*Assumptions!$C$108,INDEX(C158:H158,Assumptions!$C$126+1)/(Assumptions!$C$109*-PMT('Debt (Assumed)'!$B$99,Assumptions!$C$111,1)))</f>
        <v>8576889.34516329</v>
      </c>
      <c r="I159" s="30" t="n">
        <f aca="false">IF(MAX(0,Assumptions!$C$154-Assumptions!$C$126-'Debt (Assumed)'!$B$100)=0,H159,-FV('Debt (Assumed)'!$B$98,MAX(0,Assumptions!$C$154-Assumptions!$C$126-'Debt (Assumed)'!$B$100),PMT('Debt (Assumed)'!$B$98,Assumptions!$C$111,H159),H159))</f>
        <v>8576889.34516329</v>
      </c>
      <c r="J159" s="30" t="n">
        <f aca="false">I159*'Debt (Assumed)'!$B$102</f>
        <v>0</v>
      </c>
      <c r="K159" s="30" t="n">
        <f aca="false">I158/($A$10+Returns!$B$35)*(1-Assumptions!$C$158)-I159-J159</f>
        <v>4866078.02444595</v>
      </c>
      <c r="L159" s="30" t="n">
        <f aca="false">H159*'Debt (Assumed)'!$B$101</f>
        <v>92630.4049277635</v>
      </c>
      <c r="M159" s="30" t="n">
        <f aca="false">(INDEX(C158:H158,Assumptions!$C$126+1)-'Operating Model'!$B$42*(E$6/Assumptions!$C$7)*(1+Assumptions!$C$18+0)^Assumptions!$C$126)/($A$10+Returns!$B$35)*(1-Assumptions!$C$158)-G159</f>
        <v>3660819.57196528</v>
      </c>
    </row>
    <row r="160" customFormat="false" ht="15" hidden="false" customHeight="false" outlineLevel="0" collapsed="false">
      <c r="A160" s="2" t="s">
        <v>608</v>
      </c>
      <c r="C160" s="30" t="n">
        <f aca="false">IF('Operating Model'!B$4&lt;=Assumptions!$C$126,IF(Assumptions!$C$130=1,D159*Assumptions!$C$125+E159*Assumptions!$C$128,-PMT(Assumptions!$C$125,Assumptions!$C$111,D159)-PMT(Assumptions!$C$128,Assumptions!$C$111,E159)),IF(Assumptions!$C$136=1,0,IF('Operating Model'!B$4-Assumptions!$C$126&lt;='Debt (Assumed)'!$B$100,H159*'Debt (Assumed)'!$B$98,-PMT('Debt (Assumed)'!$B$98,Assumptions!$C$111,H159))))</f>
        <v>397516</v>
      </c>
      <c r="D160" s="30" t="n">
        <f aca="false">IF('Operating Model'!C$4&lt;=Assumptions!$C$126,IF(Assumptions!$C$130=1,D159*Assumptions!$C$125+E159*Assumptions!$C$128,-PMT(Assumptions!$C$125,Assumptions!$C$111,D159)-PMT(Assumptions!$C$128,Assumptions!$C$111,E159)),IF(Assumptions!$C$136=1,0,IF('Operating Model'!C$4-Assumptions!$C$126&lt;='Debt (Assumed)'!$B$100,H159*'Debt (Assumed)'!$B$98,-PMT('Debt (Assumed)'!$B$98,Assumptions!$C$111,H159))))</f>
        <v>397516</v>
      </c>
      <c r="E160" s="30" t="n">
        <f aca="false">IF('Operating Model'!D$4&lt;=Assumptions!$C$126,IF(Assumptions!$C$130=1,D159*Assumptions!$C$125+E159*Assumptions!$C$128,-PMT(Assumptions!$C$125,Assumptions!$C$111,D159)-PMT(Assumptions!$C$128,Assumptions!$C$111,E159)),IF(Assumptions!$C$136=1,0,IF('Operating Model'!D$4-Assumptions!$C$126&lt;='Debt (Assumed)'!$B$100,H159*'Debt (Assumed)'!$B$98,-PMT('Debt (Assumed)'!$B$98,Assumptions!$C$111,H159))))</f>
        <v>397516</v>
      </c>
      <c r="F160" s="30" t="n">
        <f aca="false">IF('Operating Model'!E$4&lt;=Assumptions!$C$126,IF(Assumptions!$C$130=1,D159*Assumptions!$C$125+E159*Assumptions!$C$128,-PMT(Assumptions!$C$125,Assumptions!$C$111,D159)-PMT(Assumptions!$C$128,Assumptions!$C$111,E159)),IF(Assumptions!$C$136=1,0,IF('Operating Model'!E$4-Assumptions!$C$126&lt;='Debt (Assumed)'!$B$100,H159*'Debt (Assumed)'!$B$98,-PMT('Debt (Assumed)'!$B$98,Assumptions!$C$111,H159))))</f>
        <v>578082.341864006</v>
      </c>
      <c r="G160" s="30" t="n">
        <f aca="false">IF('Operating Model'!F$4&lt;=Assumptions!$C$126,IF(Assumptions!$C$130=1,D159*Assumptions!$C$125+E159*Assumptions!$C$128,-PMT(Assumptions!$C$125,Assumptions!$C$111,D159)-PMT(Assumptions!$C$128,Assumptions!$C$111,E159)),IF(Assumptions!$C$136=1,0,IF('Operating Model'!F$4-Assumptions!$C$126&lt;='Debt (Assumed)'!$B$100,H159*'Debt (Assumed)'!$B$98,-PMT('Debt (Assumed)'!$B$98,Assumptions!$C$111,H159))))</f>
        <v>578082.341864006</v>
      </c>
    </row>
    <row r="161" customFormat="false" ht="15" hidden="false" customHeight="false" outlineLevel="0" collapsed="false">
      <c r="A161" s="2" t="s">
        <v>609</v>
      </c>
      <c r="B161" s="30" t="n">
        <f aca="false">-F159</f>
        <v>-5795640</v>
      </c>
      <c r="C161" s="30" t="n">
        <f aca="false">IF(AND(Assumptions!$C$136=1,'Operating Model'!B$4&gt;Assumptions!$C$126),0,'Operating Model'!B55+(C158-'Operating Model'!B49)-C160-IF('Operating Model'!B$4=Assumptions!$C$126,IF(Assumptions!$C$136=1,-M159,G159-H159+L159),0)+IF(AND(Assumptions!$C$136&lt;&gt;1,'Operating Model'!B$4=Assumptions!$C$154),K159,0))</f>
        <v>439784.146996</v>
      </c>
      <c r="D161" s="30" t="n">
        <f aca="false">IF(AND(Assumptions!$C$136=1,'Operating Model'!C$4&gt;Assumptions!$C$126),0,'Operating Model'!C55+(D158-'Operating Model'!C49)-D160-IF('Operating Model'!C$4=Assumptions!$C$126,IF(Assumptions!$C$136=1,-M159,G159-H159+L159),0)+IF(AND(Assumptions!$C$136&lt;&gt;1,'Operating Model'!C$4=Assumptions!$C$154),K159,0))</f>
        <v>316115.841131455</v>
      </c>
      <c r="E161" s="30" t="n">
        <f aca="false">IF(AND(Assumptions!$C$136=1,'Operating Model'!D$4&gt;Assumptions!$C$126),0,'Operating Model'!D55+(E158-'Operating Model'!D49)-E160-IF('Operating Model'!D$4=Assumptions!$C$126,IF(Assumptions!$C$136=1,-M159,G159-H159+L159),0)+IF(AND(Assumptions!$C$136&lt;&gt;1,'Operating Model'!D$4=Assumptions!$C$154),K159,0))</f>
        <v>-491124.674898698</v>
      </c>
      <c r="F161" s="30" t="n">
        <f aca="false">IF(AND(Assumptions!$C$136=1,'Operating Model'!E$4&gt;Assumptions!$C$126),0,'Operating Model'!E55+(F158-'Operating Model'!E49)-F160-IF('Operating Model'!E$4=Assumptions!$C$126,IF(Assumptions!$C$136=1,-M159,G159-H159+L159),0)+IF(AND(Assumptions!$C$136&lt;&gt;1,'Operating Model'!E$4=Assumptions!$C$154),K159,0))</f>
        <v>297423.742845092</v>
      </c>
      <c r="G161" s="30" t="n">
        <f aca="false">IF(AND(Assumptions!$C$136=1,'Operating Model'!F$4&gt;Assumptions!$C$126),0,'Operating Model'!F55+(G158-'Operating Model'!F49)-G160-IF('Operating Model'!F$4=Assumptions!$C$126,IF(Assumptions!$C$136=1,-M159,G159-H159+L159),0)+IF(AND(Assumptions!$C$136&lt;&gt;1,'Operating Model'!F$4=Assumptions!$C$154),K159,0))</f>
        <v>5168534.16305187</v>
      </c>
      <c r="H161" s="22" t="n">
        <f aca="false">IFERROR(IRR(B161:G161),"N/A")</f>
        <v>-0.00241980758793768</v>
      </c>
      <c r="I161" s="24" t="n">
        <f aca="false">SUM(C161:G161)/F159</f>
        <v>0.988800756970019</v>
      </c>
    </row>
    <row r="163" customFormat="false" ht="15" hidden="false" customHeight="false" outlineLevel="0" collapsed="false">
      <c r="A163" s="2" t="s">
        <v>610</v>
      </c>
      <c r="C163" s="30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63" s="30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63" s="30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63" s="30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63" s="30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63" s="30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63" s="30" t="n">
        <f aca="false">H163-'Operating Model'!$B$42*(F$6/Assumptions!$C$7)*(1+Assumptions!$C$18+0)^('Operating Model'!G$4-1)</f>
        <v>1209117.41207427</v>
      </c>
    </row>
    <row r="164" customFormat="false" ht="15" hidden="false" customHeight="false" outlineLevel="0" collapsed="false">
      <c r="A164" s="2" t="s">
        <v>611</v>
      </c>
      <c r="B164" s="30" t="n">
        <f aca="false">Assumptions!$C$7*(F$6/Assumptions!$C$7)</f>
        <v>15180000</v>
      </c>
      <c r="C164" s="30" t="n">
        <f aca="false">MAX(0,(Assumptions!$C$124+Assumptions!$C$127)-Assumptions!$C$132*B164)</f>
        <v>0</v>
      </c>
      <c r="D164" s="30" t="n">
        <f aca="false">Assumptions!$C$124-MAX(0,C164-Assumptions!$C$127)</f>
        <v>5887000</v>
      </c>
      <c r="E164" s="30" t="n">
        <f aca="false">Assumptions!$C$127-MIN(C164,Assumptions!$C$127)</f>
        <v>3563000</v>
      </c>
      <c r="F164" s="30" t="n">
        <f aca="false">B164*(1+Assumptions!$C$10)+'Unit Mix'!$D$18*1+(D164+E164)*Assumptions!$C$131-(D164+E164)</f>
        <v>6495990</v>
      </c>
      <c r="G164" s="30" t="n">
        <f aca="false">IF(Assumptions!$C$130=1,D164+E164,-FV(Assumptions!$C$125,Assumptions!$C$126,PMT(Assumptions!$C$125,Assumptions!$C$111,D164),D164)-FV(Assumptions!$C$128,Assumptions!$C$126,PMT(Assumptions!$C$128,Assumptions!$C$111,E164),E164))</f>
        <v>9450000</v>
      </c>
      <c r="H164" s="30" t="n">
        <f aca="false">MIN(INDEX(C163:H163,Assumptions!$C$126+1)/$A$10*Assumptions!$C$108,INDEX(C163:H163,Assumptions!$C$126+1)/(Assumptions!$C$109*-PMT('Debt (Assumed)'!$B$99,Assumptions!$C$111,1)))</f>
        <v>8454748.41904858</v>
      </c>
      <c r="I164" s="30" t="n">
        <f aca="false">IF(MAX(0,Assumptions!$C$154-Assumptions!$C$126-'Debt (Assumed)'!$B$100)=0,H164,-FV('Debt (Assumed)'!$B$98,MAX(0,Assumptions!$C$154-Assumptions!$C$126-'Debt (Assumed)'!$B$100),PMT('Debt (Assumed)'!$B$98,Assumptions!$C$111,H164),H164))</f>
        <v>8454748.41904858</v>
      </c>
      <c r="J164" s="30" t="n">
        <f aca="false">I164*'Debt (Assumed)'!$B$102</f>
        <v>0</v>
      </c>
      <c r="K164" s="30" t="n">
        <f aca="false">I163/($A$10+Returns!$B$35)*(1-Assumptions!$C$158)-I164-J164</f>
        <v>4988218.95056066</v>
      </c>
      <c r="L164" s="30" t="n">
        <f aca="false">H164*'Debt (Assumed)'!$B$101</f>
        <v>91311.2829257247</v>
      </c>
      <c r="M164" s="30" t="n">
        <f aca="false">(INDEX(C163:H163,Assumptions!$C$126+1)-'Operating Model'!$B$42*(F$6/Assumptions!$C$7)*(1+Assumptions!$C$18+0)^Assumptions!$C$126)/($A$10+Returns!$B$35)*(1-Assumptions!$C$158)-G164</f>
        <v>3660819.57196528</v>
      </c>
    </row>
    <row r="165" customFormat="false" ht="15" hidden="false" customHeight="false" outlineLevel="0" collapsed="false">
      <c r="A165" s="2" t="s">
        <v>612</v>
      </c>
      <c r="C165" s="30" t="n">
        <f aca="false">IF('Operating Model'!B$4&lt;=Assumptions!$C$126,IF(Assumptions!$C$130=1,D164*Assumptions!$C$125+E164*Assumptions!$C$128,-PMT(Assumptions!$C$125,Assumptions!$C$111,D164)-PMT(Assumptions!$C$128,Assumptions!$C$111,E164)),IF(Assumptions!$C$136=1,0,IF('Operating Model'!B$4-Assumptions!$C$126&lt;='Debt (Assumed)'!$B$100,H164*'Debt (Assumed)'!$B$98,-PMT('Debt (Assumed)'!$B$98,Assumptions!$C$111,H164))))</f>
        <v>397516</v>
      </c>
      <c r="D165" s="30" t="n">
        <f aca="false">IF('Operating Model'!C$4&lt;=Assumptions!$C$126,IF(Assumptions!$C$130=1,D164*Assumptions!$C$125+E164*Assumptions!$C$128,-PMT(Assumptions!$C$125,Assumptions!$C$111,D164)-PMT(Assumptions!$C$128,Assumptions!$C$111,E164)),IF(Assumptions!$C$136=1,0,IF('Operating Model'!C$4-Assumptions!$C$126&lt;='Debt (Assumed)'!$B$100,H164*'Debt (Assumed)'!$B$98,-PMT('Debt (Assumed)'!$B$98,Assumptions!$C$111,H164))))</f>
        <v>397516</v>
      </c>
      <c r="E165" s="30" t="n">
        <f aca="false">IF('Operating Model'!D$4&lt;=Assumptions!$C$126,IF(Assumptions!$C$130=1,D164*Assumptions!$C$125+E164*Assumptions!$C$128,-PMT(Assumptions!$C$125,Assumptions!$C$111,D164)-PMT(Assumptions!$C$128,Assumptions!$C$111,E164)),IF(Assumptions!$C$136=1,0,IF('Operating Model'!D$4-Assumptions!$C$126&lt;='Debt (Assumed)'!$B$100,H164*'Debt (Assumed)'!$B$98,-PMT('Debt (Assumed)'!$B$98,Assumptions!$C$111,H164))))</f>
        <v>397516</v>
      </c>
      <c r="F165" s="30" t="n">
        <f aca="false">IF('Operating Model'!E$4&lt;=Assumptions!$C$126,IF(Assumptions!$C$130=1,D164*Assumptions!$C$125+E164*Assumptions!$C$128,-PMT(Assumptions!$C$125,Assumptions!$C$111,D164)-PMT(Assumptions!$C$128,Assumptions!$C$111,E164)),IF(Assumptions!$C$136=1,0,IF('Operating Model'!E$4-Assumptions!$C$126&lt;='Debt (Assumed)'!$B$100,H164*'Debt (Assumed)'!$B$98,-PMT('Debt (Assumed)'!$B$98,Assumptions!$C$111,H164))))</f>
        <v>569850.043443874</v>
      </c>
      <c r="G165" s="30" t="n">
        <f aca="false">IF('Operating Model'!F$4&lt;=Assumptions!$C$126,IF(Assumptions!$C$130=1,D164*Assumptions!$C$125+E164*Assumptions!$C$128,-PMT(Assumptions!$C$125,Assumptions!$C$111,D164)-PMT(Assumptions!$C$128,Assumptions!$C$111,E164)),IF(Assumptions!$C$136=1,0,IF('Operating Model'!F$4-Assumptions!$C$126&lt;='Debt (Assumed)'!$B$100,H164*'Debt (Assumed)'!$B$98,-PMT('Debt (Assumed)'!$B$98,Assumptions!$C$111,H164))))</f>
        <v>569850.043443874</v>
      </c>
    </row>
    <row r="166" customFormat="false" ht="15" hidden="false" customHeight="false" outlineLevel="0" collapsed="false">
      <c r="A166" s="2" t="s">
        <v>613</v>
      </c>
      <c r="B166" s="30" t="n">
        <f aca="false">-F164</f>
        <v>-6495990</v>
      </c>
      <c r="C166" s="30" t="n">
        <f aca="false">IF(AND(Assumptions!$C$136=1,'Operating Model'!B$4&gt;Assumptions!$C$126),0,'Operating Model'!B55+(C163-'Operating Model'!B49)-C165-IF('Operating Model'!B$4=Assumptions!$C$126,IF(Assumptions!$C$136=1,-M164,G164-H164+L164),0)+IF(AND(Assumptions!$C$136&lt;&gt;1,'Operating Model'!B$4=Assumptions!$C$154),K164,0))</f>
        <v>427953.855496</v>
      </c>
      <c r="D166" s="30" t="n">
        <f aca="false">IF(AND(Assumptions!$C$136=1,'Operating Model'!C$4&gt;Assumptions!$C$126),0,'Operating Model'!C55+(D163-'Operating Model'!C49)-D165-IF('Operating Model'!C$4=Assumptions!$C$126,IF(Assumptions!$C$136=1,-M164,G164-H164+L164),0)+IF(AND(Assumptions!$C$136&lt;&gt;1,'Operating Model'!C$4=Assumptions!$C$154),K164,0))</f>
        <v>303930.640886455</v>
      </c>
      <c r="E166" s="30" t="n">
        <f aca="false">IF(AND(Assumptions!$C$136=1,'Operating Model'!D$4&gt;Assumptions!$C$126),0,'Operating Model'!D55+(E163-'Operating Model'!D49)-E165-IF('Operating Model'!D$4=Assumptions!$C$126,IF(Assumptions!$C$136=1,-M164,G164-H164+L164),0)+IF(AND(Assumptions!$C$136&lt;&gt;1,'Operating Model'!D$4=Assumptions!$C$154),K164,0))</f>
        <v>-624497.235263717</v>
      </c>
      <c r="F166" s="30" t="n">
        <f aca="false">IF(AND(Assumptions!$C$136=1,'Operating Model'!E$4&gt;Assumptions!$C$126),0,'Operating Model'!E55+(F163-'Operating Model'!E49)-F165-IF('Operating Model'!E$4=Assumptions!$C$126,IF(Assumptions!$C$136=1,-M164,G164-H164+L164),0)+IF(AND(Assumptions!$C$136&lt;&gt;1,'Operating Model'!E$4=Assumptions!$C$154),K164,0))</f>
        <v>292728.762325303</v>
      </c>
      <c r="G166" s="30" t="n">
        <f aca="false">IF(AND(Assumptions!$C$136=1,'Operating Model'!F$4&gt;Assumptions!$C$126),0,'Operating Model'!F55+(G163-'Operating Model'!F49)-G165-IF('Operating Model'!F$4=Assumptions!$C$126,IF(Assumptions!$C$136=1,-M164,G164-H164+L164),0)+IF(AND(Assumptions!$C$136&lt;&gt;1,'Operating Model'!F$4=Assumptions!$C$154),K164,0))</f>
        <v>5285592.29027859</v>
      </c>
      <c r="H166" s="22" t="n">
        <f aca="false">IFERROR(IRR(B166:G166),"N/A")</f>
        <v>-0.0278129079498566</v>
      </c>
      <c r="I166" s="24" t="n">
        <f aca="false">SUM(C166:G166)/F164</f>
        <v>0.875264326718889</v>
      </c>
    </row>
    <row r="168" customFormat="false" ht="15" hidden="false" customHeight="false" outlineLevel="0" collapsed="false">
      <c r="A168" s="2" t="s">
        <v>614</v>
      </c>
      <c r="C168" s="30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68" s="30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68" s="30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68" s="30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68" s="30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68" s="30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68" s="30" t="n">
        <f aca="false">H168-'Operating Model'!$B$42*(B$6/Assumptions!$C$7)*(1+Assumptions!$C$18+0)^('Operating Model'!G$4-1)</f>
        <v>1209117.41207427</v>
      </c>
    </row>
    <row r="169" customFormat="false" ht="15" hidden="false" customHeight="false" outlineLevel="0" collapsed="false">
      <c r="A169" s="2" t="s">
        <v>615</v>
      </c>
      <c r="B169" s="30" t="n">
        <f aca="false">Assumptions!$C$7*(B$6/Assumptions!$C$7)</f>
        <v>12420000</v>
      </c>
      <c r="C169" s="30" t="n">
        <f aca="false">MAX(0,(Assumptions!$C$124+Assumptions!$C$127)-Assumptions!$C$132*B169)</f>
        <v>135000</v>
      </c>
      <c r="D169" s="30" t="n">
        <f aca="false">Assumptions!$C$124-MAX(0,C169-Assumptions!$C$127)</f>
        <v>5887000</v>
      </c>
      <c r="E169" s="30" t="n">
        <f aca="false">Assumptions!$C$127-MIN(C169,Assumptions!$C$127)</f>
        <v>3428000</v>
      </c>
      <c r="F169" s="30" t="n">
        <f aca="false">B169*(1+Assumptions!$C$10)+'Unit Mix'!$D$18*1+(D169+E169)*Assumptions!$C$131-(D169+E169)</f>
        <v>3828915</v>
      </c>
      <c r="G169" s="30" t="n">
        <f aca="false">IF(Assumptions!$C$130=1,D169+E169,-FV(Assumptions!$C$125,Assumptions!$C$126,PMT(Assumptions!$C$125,Assumptions!$C$111,D169),D169)-FV(Assumptions!$C$128,Assumptions!$C$126,PMT(Assumptions!$C$128,Assumptions!$C$111,E169),E169))</f>
        <v>9315000</v>
      </c>
      <c r="H169" s="30" t="n">
        <f aca="false">MIN(INDEX(C168:H168,Assumptions!$C$126+1)/$A$11*Assumptions!$C$108,INDEX(C168:H168,Assumptions!$C$126+1)/(Assumptions!$C$109*-PMT('Debt (Assumed)'!$B$99,Assumptions!$C$111,1)))</f>
        <v>8943312.12350742</v>
      </c>
      <c r="I169" s="30" t="n">
        <f aca="false">IF(MAX(0,Assumptions!$C$154-Assumptions!$C$126-'Debt (Assumed)'!$B$100)=0,H169,-FV('Debt (Assumed)'!$B$98,MAX(0,Assumptions!$C$154-Assumptions!$C$126-'Debt (Assumed)'!$B$100),PMT('Debt (Assumed)'!$B$98,Assumptions!$C$111,H169),H169))</f>
        <v>8943312.12350742</v>
      </c>
      <c r="J169" s="30" t="n">
        <f aca="false">I169*'Debt (Assumed)'!$B$102</f>
        <v>0</v>
      </c>
      <c r="K169" s="30" t="n">
        <f aca="false">I168/($A$11+Returns!$B$35)*(1-Assumptions!$C$158)-I169-J169</f>
        <v>3778042.87524223</v>
      </c>
      <c r="L169" s="30" t="n">
        <f aca="false">H169*'Debt (Assumed)'!$B$101</f>
        <v>96587.7709338801</v>
      </c>
      <c r="M169" s="30" t="n">
        <f aca="false">(INDEX(C168:H168,Assumptions!$C$126+1)-'Operating Model'!$B$42*(B$6/Assumptions!$C$7)*(1+Assumptions!$C$18+0)^Assumptions!$C$126)/($A$11+Returns!$B$35)*(1-Assumptions!$C$158)-G169</f>
        <v>3092036.74373149</v>
      </c>
    </row>
    <row r="170" customFormat="false" ht="15" hidden="false" customHeight="false" outlineLevel="0" collapsed="false">
      <c r="A170" s="2" t="s">
        <v>616</v>
      </c>
      <c r="C170" s="30" t="n">
        <f aca="false">IF('Operating Model'!B$4&lt;=Assumptions!$C$126,IF(Assumptions!$C$130=1,D169*Assumptions!$C$125+E169*Assumptions!$C$128,-PMT(Assumptions!$C$125,Assumptions!$C$111,D169)-PMT(Assumptions!$C$128,Assumptions!$C$111,E169)),IF(Assumptions!$C$136=1,0,IF('Operating Model'!B$4-Assumptions!$C$126&lt;='Debt (Assumed)'!$B$100,H169*'Debt (Assumed)'!$B$98,-PMT('Debt (Assumed)'!$B$98,Assumptions!$C$111,H169))))</f>
        <v>389146</v>
      </c>
      <c r="D170" s="30" t="n">
        <f aca="false">IF('Operating Model'!C$4&lt;=Assumptions!$C$126,IF(Assumptions!$C$130=1,D169*Assumptions!$C$125+E169*Assumptions!$C$128,-PMT(Assumptions!$C$125,Assumptions!$C$111,D169)-PMT(Assumptions!$C$128,Assumptions!$C$111,E169)),IF(Assumptions!$C$136=1,0,IF('Operating Model'!C$4-Assumptions!$C$126&lt;='Debt (Assumed)'!$B$100,H169*'Debt (Assumed)'!$B$98,-PMT('Debt (Assumed)'!$B$98,Assumptions!$C$111,H169))))</f>
        <v>389146</v>
      </c>
      <c r="E170" s="30" t="n">
        <f aca="false">IF('Operating Model'!D$4&lt;=Assumptions!$C$126,IF(Assumptions!$C$130=1,D169*Assumptions!$C$125+E169*Assumptions!$C$128,-PMT(Assumptions!$C$125,Assumptions!$C$111,D169)-PMT(Assumptions!$C$128,Assumptions!$C$111,E169)),IF(Assumptions!$C$136=1,0,IF('Operating Model'!D$4-Assumptions!$C$126&lt;='Debt (Assumed)'!$B$100,H169*'Debt (Assumed)'!$B$98,-PMT('Debt (Assumed)'!$B$98,Assumptions!$C$111,H169))))</f>
        <v>389146</v>
      </c>
      <c r="F170" s="30" t="n">
        <f aca="false">IF('Operating Model'!E$4&lt;=Assumptions!$C$126,IF(Assumptions!$C$130=1,D169*Assumptions!$C$125+E169*Assumptions!$C$128,-PMT(Assumptions!$C$125,Assumptions!$C$111,D169)-PMT(Assumptions!$C$128,Assumptions!$C$111,E169)),IF(Assumptions!$C$136=1,0,IF('Operating Model'!E$4-Assumptions!$C$126&lt;='Debt (Assumed)'!$B$100,H169*'Debt (Assumed)'!$B$98,-PMT('Debt (Assumed)'!$B$98,Assumptions!$C$111,H169))))</f>
        <v>602779.2371244</v>
      </c>
      <c r="G170" s="30" t="n">
        <f aca="false">IF('Operating Model'!F$4&lt;=Assumptions!$C$126,IF(Assumptions!$C$130=1,D169*Assumptions!$C$125+E169*Assumptions!$C$128,-PMT(Assumptions!$C$125,Assumptions!$C$111,D169)-PMT(Assumptions!$C$128,Assumptions!$C$111,E169)),IF(Assumptions!$C$136=1,0,IF('Operating Model'!F$4-Assumptions!$C$126&lt;='Debt (Assumed)'!$B$100,H169*'Debt (Assumed)'!$B$98,-PMT('Debt (Assumed)'!$B$98,Assumptions!$C$111,H169))))</f>
        <v>602779.2371244</v>
      </c>
    </row>
    <row r="171" customFormat="false" ht="15" hidden="false" customHeight="false" outlineLevel="0" collapsed="false">
      <c r="A171" s="2" t="s">
        <v>617</v>
      </c>
      <c r="B171" s="30" t="n">
        <f aca="false">-F169</f>
        <v>-3828915</v>
      </c>
      <c r="C171" s="30" t="n">
        <f aca="false">IF(AND(Assumptions!$C$136=1,'Operating Model'!B$4&gt;Assumptions!$C$126),0,'Operating Model'!B55+(C168-'Operating Model'!B49)-C170-IF('Operating Model'!B$4=Assumptions!$C$126,IF(Assumptions!$C$136=1,-M169,G169-H169+L169),0)+IF(AND(Assumptions!$C$136&lt;&gt;1,'Operating Model'!B$4=Assumptions!$C$154),K169,0))</f>
        <v>483645.021496</v>
      </c>
      <c r="D171" s="30" t="n">
        <f aca="false">IF(AND(Assumptions!$C$136=1,'Operating Model'!C$4&gt;Assumptions!$C$126),0,'Operating Model'!C55+(D168-'Operating Model'!C49)-D170-IF('Operating Model'!C$4=Assumptions!$C$126,IF(Assumptions!$C$136=1,-M169,G169-H169+L169),0)+IF(AND(Assumptions!$C$136&lt;&gt;1,'Operating Model'!C$4=Assumptions!$C$154),K169,0))</f>
        <v>361041.441866455</v>
      </c>
      <c r="E171" s="30" t="n">
        <f aca="false">IF(AND(Assumptions!$C$136=1,'Operating Model'!D$4&gt;Assumptions!$C$126),0,'Operating Model'!D55+(E168-'Operating Model'!D49)-E170-IF('Operating Model'!D$4=Assumptions!$C$126,IF(Assumptions!$C$136=1,-M169,G169-H169+L169),0)+IF(AND(Assumptions!$C$136&lt;&gt;1,'Operating Model'!D$4=Assumptions!$C$154),K169,0))</f>
        <v>52363.0061963619</v>
      </c>
      <c r="F171" s="30" t="n">
        <f aca="false">IF(AND(Assumptions!$C$136=1,'Operating Model'!E$4&gt;Assumptions!$C$126),0,'Operating Model'!E55+(F168-'Operating Model'!E49)-F170-IF('Operating Model'!E$4=Assumptions!$C$126,IF(Assumptions!$C$136=1,-M169,G169-H169+L169),0)+IF(AND(Assumptions!$C$136&lt;&gt;1,'Operating Model'!E$4=Assumptions!$C$154),K169,0))</f>
        <v>311508.68440446</v>
      </c>
      <c r="G171" s="30" t="n">
        <f aca="false">IF(AND(Assumptions!$C$136=1,'Operating Model'!F$4&gt;Assumptions!$C$126),0,'Operating Model'!F55+(G168-'Operating Model'!F49)-G170-IF('Operating Model'!F$4=Assumptions!$C$126,IF(Assumptions!$C$136=1,-M169,G169-H169+L169),0)+IF(AND(Assumptions!$C$136&lt;&gt;1,'Operating Model'!F$4=Assumptions!$C$154),K169,0))</f>
        <v>4095747.41051212</v>
      </c>
      <c r="H171" s="22" t="n">
        <f aca="false">IFERROR(IRR(B171:G171),"N/A")</f>
        <v>0.0790915864537273</v>
      </c>
      <c r="I171" s="24" t="n">
        <f aca="false">SUM(C171:G171)/F169</f>
        <v>1.38532862820809</v>
      </c>
    </row>
    <row r="173" customFormat="false" ht="15" hidden="false" customHeight="false" outlineLevel="0" collapsed="false">
      <c r="A173" s="2" t="s">
        <v>618</v>
      </c>
      <c r="C173" s="30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73" s="30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73" s="30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73" s="30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73" s="30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73" s="30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73" s="30" t="n">
        <f aca="false">H173-'Operating Model'!$B$42*(C$6/Assumptions!$C$7)*(1+Assumptions!$C$18+0)^('Operating Model'!G$4-1)</f>
        <v>1209117.41207427</v>
      </c>
    </row>
    <row r="174" customFormat="false" ht="15" hidden="false" customHeight="false" outlineLevel="0" collapsed="false">
      <c r="A174" s="2" t="s">
        <v>619</v>
      </c>
      <c r="B174" s="30" t="n">
        <f aca="false">Assumptions!$C$7*(C$6/Assumptions!$C$7)</f>
        <v>13110000</v>
      </c>
      <c r="C174" s="30" t="n">
        <f aca="false">MAX(0,(Assumptions!$C$124+Assumptions!$C$127)-Assumptions!$C$132*B174)</f>
        <v>0</v>
      </c>
      <c r="D174" s="30" t="n">
        <f aca="false">Assumptions!$C$124-MAX(0,C174-Assumptions!$C$127)</f>
        <v>5887000</v>
      </c>
      <c r="E174" s="30" t="n">
        <f aca="false">Assumptions!$C$127-MIN(C174,Assumptions!$C$127)</f>
        <v>3563000</v>
      </c>
      <c r="F174" s="30" t="n">
        <f aca="false">B174*(1+Assumptions!$C$10)+'Unit Mix'!$D$18*1+(D174+E174)*Assumptions!$C$131-(D174+E174)</f>
        <v>4394940</v>
      </c>
      <c r="G174" s="30" t="n">
        <f aca="false">IF(Assumptions!$C$130=1,D174+E174,-FV(Assumptions!$C$125,Assumptions!$C$126,PMT(Assumptions!$C$125,Assumptions!$C$111,D174),D174)-FV(Assumptions!$C$128,Assumptions!$C$126,PMT(Assumptions!$C$128,Assumptions!$C$111,E174),E174))</f>
        <v>9450000</v>
      </c>
      <c r="H174" s="30" t="n">
        <f aca="false">MIN(INDEX(C173:H173,Assumptions!$C$126+1)/$A$11*Assumptions!$C$108,INDEX(C173:H173,Assumptions!$C$126+1)/(Assumptions!$C$109*-PMT('Debt (Assumed)'!$B$99,Assumptions!$C$111,1)))</f>
        <v>8821171.19739271</v>
      </c>
      <c r="I174" s="30" t="n">
        <f aca="false">IF(MAX(0,Assumptions!$C$154-Assumptions!$C$126-'Debt (Assumed)'!$B$100)=0,H174,-FV('Debt (Assumed)'!$B$98,MAX(0,Assumptions!$C$154-Assumptions!$C$126-'Debt (Assumed)'!$B$100),PMT('Debt (Assumed)'!$B$98,Assumptions!$C$111,H174),H174))</f>
        <v>8821171.19739271</v>
      </c>
      <c r="J174" s="30" t="n">
        <f aca="false">I174*'Debt (Assumed)'!$B$102</f>
        <v>0</v>
      </c>
      <c r="K174" s="30" t="n">
        <f aca="false">I173/($A$11+Returns!$B$35)*(1-Assumptions!$C$158)-I174-J174</f>
        <v>3900183.80135694</v>
      </c>
      <c r="L174" s="30" t="n">
        <f aca="false">H174*'Debt (Assumed)'!$B$101</f>
        <v>95268.6489318413</v>
      </c>
      <c r="M174" s="30" t="n">
        <f aca="false">(INDEX(C173:H173,Assumptions!$C$126+1)-'Operating Model'!$B$42*(C$6/Assumptions!$C$7)*(1+Assumptions!$C$18+0)^Assumptions!$C$126)/($A$11+Returns!$B$35)*(1-Assumptions!$C$158)-G174</f>
        <v>2957036.74373149</v>
      </c>
    </row>
    <row r="175" customFormat="false" ht="15" hidden="false" customHeight="false" outlineLevel="0" collapsed="false">
      <c r="A175" s="2" t="s">
        <v>620</v>
      </c>
      <c r="C175" s="30" t="n">
        <f aca="false">IF('Operating Model'!B$4&lt;=Assumptions!$C$126,IF(Assumptions!$C$130=1,D174*Assumptions!$C$125+E174*Assumptions!$C$128,-PMT(Assumptions!$C$125,Assumptions!$C$111,D174)-PMT(Assumptions!$C$128,Assumptions!$C$111,E174)),IF(Assumptions!$C$136=1,0,IF('Operating Model'!B$4-Assumptions!$C$126&lt;='Debt (Assumed)'!$B$100,H174*'Debt (Assumed)'!$B$98,-PMT('Debt (Assumed)'!$B$98,Assumptions!$C$111,H174))))</f>
        <v>397516</v>
      </c>
      <c r="D175" s="30" t="n">
        <f aca="false">IF('Operating Model'!C$4&lt;=Assumptions!$C$126,IF(Assumptions!$C$130=1,D174*Assumptions!$C$125+E174*Assumptions!$C$128,-PMT(Assumptions!$C$125,Assumptions!$C$111,D174)-PMT(Assumptions!$C$128,Assumptions!$C$111,E174)),IF(Assumptions!$C$136=1,0,IF('Operating Model'!C$4-Assumptions!$C$126&lt;='Debt (Assumed)'!$B$100,H174*'Debt (Assumed)'!$B$98,-PMT('Debt (Assumed)'!$B$98,Assumptions!$C$111,H174))))</f>
        <v>397516</v>
      </c>
      <c r="E175" s="30" t="n">
        <f aca="false">IF('Operating Model'!D$4&lt;=Assumptions!$C$126,IF(Assumptions!$C$130=1,D174*Assumptions!$C$125+E174*Assumptions!$C$128,-PMT(Assumptions!$C$125,Assumptions!$C$111,D174)-PMT(Assumptions!$C$128,Assumptions!$C$111,E174)),IF(Assumptions!$C$136=1,0,IF('Operating Model'!D$4-Assumptions!$C$126&lt;='Debt (Assumed)'!$B$100,H174*'Debt (Assumed)'!$B$98,-PMT('Debt (Assumed)'!$B$98,Assumptions!$C$111,H174))))</f>
        <v>397516</v>
      </c>
      <c r="F175" s="30" t="n">
        <f aca="false">IF('Operating Model'!E$4&lt;=Assumptions!$C$126,IF(Assumptions!$C$130=1,D174*Assumptions!$C$125+E174*Assumptions!$C$128,-PMT(Assumptions!$C$125,Assumptions!$C$111,D174)-PMT(Assumptions!$C$128,Assumptions!$C$111,E174)),IF(Assumptions!$C$136=1,0,IF('Operating Model'!E$4-Assumptions!$C$126&lt;='Debt (Assumed)'!$B$100,H174*'Debt (Assumed)'!$B$98,-PMT('Debt (Assumed)'!$B$98,Assumptions!$C$111,H174))))</f>
        <v>594546.938704269</v>
      </c>
      <c r="G175" s="30" t="n">
        <f aca="false">IF('Operating Model'!F$4&lt;=Assumptions!$C$126,IF(Assumptions!$C$130=1,D174*Assumptions!$C$125+E174*Assumptions!$C$128,-PMT(Assumptions!$C$125,Assumptions!$C$111,D174)-PMT(Assumptions!$C$128,Assumptions!$C$111,E174)),IF(Assumptions!$C$136=1,0,IF('Operating Model'!F$4-Assumptions!$C$126&lt;='Debt (Assumed)'!$B$100,H174*'Debt (Assumed)'!$B$98,-PMT('Debt (Assumed)'!$B$98,Assumptions!$C$111,H174))))</f>
        <v>594546.938704269</v>
      </c>
    </row>
    <row r="176" customFormat="false" ht="15" hidden="false" customHeight="false" outlineLevel="0" collapsed="false">
      <c r="A176" s="2" t="s">
        <v>621</v>
      </c>
      <c r="B176" s="30" t="n">
        <f aca="false">-F174</f>
        <v>-4394940</v>
      </c>
      <c r="C176" s="30" t="n">
        <f aca="false">IF(AND(Assumptions!$C$136=1,'Operating Model'!B$4&gt;Assumptions!$C$126),0,'Operating Model'!B55+(C173-'Operating Model'!B49)-C175-IF('Operating Model'!B$4=Assumptions!$C$126,IF(Assumptions!$C$136=1,-M174,G174-H174+L174),0)+IF(AND(Assumptions!$C$136&lt;&gt;1,'Operating Model'!B$4=Assumptions!$C$154),K174,0))</f>
        <v>463444.729996</v>
      </c>
      <c r="D176" s="30" t="n">
        <f aca="false">IF(AND(Assumptions!$C$136=1,'Operating Model'!C$4&gt;Assumptions!$C$126),0,'Operating Model'!C55+(D173-'Operating Model'!C49)-D175-IF('Operating Model'!C$4=Assumptions!$C$126,IF(Assumptions!$C$136=1,-M174,G174-H174+L174),0)+IF(AND(Assumptions!$C$136&lt;&gt;1,'Operating Model'!C$4=Assumptions!$C$154),K174,0))</f>
        <v>340486.241621455</v>
      </c>
      <c r="E176" s="30" t="n">
        <f aca="false">IF(AND(Assumptions!$C$136=1,'Operating Model'!D$4&gt;Assumptions!$C$126),0,'Operating Model'!D55+(E173-'Operating Model'!D49)-E175-IF('Operating Model'!D$4=Assumptions!$C$126,IF(Assumptions!$C$136=1,-M174,G174-H174+L174),0)+IF(AND(Assumptions!$C$136&lt;&gt;1,'Operating Model'!D$4=Assumptions!$C$154),K174,0))</f>
        <v>-224379.554168657</v>
      </c>
      <c r="F176" s="30" t="n">
        <f aca="false">IF(AND(Assumptions!$C$136=1,'Operating Model'!E$4&gt;Assumptions!$C$126),0,'Operating Model'!E55+(F173-'Operating Model'!E49)-F175-IF('Operating Model'!E$4=Assumptions!$C$126,IF(Assumptions!$C$136=1,-M174,G174-H174+L174),0)+IF(AND(Assumptions!$C$136&lt;&gt;1,'Operating Model'!E$4=Assumptions!$C$154),K174,0))</f>
        <v>306813.703884671</v>
      </c>
      <c r="G176" s="30" t="n">
        <f aca="false">IF(AND(Assumptions!$C$136=1,'Operating Model'!F$4&gt;Assumptions!$C$126),0,'Operating Model'!F55+(G173-'Operating Model'!F49)-G175-IF('Operating Model'!F$4=Assumptions!$C$126,IF(Assumptions!$C$136=1,-M174,G174-H174+L174),0)+IF(AND(Assumptions!$C$136&lt;&gt;1,'Operating Model'!F$4=Assumptions!$C$154),K174,0))</f>
        <v>4212805.53773884</v>
      </c>
      <c r="H176" s="22" t="n">
        <f aca="false">IFERROR(IRR(B176:G176),"N/A")</f>
        <v>0.0340760254859076</v>
      </c>
      <c r="I176" s="24" t="n">
        <f aca="false">SUM(C176:G176)/F174</f>
        <v>1.16023669471536</v>
      </c>
    </row>
    <row r="178" customFormat="false" ht="15" hidden="false" customHeight="false" outlineLevel="0" collapsed="false">
      <c r="A178" s="2" t="s">
        <v>622</v>
      </c>
      <c r="C178" s="30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78" s="30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78" s="30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78" s="30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78" s="30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78" s="30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78" s="30" t="n">
        <f aca="false">H178-'Operating Model'!$B$42*(D$6/Assumptions!$C$7)*(1+Assumptions!$C$18+0)^('Operating Model'!G$4-1)</f>
        <v>1209117.41207427</v>
      </c>
    </row>
    <row r="179" customFormat="false" ht="15" hidden="false" customHeight="false" outlineLevel="0" collapsed="false">
      <c r="A179" s="2" t="s">
        <v>623</v>
      </c>
      <c r="B179" s="30" t="n">
        <f aca="false">Assumptions!$C$7*(D$6/Assumptions!$C$7)</f>
        <v>13800000</v>
      </c>
      <c r="C179" s="30" t="n">
        <f aca="false">MAX(0,(Assumptions!$C$124+Assumptions!$C$127)-Assumptions!$C$132*B179)</f>
        <v>0</v>
      </c>
      <c r="D179" s="30" t="n">
        <f aca="false">Assumptions!$C$124-MAX(0,C179-Assumptions!$C$127)</f>
        <v>5887000</v>
      </c>
      <c r="E179" s="30" t="n">
        <f aca="false">Assumptions!$C$127-MIN(C179,Assumptions!$C$127)</f>
        <v>3563000</v>
      </c>
      <c r="F179" s="30" t="n">
        <f aca="false">B179*(1+Assumptions!$C$10)+'Unit Mix'!$D$18*1+(D179+E179)*Assumptions!$C$131-(D179+E179)</f>
        <v>5095290</v>
      </c>
      <c r="G179" s="30" t="n">
        <f aca="false">IF(Assumptions!$C$130=1,D179+E179,-FV(Assumptions!$C$125,Assumptions!$C$126,PMT(Assumptions!$C$125,Assumptions!$C$111,D179),D179)-FV(Assumptions!$C$128,Assumptions!$C$126,PMT(Assumptions!$C$128,Assumptions!$C$111,E179),E179))</f>
        <v>9450000</v>
      </c>
      <c r="H179" s="30" t="n">
        <f aca="false">MIN(INDEX(C178:H178,Assumptions!$C$126+1)/$A$11*Assumptions!$C$108,INDEX(C178:H178,Assumptions!$C$126+1)/(Assumptions!$C$109*-PMT('Debt (Assumed)'!$B$99,Assumptions!$C$111,1)))</f>
        <v>8699030.271278</v>
      </c>
      <c r="I179" s="30" t="n">
        <f aca="false">IF(MAX(0,Assumptions!$C$154-Assumptions!$C$126-'Debt (Assumed)'!$B$100)=0,H179,-FV('Debt (Assumed)'!$B$98,MAX(0,Assumptions!$C$154-Assumptions!$C$126-'Debt (Assumed)'!$B$100),PMT('Debt (Assumed)'!$B$98,Assumptions!$C$111,H179),H179))</f>
        <v>8699030.271278</v>
      </c>
      <c r="J179" s="30" t="n">
        <f aca="false">I179*'Debt (Assumed)'!$B$102</f>
        <v>0</v>
      </c>
      <c r="K179" s="30" t="n">
        <f aca="false">I178/($A$11+Returns!$B$35)*(1-Assumptions!$C$158)-I179-J179</f>
        <v>4022324.72747165</v>
      </c>
      <c r="L179" s="30" t="n">
        <f aca="false">H179*'Debt (Assumed)'!$B$101</f>
        <v>93949.5269298024</v>
      </c>
      <c r="M179" s="30" t="n">
        <f aca="false">(INDEX(C178:H178,Assumptions!$C$126+1)-'Operating Model'!$B$42*(D$6/Assumptions!$C$7)*(1+Assumptions!$C$18+0)^Assumptions!$C$126)/($A$11+Returns!$B$35)*(1-Assumptions!$C$158)-G179</f>
        <v>2957036.74373149</v>
      </c>
    </row>
    <row r="180" customFormat="false" ht="15" hidden="false" customHeight="false" outlineLevel="0" collapsed="false">
      <c r="A180" s="2" t="s">
        <v>624</v>
      </c>
      <c r="C180" s="30" t="n">
        <f aca="false">IF('Operating Model'!B$4&lt;=Assumptions!$C$126,IF(Assumptions!$C$130=1,D179*Assumptions!$C$125+E179*Assumptions!$C$128,-PMT(Assumptions!$C$125,Assumptions!$C$111,D179)-PMT(Assumptions!$C$128,Assumptions!$C$111,E179)),IF(Assumptions!$C$136=1,0,IF('Operating Model'!B$4-Assumptions!$C$126&lt;='Debt (Assumed)'!$B$100,H179*'Debt (Assumed)'!$B$98,-PMT('Debt (Assumed)'!$B$98,Assumptions!$C$111,H179))))</f>
        <v>397516</v>
      </c>
      <c r="D180" s="30" t="n">
        <f aca="false">IF('Operating Model'!C$4&lt;=Assumptions!$C$126,IF(Assumptions!$C$130=1,D179*Assumptions!$C$125+E179*Assumptions!$C$128,-PMT(Assumptions!$C$125,Assumptions!$C$111,D179)-PMT(Assumptions!$C$128,Assumptions!$C$111,E179)),IF(Assumptions!$C$136=1,0,IF('Operating Model'!C$4-Assumptions!$C$126&lt;='Debt (Assumed)'!$B$100,H179*'Debt (Assumed)'!$B$98,-PMT('Debt (Assumed)'!$B$98,Assumptions!$C$111,H179))))</f>
        <v>397516</v>
      </c>
      <c r="E180" s="30" t="n">
        <f aca="false">IF('Operating Model'!D$4&lt;=Assumptions!$C$126,IF(Assumptions!$C$130=1,D179*Assumptions!$C$125+E179*Assumptions!$C$128,-PMT(Assumptions!$C$125,Assumptions!$C$111,D179)-PMT(Assumptions!$C$128,Assumptions!$C$111,E179)),IF(Assumptions!$C$136=1,0,IF('Operating Model'!D$4-Assumptions!$C$126&lt;='Debt (Assumed)'!$B$100,H179*'Debt (Assumed)'!$B$98,-PMT('Debt (Assumed)'!$B$98,Assumptions!$C$111,H179))))</f>
        <v>397516</v>
      </c>
      <c r="F180" s="30" t="n">
        <f aca="false">IF('Operating Model'!E$4&lt;=Assumptions!$C$126,IF(Assumptions!$C$130=1,D179*Assumptions!$C$125+E179*Assumptions!$C$128,-PMT(Assumptions!$C$125,Assumptions!$C$111,D179)-PMT(Assumptions!$C$128,Assumptions!$C$111,E179)),IF(Assumptions!$C$136=1,0,IF('Operating Model'!E$4-Assumptions!$C$126&lt;='Debt (Assumed)'!$B$100,H179*'Debt (Assumed)'!$B$98,-PMT('Debt (Assumed)'!$B$98,Assumptions!$C$111,H179))))</f>
        <v>586314.640284137</v>
      </c>
      <c r="G180" s="30" t="n">
        <f aca="false">IF('Operating Model'!F$4&lt;=Assumptions!$C$126,IF(Assumptions!$C$130=1,D179*Assumptions!$C$125+E179*Assumptions!$C$128,-PMT(Assumptions!$C$125,Assumptions!$C$111,D179)-PMT(Assumptions!$C$128,Assumptions!$C$111,E179)),IF(Assumptions!$C$136=1,0,IF('Operating Model'!F$4-Assumptions!$C$126&lt;='Debt (Assumed)'!$B$100,H179*'Debt (Assumed)'!$B$98,-PMT('Debt (Assumed)'!$B$98,Assumptions!$C$111,H179))))</f>
        <v>586314.640284137</v>
      </c>
    </row>
    <row r="181" customFormat="false" ht="15" hidden="false" customHeight="false" outlineLevel="0" collapsed="false">
      <c r="A181" s="2" t="s">
        <v>625</v>
      </c>
      <c r="B181" s="30" t="n">
        <f aca="false">-F179</f>
        <v>-5095290</v>
      </c>
      <c r="C181" s="30" t="n">
        <f aca="false">IF(AND(Assumptions!$C$136=1,'Operating Model'!B$4&gt;Assumptions!$C$126),0,'Operating Model'!B55+(C178-'Operating Model'!B49)-C180-IF('Operating Model'!B$4=Assumptions!$C$126,IF(Assumptions!$C$136=1,-M179,G179-H179+L179),0)+IF(AND(Assumptions!$C$136&lt;&gt;1,'Operating Model'!B$4=Assumptions!$C$154),K179,0))</f>
        <v>451614.438496</v>
      </c>
      <c r="D181" s="30" t="n">
        <f aca="false">IF(AND(Assumptions!$C$136=1,'Operating Model'!C$4&gt;Assumptions!$C$126),0,'Operating Model'!C55+(D178-'Operating Model'!C49)-D180-IF('Operating Model'!C$4=Assumptions!$C$126,IF(Assumptions!$C$136=1,-M179,G179-H179+L179),0)+IF(AND(Assumptions!$C$136&lt;&gt;1,'Operating Model'!C$4=Assumptions!$C$154),K179,0))</f>
        <v>328301.041376455</v>
      </c>
      <c r="E181" s="30" t="n">
        <f aca="false">IF(AND(Assumptions!$C$136=1,'Operating Model'!D$4&gt;Assumptions!$C$126),0,'Operating Model'!D55+(E178-'Operating Model'!D49)-E180-IF('Operating Model'!D$4=Assumptions!$C$126,IF(Assumptions!$C$136=1,-M179,G179-H179+L179),0)+IF(AND(Assumptions!$C$136&lt;&gt;1,'Operating Model'!D$4=Assumptions!$C$154),K179,0))</f>
        <v>-357752.114533679</v>
      </c>
      <c r="F181" s="30" t="n">
        <f aca="false">IF(AND(Assumptions!$C$136=1,'Operating Model'!E$4&gt;Assumptions!$C$126),0,'Operating Model'!E55+(F178-'Operating Model'!E49)-F180-IF('Operating Model'!E$4=Assumptions!$C$126,IF(Assumptions!$C$136=1,-M179,G179-H179+L179),0)+IF(AND(Assumptions!$C$136&lt;&gt;1,'Operating Model'!E$4=Assumptions!$C$154),K179,0))</f>
        <v>302118.723364882</v>
      </c>
      <c r="G181" s="30" t="n">
        <f aca="false">IF(AND(Assumptions!$C$136=1,'Operating Model'!F$4&gt;Assumptions!$C$126),0,'Operating Model'!F55+(G178-'Operating Model'!F49)-G180-IF('Operating Model'!F$4=Assumptions!$C$126,IF(Assumptions!$C$136=1,-M179,G179-H179+L179),0)+IF(AND(Assumptions!$C$136&lt;&gt;1,'Operating Model'!F$4=Assumptions!$C$154),K179,0))</f>
        <v>4329863.66496556</v>
      </c>
      <c r="H181" s="22" t="n">
        <f aca="false">IFERROR(IRR(B181:G181),"N/A")</f>
        <v>-0.00178783081386512</v>
      </c>
      <c r="I181" s="24" t="n">
        <f aca="false">SUM(C181:G181)/F179</f>
        <v>0.991925043259406</v>
      </c>
    </row>
    <row r="183" customFormat="false" ht="15" hidden="false" customHeight="false" outlineLevel="0" collapsed="false">
      <c r="A183" s="2" t="s">
        <v>626</v>
      </c>
      <c r="C183" s="30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83" s="30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83" s="30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83" s="30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83" s="30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83" s="30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83" s="30" t="n">
        <f aca="false">H183-'Operating Model'!$B$42*(E$6/Assumptions!$C$7)*(1+Assumptions!$C$18+0)^('Operating Model'!G$4-1)</f>
        <v>1209117.41207427</v>
      </c>
    </row>
    <row r="184" customFormat="false" ht="15" hidden="false" customHeight="false" outlineLevel="0" collapsed="false">
      <c r="A184" s="2" t="s">
        <v>627</v>
      </c>
      <c r="B184" s="30" t="n">
        <f aca="false">Assumptions!$C$7*(E$6/Assumptions!$C$7)</f>
        <v>14490000</v>
      </c>
      <c r="C184" s="30" t="n">
        <f aca="false">MAX(0,(Assumptions!$C$124+Assumptions!$C$127)-Assumptions!$C$132*B184)</f>
        <v>0</v>
      </c>
      <c r="D184" s="30" t="n">
        <f aca="false">Assumptions!$C$124-MAX(0,C184-Assumptions!$C$127)</f>
        <v>5887000</v>
      </c>
      <c r="E184" s="30" t="n">
        <f aca="false">Assumptions!$C$127-MIN(C184,Assumptions!$C$127)</f>
        <v>3563000</v>
      </c>
      <c r="F184" s="30" t="n">
        <f aca="false">B184*(1+Assumptions!$C$10)+'Unit Mix'!$D$18*1+(D184+E184)*Assumptions!$C$131-(D184+E184)</f>
        <v>5795640</v>
      </c>
      <c r="G184" s="30" t="n">
        <f aca="false">IF(Assumptions!$C$130=1,D184+E184,-FV(Assumptions!$C$125,Assumptions!$C$126,PMT(Assumptions!$C$125,Assumptions!$C$111,D184),D184)-FV(Assumptions!$C$128,Assumptions!$C$126,PMT(Assumptions!$C$128,Assumptions!$C$111,E184),E184))</f>
        <v>9450000</v>
      </c>
      <c r="H184" s="30" t="n">
        <f aca="false">MIN(INDEX(C183:H183,Assumptions!$C$126+1)/$A$11*Assumptions!$C$108,INDEX(C183:H183,Assumptions!$C$126+1)/(Assumptions!$C$109*-PMT('Debt (Assumed)'!$B$99,Assumptions!$C$111,1)))</f>
        <v>8576889.34516329</v>
      </c>
      <c r="I184" s="30" t="n">
        <f aca="false">IF(MAX(0,Assumptions!$C$154-Assumptions!$C$126-'Debt (Assumed)'!$B$100)=0,H184,-FV('Debt (Assumed)'!$B$98,MAX(0,Assumptions!$C$154-Assumptions!$C$126-'Debt (Assumed)'!$B$100),PMT('Debt (Assumed)'!$B$98,Assumptions!$C$111,H184),H184))</f>
        <v>8576889.34516329</v>
      </c>
      <c r="J184" s="30" t="n">
        <f aca="false">I184*'Debt (Assumed)'!$B$102</f>
        <v>0</v>
      </c>
      <c r="K184" s="30" t="n">
        <f aca="false">I183/($A$11+Returns!$B$35)*(1-Assumptions!$C$158)-I184-J184</f>
        <v>4144465.65358636</v>
      </c>
      <c r="L184" s="30" t="n">
        <f aca="false">H184*'Debt (Assumed)'!$B$101</f>
        <v>92630.4049277635</v>
      </c>
      <c r="M184" s="30" t="n">
        <f aca="false">(INDEX(C183:H183,Assumptions!$C$126+1)-'Operating Model'!$B$42*(E$6/Assumptions!$C$7)*(1+Assumptions!$C$18+0)^Assumptions!$C$126)/($A$11+Returns!$B$35)*(1-Assumptions!$C$158)-G184</f>
        <v>2957036.74373149</v>
      </c>
    </row>
    <row r="185" customFormat="false" ht="15" hidden="false" customHeight="false" outlineLevel="0" collapsed="false">
      <c r="A185" s="2" t="s">
        <v>628</v>
      </c>
      <c r="C185" s="30" t="n">
        <f aca="false">IF('Operating Model'!B$4&lt;=Assumptions!$C$126,IF(Assumptions!$C$130=1,D184*Assumptions!$C$125+E184*Assumptions!$C$128,-PMT(Assumptions!$C$125,Assumptions!$C$111,D184)-PMT(Assumptions!$C$128,Assumptions!$C$111,E184)),IF(Assumptions!$C$136=1,0,IF('Operating Model'!B$4-Assumptions!$C$126&lt;='Debt (Assumed)'!$B$100,H184*'Debt (Assumed)'!$B$98,-PMT('Debt (Assumed)'!$B$98,Assumptions!$C$111,H184))))</f>
        <v>397516</v>
      </c>
      <c r="D185" s="30" t="n">
        <f aca="false">IF('Operating Model'!C$4&lt;=Assumptions!$C$126,IF(Assumptions!$C$130=1,D184*Assumptions!$C$125+E184*Assumptions!$C$128,-PMT(Assumptions!$C$125,Assumptions!$C$111,D184)-PMT(Assumptions!$C$128,Assumptions!$C$111,E184)),IF(Assumptions!$C$136=1,0,IF('Operating Model'!C$4-Assumptions!$C$126&lt;='Debt (Assumed)'!$B$100,H184*'Debt (Assumed)'!$B$98,-PMT('Debt (Assumed)'!$B$98,Assumptions!$C$111,H184))))</f>
        <v>397516</v>
      </c>
      <c r="E185" s="30" t="n">
        <f aca="false">IF('Operating Model'!D$4&lt;=Assumptions!$C$126,IF(Assumptions!$C$130=1,D184*Assumptions!$C$125+E184*Assumptions!$C$128,-PMT(Assumptions!$C$125,Assumptions!$C$111,D184)-PMT(Assumptions!$C$128,Assumptions!$C$111,E184)),IF(Assumptions!$C$136=1,0,IF('Operating Model'!D$4-Assumptions!$C$126&lt;='Debt (Assumed)'!$B$100,H184*'Debt (Assumed)'!$B$98,-PMT('Debt (Assumed)'!$B$98,Assumptions!$C$111,H184))))</f>
        <v>397516</v>
      </c>
      <c r="F185" s="30" t="n">
        <f aca="false">IF('Operating Model'!E$4&lt;=Assumptions!$C$126,IF(Assumptions!$C$130=1,D184*Assumptions!$C$125+E184*Assumptions!$C$128,-PMT(Assumptions!$C$125,Assumptions!$C$111,D184)-PMT(Assumptions!$C$128,Assumptions!$C$111,E184)),IF(Assumptions!$C$136=1,0,IF('Operating Model'!E$4-Assumptions!$C$126&lt;='Debt (Assumed)'!$B$100,H184*'Debt (Assumed)'!$B$98,-PMT('Debt (Assumed)'!$B$98,Assumptions!$C$111,H184))))</f>
        <v>578082.341864006</v>
      </c>
      <c r="G185" s="30" t="n">
        <f aca="false">IF('Operating Model'!F$4&lt;=Assumptions!$C$126,IF(Assumptions!$C$130=1,D184*Assumptions!$C$125+E184*Assumptions!$C$128,-PMT(Assumptions!$C$125,Assumptions!$C$111,D184)-PMT(Assumptions!$C$128,Assumptions!$C$111,E184)),IF(Assumptions!$C$136=1,0,IF('Operating Model'!F$4-Assumptions!$C$126&lt;='Debt (Assumed)'!$B$100,H184*'Debt (Assumed)'!$B$98,-PMT('Debt (Assumed)'!$B$98,Assumptions!$C$111,H184))))</f>
        <v>578082.341864006</v>
      </c>
    </row>
    <row r="186" customFormat="false" ht="15" hidden="false" customHeight="false" outlineLevel="0" collapsed="false">
      <c r="A186" s="2" t="s">
        <v>629</v>
      </c>
      <c r="B186" s="30" t="n">
        <f aca="false">-F184</f>
        <v>-5795640</v>
      </c>
      <c r="C186" s="30" t="n">
        <f aca="false">IF(AND(Assumptions!$C$136=1,'Operating Model'!B$4&gt;Assumptions!$C$126),0,'Operating Model'!B55+(C183-'Operating Model'!B49)-C185-IF('Operating Model'!B$4=Assumptions!$C$126,IF(Assumptions!$C$136=1,-M184,G184-H184+L184),0)+IF(AND(Assumptions!$C$136&lt;&gt;1,'Operating Model'!B$4=Assumptions!$C$154),K184,0))</f>
        <v>439784.146996</v>
      </c>
      <c r="D186" s="30" t="n">
        <f aca="false">IF(AND(Assumptions!$C$136=1,'Operating Model'!C$4&gt;Assumptions!$C$126),0,'Operating Model'!C55+(D183-'Operating Model'!C49)-D185-IF('Operating Model'!C$4=Assumptions!$C$126,IF(Assumptions!$C$136=1,-M184,G184-H184+L184),0)+IF(AND(Assumptions!$C$136&lt;&gt;1,'Operating Model'!C$4=Assumptions!$C$154),K184,0))</f>
        <v>316115.841131455</v>
      </c>
      <c r="E186" s="30" t="n">
        <f aca="false">IF(AND(Assumptions!$C$136=1,'Operating Model'!D$4&gt;Assumptions!$C$126),0,'Operating Model'!D55+(E183-'Operating Model'!D49)-E185-IF('Operating Model'!D$4=Assumptions!$C$126,IF(Assumptions!$C$136=1,-M184,G184-H184+L184),0)+IF(AND(Assumptions!$C$136&lt;&gt;1,'Operating Model'!D$4=Assumptions!$C$154),K184,0))</f>
        <v>-491124.674898698</v>
      </c>
      <c r="F186" s="30" t="n">
        <f aca="false">IF(AND(Assumptions!$C$136=1,'Operating Model'!E$4&gt;Assumptions!$C$126),0,'Operating Model'!E55+(F183-'Operating Model'!E49)-F185-IF('Operating Model'!E$4=Assumptions!$C$126,IF(Assumptions!$C$136=1,-M184,G184-H184+L184),0)+IF(AND(Assumptions!$C$136&lt;&gt;1,'Operating Model'!E$4=Assumptions!$C$154),K184,0))</f>
        <v>297423.742845092</v>
      </c>
      <c r="G186" s="30" t="n">
        <f aca="false">IF(AND(Assumptions!$C$136=1,'Operating Model'!F$4&gt;Assumptions!$C$126),0,'Operating Model'!F55+(G183-'Operating Model'!F49)-G185-IF('Operating Model'!F$4=Assumptions!$C$126,IF(Assumptions!$C$136=1,-M184,G184-H184+L184),0)+IF(AND(Assumptions!$C$136&lt;&gt;1,'Operating Model'!F$4=Assumptions!$C$154),K184,0))</f>
        <v>4446921.79219228</v>
      </c>
      <c r="H186" s="22" t="n">
        <f aca="false">IFERROR(IRR(B186:G186),"N/A")</f>
        <v>-0.0310835048773086</v>
      </c>
      <c r="I186" s="24" t="n">
        <f aca="false">SUM(C186:G186)/F184</f>
        <v>0.864291234146036</v>
      </c>
    </row>
    <row r="188" customFormat="false" ht="15" hidden="false" customHeight="false" outlineLevel="0" collapsed="false">
      <c r="A188" s="2" t="s">
        <v>630</v>
      </c>
      <c r="C188" s="30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88" s="30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88" s="30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88" s="30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88" s="30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88" s="30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88" s="30" t="n">
        <f aca="false">H188-'Operating Model'!$B$42*(F$6/Assumptions!$C$7)*(1+Assumptions!$C$18+0)^('Operating Model'!G$4-1)</f>
        <v>1209117.41207427</v>
      </c>
    </row>
    <row r="189" customFormat="false" ht="15" hidden="false" customHeight="false" outlineLevel="0" collapsed="false">
      <c r="A189" s="2" t="s">
        <v>631</v>
      </c>
      <c r="B189" s="30" t="n">
        <f aca="false">Assumptions!$C$7*(F$6/Assumptions!$C$7)</f>
        <v>15180000</v>
      </c>
      <c r="C189" s="30" t="n">
        <f aca="false">MAX(0,(Assumptions!$C$124+Assumptions!$C$127)-Assumptions!$C$132*B189)</f>
        <v>0</v>
      </c>
      <c r="D189" s="30" t="n">
        <f aca="false">Assumptions!$C$124-MAX(0,C189-Assumptions!$C$127)</f>
        <v>5887000</v>
      </c>
      <c r="E189" s="30" t="n">
        <f aca="false">Assumptions!$C$127-MIN(C189,Assumptions!$C$127)</f>
        <v>3563000</v>
      </c>
      <c r="F189" s="30" t="n">
        <f aca="false">B189*(1+Assumptions!$C$10)+'Unit Mix'!$D$18*1+(D189+E189)*Assumptions!$C$131-(D189+E189)</f>
        <v>6495990</v>
      </c>
      <c r="G189" s="30" t="n">
        <f aca="false">IF(Assumptions!$C$130=1,D189+E189,-FV(Assumptions!$C$125,Assumptions!$C$126,PMT(Assumptions!$C$125,Assumptions!$C$111,D189),D189)-FV(Assumptions!$C$128,Assumptions!$C$126,PMT(Assumptions!$C$128,Assumptions!$C$111,E189),E189))</f>
        <v>9450000</v>
      </c>
      <c r="H189" s="30" t="n">
        <f aca="false">MIN(INDEX(C188:H188,Assumptions!$C$126+1)/$A$11*Assumptions!$C$108,INDEX(C188:H188,Assumptions!$C$126+1)/(Assumptions!$C$109*-PMT('Debt (Assumed)'!$B$99,Assumptions!$C$111,1)))</f>
        <v>8454748.41904858</v>
      </c>
      <c r="I189" s="30" t="n">
        <f aca="false">IF(MAX(0,Assumptions!$C$154-Assumptions!$C$126-'Debt (Assumed)'!$B$100)=0,H189,-FV('Debt (Assumed)'!$B$98,MAX(0,Assumptions!$C$154-Assumptions!$C$126-'Debt (Assumed)'!$B$100),PMT('Debt (Assumed)'!$B$98,Assumptions!$C$111,H189),H189))</f>
        <v>8454748.41904858</v>
      </c>
      <c r="J189" s="30" t="n">
        <f aca="false">I189*'Debt (Assumed)'!$B$102</f>
        <v>0</v>
      </c>
      <c r="K189" s="30" t="n">
        <f aca="false">I188/($A$11+Returns!$B$35)*(1-Assumptions!$C$158)-I189-J189</f>
        <v>4266606.57970107</v>
      </c>
      <c r="L189" s="30" t="n">
        <f aca="false">H189*'Debt (Assumed)'!$B$101</f>
        <v>91311.2829257247</v>
      </c>
      <c r="M189" s="30" t="n">
        <f aca="false">(INDEX(C188:H188,Assumptions!$C$126+1)-'Operating Model'!$B$42*(F$6/Assumptions!$C$7)*(1+Assumptions!$C$18+0)^Assumptions!$C$126)/($A$11+Returns!$B$35)*(1-Assumptions!$C$158)-G189</f>
        <v>2957036.74373149</v>
      </c>
    </row>
    <row r="190" customFormat="false" ht="15" hidden="false" customHeight="false" outlineLevel="0" collapsed="false">
      <c r="A190" s="2" t="s">
        <v>632</v>
      </c>
      <c r="C190" s="30" t="n">
        <f aca="false">IF('Operating Model'!B$4&lt;=Assumptions!$C$126,IF(Assumptions!$C$130=1,D189*Assumptions!$C$125+E189*Assumptions!$C$128,-PMT(Assumptions!$C$125,Assumptions!$C$111,D189)-PMT(Assumptions!$C$128,Assumptions!$C$111,E189)),IF(Assumptions!$C$136=1,0,IF('Operating Model'!B$4-Assumptions!$C$126&lt;='Debt (Assumed)'!$B$100,H189*'Debt (Assumed)'!$B$98,-PMT('Debt (Assumed)'!$B$98,Assumptions!$C$111,H189))))</f>
        <v>397516</v>
      </c>
      <c r="D190" s="30" t="n">
        <f aca="false">IF('Operating Model'!C$4&lt;=Assumptions!$C$126,IF(Assumptions!$C$130=1,D189*Assumptions!$C$125+E189*Assumptions!$C$128,-PMT(Assumptions!$C$125,Assumptions!$C$111,D189)-PMT(Assumptions!$C$128,Assumptions!$C$111,E189)),IF(Assumptions!$C$136=1,0,IF('Operating Model'!C$4-Assumptions!$C$126&lt;='Debt (Assumed)'!$B$100,H189*'Debt (Assumed)'!$B$98,-PMT('Debt (Assumed)'!$B$98,Assumptions!$C$111,H189))))</f>
        <v>397516</v>
      </c>
      <c r="E190" s="30" t="n">
        <f aca="false">IF('Operating Model'!D$4&lt;=Assumptions!$C$126,IF(Assumptions!$C$130=1,D189*Assumptions!$C$125+E189*Assumptions!$C$128,-PMT(Assumptions!$C$125,Assumptions!$C$111,D189)-PMT(Assumptions!$C$128,Assumptions!$C$111,E189)),IF(Assumptions!$C$136=1,0,IF('Operating Model'!D$4-Assumptions!$C$126&lt;='Debt (Assumed)'!$B$100,H189*'Debt (Assumed)'!$B$98,-PMT('Debt (Assumed)'!$B$98,Assumptions!$C$111,H189))))</f>
        <v>397516</v>
      </c>
      <c r="F190" s="30" t="n">
        <f aca="false">IF('Operating Model'!E$4&lt;=Assumptions!$C$126,IF(Assumptions!$C$130=1,D189*Assumptions!$C$125+E189*Assumptions!$C$128,-PMT(Assumptions!$C$125,Assumptions!$C$111,D189)-PMT(Assumptions!$C$128,Assumptions!$C$111,E189)),IF(Assumptions!$C$136=1,0,IF('Operating Model'!E$4-Assumptions!$C$126&lt;='Debt (Assumed)'!$B$100,H189*'Debt (Assumed)'!$B$98,-PMT('Debt (Assumed)'!$B$98,Assumptions!$C$111,H189))))</f>
        <v>569850.043443874</v>
      </c>
      <c r="G190" s="30" t="n">
        <f aca="false">IF('Operating Model'!F$4&lt;=Assumptions!$C$126,IF(Assumptions!$C$130=1,D189*Assumptions!$C$125+E189*Assumptions!$C$128,-PMT(Assumptions!$C$125,Assumptions!$C$111,D189)-PMT(Assumptions!$C$128,Assumptions!$C$111,E189)),IF(Assumptions!$C$136=1,0,IF('Operating Model'!F$4-Assumptions!$C$126&lt;='Debt (Assumed)'!$B$100,H189*'Debt (Assumed)'!$B$98,-PMT('Debt (Assumed)'!$B$98,Assumptions!$C$111,H189))))</f>
        <v>569850.043443874</v>
      </c>
    </row>
    <row r="191" customFormat="false" ht="15" hidden="false" customHeight="false" outlineLevel="0" collapsed="false">
      <c r="A191" s="2" t="s">
        <v>633</v>
      </c>
      <c r="B191" s="30" t="n">
        <f aca="false">-F189</f>
        <v>-6495990</v>
      </c>
      <c r="C191" s="30" t="n">
        <f aca="false">IF(AND(Assumptions!$C$136=1,'Operating Model'!B$4&gt;Assumptions!$C$126),0,'Operating Model'!B55+(C188-'Operating Model'!B49)-C190-IF('Operating Model'!B$4=Assumptions!$C$126,IF(Assumptions!$C$136=1,-M189,G189-H189+L189),0)+IF(AND(Assumptions!$C$136&lt;&gt;1,'Operating Model'!B$4=Assumptions!$C$154),K189,0))</f>
        <v>427953.855496</v>
      </c>
      <c r="D191" s="30" t="n">
        <f aca="false">IF(AND(Assumptions!$C$136=1,'Operating Model'!C$4&gt;Assumptions!$C$126),0,'Operating Model'!C55+(D188-'Operating Model'!C49)-D190-IF('Operating Model'!C$4=Assumptions!$C$126,IF(Assumptions!$C$136=1,-M189,G189-H189+L189),0)+IF(AND(Assumptions!$C$136&lt;&gt;1,'Operating Model'!C$4=Assumptions!$C$154),K189,0))</f>
        <v>303930.640886455</v>
      </c>
      <c r="E191" s="30" t="n">
        <f aca="false">IF(AND(Assumptions!$C$136=1,'Operating Model'!D$4&gt;Assumptions!$C$126),0,'Operating Model'!D55+(E188-'Operating Model'!D49)-E190-IF('Operating Model'!D$4=Assumptions!$C$126,IF(Assumptions!$C$136=1,-M189,G189-H189+L189),0)+IF(AND(Assumptions!$C$136&lt;&gt;1,'Operating Model'!D$4=Assumptions!$C$154),K189,0))</f>
        <v>-624497.235263717</v>
      </c>
      <c r="F191" s="30" t="n">
        <f aca="false">IF(AND(Assumptions!$C$136=1,'Operating Model'!E$4&gt;Assumptions!$C$126),0,'Operating Model'!E55+(F188-'Operating Model'!E49)-F190-IF('Operating Model'!E$4=Assumptions!$C$126,IF(Assumptions!$C$136=1,-M189,G189-H189+L189),0)+IF(AND(Assumptions!$C$136&lt;&gt;1,'Operating Model'!E$4=Assumptions!$C$154),K189,0))</f>
        <v>292728.762325303</v>
      </c>
      <c r="G191" s="30" t="n">
        <f aca="false">IF(AND(Assumptions!$C$136=1,'Operating Model'!F$4&gt;Assumptions!$C$126),0,'Operating Model'!F55+(G188-'Operating Model'!F49)-G190-IF('Operating Model'!F$4=Assumptions!$C$126,IF(Assumptions!$C$136=1,-M189,G189-H189+L189),0)+IF(AND(Assumptions!$C$136&lt;&gt;1,'Operating Model'!F$4=Assumptions!$C$154),K189,0))</f>
        <v>4563979.919419</v>
      </c>
      <c r="H191" s="22" t="n">
        <f aca="false">IFERROR(IRR(B191:G191),"N/A")</f>
        <v>-0.0556075860676331</v>
      </c>
      <c r="I191" s="24" t="n">
        <f aca="false">SUM(C191:G191)/F189</f>
        <v>0.764178507488935</v>
      </c>
    </row>
    <row r="193" customFormat="false" ht="15" hidden="false" customHeight="false" outlineLevel="0" collapsed="false">
      <c r="A193" s="2" t="s">
        <v>634</v>
      </c>
      <c r="C193" s="30" t="n">
        <f aca="false">'Unit Mix'!$H$6*(1+('Operating Model'!B$6+B$21))</f>
        <v>1550</v>
      </c>
      <c r="D193" s="30" t="n">
        <f aca="false">C193*(1+('Operating Model'!C$6+B$21))</f>
        <v>1561.625</v>
      </c>
      <c r="E193" s="30" t="n">
        <f aca="false">D193*(1+('Operating Model'!D$6+B$21))</f>
        <v>1585.049375</v>
      </c>
      <c r="F193" s="30" t="n">
        <f aca="false">E193*(1+('Operating Model'!E$6+B$21))</f>
        <v>1616.7503625</v>
      </c>
      <c r="G193" s="30" t="n">
        <f aca="false">F193*(1+('Operating Model'!F$6+B$21))</f>
        <v>1649.08536975</v>
      </c>
      <c r="H193" s="30" t="n">
        <f aca="false">G193*(1+('Operating Model'!G$6+B$21))</f>
        <v>1682.067077145</v>
      </c>
    </row>
    <row r="194" customFormat="false" ht="15" hidden="false" customHeight="false" outlineLevel="0" collapsed="false">
      <c r="A194" s="2" t="s">
        <v>635</v>
      </c>
      <c r="C194" s="30" t="n">
        <f aca="false">'Unit Mix'!$G$6+Assumptions!$C$48*Assumptions!$C$47*(C193-'Unit Mix'!$G$6)</f>
        <v>1480.21875</v>
      </c>
      <c r="D194" s="30" t="n">
        <f aca="false">C194+Assumptions!$C$48*Assumptions!$C$47*(D193-C194)</f>
        <v>1502.60546875</v>
      </c>
      <c r="E194" s="30" t="n">
        <f aca="false">D194+Assumptions!$C$48*Assumptions!$C$47*(E193-D194)</f>
        <v>1525.27754296875</v>
      </c>
      <c r="F194" s="30" t="n">
        <f aca="false">E194+Assumptions!$C$48*Assumptions!$C$47*(F193-E194)</f>
        <v>1550.43256833984</v>
      </c>
      <c r="G194" s="30" t="n">
        <f aca="false">F194+Assumptions!$C$48*Assumptions!$C$47*(G193-F194)</f>
        <v>1577.56208872764</v>
      </c>
      <c r="H194" s="30" t="n">
        <f aca="false">G194+Assumptions!$C$48*Assumptions!$C$47*(H193-G194)</f>
        <v>1606.30096054241</v>
      </c>
    </row>
    <row r="195" customFormat="false" ht="15" hidden="false" customHeight="false" outlineLevel="0" collapsed="false">
      <c r="A195" s="2" t="s">
        <v>636</v>
      </c>
      <c r="C195" s="30" t="n">
        <f aca="false">'Unit Mix'!$H$7*(1+('Operating Model'!B$6+B$21))</f>
        <v>1780</v>
      </c>
      <c r="D195" s="30" t="n">
        <f aca="false">C195*(1+('Operating Model'!C$6+B$21))</f>
        <v>1793.35</v>
      </c>
      <c r="E195" s="30" t="n">
        <f aca="false">D195*(1+('Operating Model'!D$6+B$21))</f>
        <v>1820.25025</v>
      </c>
      <c r="F195" s="30" t="n">
        <f aca="false">E195*(1+('Operating Model'!E$6+B$21))</f>
        <v>1856.655255</v>
      </c>
      <c r="G195" s="30" t="n">
        <f aca="false">F195*(1+('Operating Model'!F$6+B$21))</f>
        <v>1893.7883601</v>
      </c>
      <c r="H195" s="30" t="n">
        <f aca="false">G195*(1+('Operating Model'!G$6+B$21))</f>
        <v>1931.664127302</v>
      </c>
    </row>
    <row r="196" customFormat="false" ht="15" hidden="false" customHeight="false" outlineLevel="0" collapsed="false">
      <c r="A196" s="2" t="s">
        <v>637</v>
      </c>
      <c r="C196" s="30" t="n">
        <f aca="false">'Unit Mix'!$G$7+Assumptions!$C$48*Assumptions!$C$47*(C195-'Unit Mix'!$G$7)</f>
        <v>1702.60625</v>
      </c>
      <c r="D196" s="30" t="n">
        <f aca="false">C196+Assumptions!$C$48*Assumptions!$C$47*(D195-C196)</f>
        <v>1727.56078125</v>
      </c>
      <c r="E196" s="30" t="n">
        <f aca="false">D196+Assumptions!$C$48*Assumptions!$C$47*(E195-D196)</f>
        <v>1753.05038515625</v>
      </c>
      <c r="F196" s="30" t="n">
        <f aca="false">E196+Assumptions!$C$48*Assumptions!$C$47*(F195-E196)</f>
        <v>1781.54172436328</v>
      </c>
      <c r="G196" s="30" t="n">
        <f aca="false">F196+Assumptions!$C$48*Assumptions!$C$47*(G195-F196)</f>
        <v>1812.40954919088</v>
      </c>
      <c r="H196" s="30" t="n">
        <f aca="false">G196+Assumptions!$C$48*Assumptions!$C$47*(H195-G196)</f>
        <v>1845.20455817144</v>
      </c>
    </row>
    <row r="197" customFormat="false" ht="15" hidden="false" customHeight="false" outlineLevel="0" collapsed="false">
      <c r="A197" s="2" t="s">
        <v>638</v>
      </c>
      <c r="C197" s="30" t="n">
        <f aca="false">'Unit Mix'!$H$8*(1+('Operating Model'!B$6+B$21))</f>
        <v>2050</v>
      </c>
      <c r="D197" s="30" t="n">
        <f aca="false">C197*(1+('Operating Model'!C$6+B$21))</f>
        <v>2065.375</v>
      </c>
      <c r="E197" s="30" t="n">
        <f aca="false">D197*(1+('Operating Model'!D$6+B$21))</f>
        <v>2096.355625</v>
      </c>
      <c r="F197" s="30" t="n">
        <f aca="false">E197*(1+('Operating Model'!E$6+B$21))</f>
        <v>2138.2827375</v>
      </c>
      <c r="G197" s="30" t="n">
        <f aca="false">F197*(1+('Operating Model'!F$6+B$21))</f>
        <v>2181.04839225</v>
      </c>
      <c r="H197" s="30" t="n">
        <f aca="false">G197*(1+('Operating Model'!G$6+B$21))</f>
        <v>2224.669360095</v>
      </c>
    </row>
    <row r="198" customFormat="false" ht="15" hidden="false" customHeight="false" outlineLevel="0" collapsed="false">
      <c r="A198" s="2" t="s">
        <v>639</v>
      </c>
      <c r="C198" s="30" t="n">
        <f aca="false">'Unit Mix'!$G$8+Assumptions!$C$48*Assumptions!$C$47*(C197-'Unit Mix'!$G$8)</f>
        <v>1961.1875</v>
      </c>
      <c r="D198" s="30" t="n">
        <f aca="false">C198+Assumptions!$C$48*Assumptions!$C$47*(D197-C198)</f>
        <v>1989.8390625</v>
      </c>
      <c r="E198" s="30" t="n">
        <f aca="false">D198+Assumptions!$C$48*Assumptions!$C$47*(E197-D198)</f>
        <v>2019.1311171875</v>
      </c>
      <c r="F198" s="30" t="n">
        <f aca="false">E198+Assumptions!$C$48*Assumptions!$C$47*(F197-E198)</f>
        <v>2051.89781277344</v>
      </c>
      <c r="G198" s="30" t="n">
        <f aca="false">F198+Assumptions!$C$48*Assumptions!$C$47*(G197-F198)</f>
        <v>2087.41422212949</v>
      </c>
      <c r="H198" s="30" t="n">
        <f aca="false">G198+Assumptions!$C$48*Assumptions!$C$47*(H197-G198)</f>
        <v>2125.15938507001</v>
      </c>
    </row>
    <row r="199" customFormat="false" ht="15" hidden="false" customHeight="false" outlineLevel="0" collapsed="false">
      <c r="A199" s="2" t="s">
        <v>640</v>
      </c>
      <c r="C199" s="30" t="n">
        <f aca="false">'Unit Mix'!$H$9*(1+('Operating Model'!B$6+B$21))</f>
        <v>2200</v>
      </c>
      <c r="D199" s="30" t="n">
        <f aca="false">C199*(1+('Operating Model'!C$6+B$21))</f>
        <v>2216.5</v>
      </c>
      <c r="E199" s="30" t="n">
        <f aca="false">D199*(1+('Operating Model'!D$6+B$21))</f>
        <v>2249.7475</v>
      </c>
      <c r="F199" s="30" t="n">
        <f aca="false">E199*(1+('Operating Model'!E$6+B$21))</f>
        <v>2294.74245</v>
      </c>
      <c r="G199" s="30" t="n">
        <f aca="false">F199*(1+('Operating Model'!F$6+B$21))</f>
        <v>2340.637299</v>
      </c>
      <c r="H199" s="30" t="n">
        <f aca="false">G199*(1+('Operating Model'!G$6+B$21))</f>
        <v>2387.45004498</v>
      </c>
    </row>
    <row r="200" customFormat="false" ht="15" hidden="false" customHeight="false" outlineLevel="0" collapsed="false">
      <c r="A200" s="2" t="s">
        <v>641</v>
      </c>
      <c r="C200" s="30" t="n">
        <f aca="false">'Unit Mix'!$G$9+Assumptions!$C$48*Assumptions!$C$47*(C199-'Unit Mix'!$G$9)</f>
        <v>2104.84375</v>
      </c>
      <c r="D200" s="30" t="n">
        <f aca="false">C200+Assumptions!$C$48*Assumptions!$C$47*(D199-C200)</f>
        <v>2135.54921875</v>
      </c>
      <c r="E200" s="30" t="n">
        <f aca="false">D200+Assumptions!$C$48*Assumptions!$C$47*(E199-D200)</f>
        <v>2166.95374609375</v>
      </c>
      <c r="F200" s="30" t="n">
        <f aca="false">E200+Assumptions!$C$48*Assumptions!$C$47*(F199-E200)</f>
        <v>2202.09563966797</v>
      </c>
      <c r="G200" s="30" t="n">
        <f aca="false">F200+Assumptions!$C$48*Assumptions!$C$47*(G199-F200)</f>
        <v>2240.19459598428</v>
      </c>
      <c r="H200" s="30" t="n">
        <f aca="false">G200+Assumptions!$C$48*Assumptions!$C$47*(H199-G200)</f>
        <v>2280.6898444581</v>
      </c>
    </row>
    <row r="201" customFormat="false" ht="15" hidden="false" customHeight="false" outlineLevel="0" collapsed="false">
      <c r="A201" s="2" t="s">
        <v>642</v>
      </c>
      <c r="C201" s="30" t="n">
        <f aca="false">('Unit Mix'!$C$6*('Unit Mix'!$F$6*(1-Assumptions!$C$39)+(C193+Assumptions!$C$37)*Assumptions!$C$39)+'Unit Mix'!$D$6*C194+'Unit Mix'!$C$7*('Unit Mix'!$F$7*(1-Assumptions!$C$39)+(C195+Assumptions!$C$37)*Assumptions!$C$39)+'Unit Mix'!$D$7*C196+'Unit Mix'!$C$8*('Unit Mix'!$F$8*(1-Assumptions!$C$39)+(C197+Assumptions!$C$37)*Assumptions!$C$39)+'Unit Mix'!$D$8*C198+'Unit Mix'!$C$9*('Unit Mix'!$F$9*(1-Assumptions!$C$39)+(C199+Assumptions!$C$37)*Assumptions!$C$39)+'Unit Mix'!$D$9*C200)*12</f>
        <v>2010015.45</v>
      </c>
      <c r="D201" s="30" t="n">
        <f aca="false">('Unit Mix'!$C$6*(D193+Assumptions!$C$37)+'Unit Mix'!$D$6*D194+'Unit Mix'!$C$7*(D195+Assumptions!$C$37)+'Unit Mix'!$D$7*D196+'Unit Mix'!$C$8*(D197+Assumptions!$C$37)+'Unit Mix'!$D$8*D198+'Unit Mix'!$C$9*(D199+Assumptions!$C$37)+'Unit Mix'!$D$9*D200)*12</f>
        <v>2081427.15375</v>
      </c>
      <c r="E201" s="30" t="n">
        <f aca="false">('Unit Mix'!$C$6*(E193+Assumptions!$C$37)+'Unit Mix'!$D$6*E194+'Unit Mix'!$C$7*(E195+Assumptions!$C$37)+'Unit Mix'!$D$7*E196+'Unit Mix'!$C$8*(E197+Assumptions!$C$37)+'Unit Mix'!$D$8*E198+'Unit Mix'!$C$9*(E199+Assumptions!$C$37)+'Unit Mix'!$D$9*E200)*12</f>
        <v>2112330.62825625</v>
      </c>
      <c r="F201" s="30" t="n">
        <f aca="false">('Unit Mix'!$C$6*(F193+Assumptions!$C$37)+'Unit Mix'!$D$6*F194+'Unit Mix'!$C$7*(F195+Assumptions!$C$37)+'Unit Mix'!$D$7*F196+'Unit Mix'!$C$8*(F197+Assumptions!$C$37)+'Unit Mix'!$D$8*F198+'Unit Mix'!$C$9*(F199+Assumptions!$C$37)+'Unit Mix'!$D$9*F200)*12</f>
        <v>2148707.56972153</v>
      </c>
      <c r="G201" s="30" t="n">
        <f aca="false">('Unit Mix'!$C$6*(G193+Assumptions!$C$37)+'Unit Mix'!$D$6*G194+'Unit Mix'!$C$7*(G195+Assumptions!$C$37)+'Unit Mix'!$D$7*G196+'Unit Mix'!$C$8*(G197+Assumptions!$C$37)+'Unit Mix'!$D$8*G198+'Unit Mix'!$C$9*(G199+Assumptions!$C$37)+'Unit Mix'!$D$9*G200)*12</f>
        <v>2187426.20956858</v>
      </c>
      <c r="H201" s="30" t="n">
        <f aca="false">('Unit Mix'!$C$6*(H193+Assumptions!$C$37)+'Unit Mix'!$D$6*H194+'Unit Mix'!$C$7*(H195+Assumptions!$C$37)+'Unit Mix'!$D$7*H196+'Unit Mix'!$C$8*(H197+Assumptions!$C$37)+'Unit Mix'!$D$8*H198+'Unit Mix'!$C$9*(H199+Assumptions!$C$37)+'Unit Mix'!$D$9*H200)*12</f>
        <v>2228089.48788809</v>
      </c>
    </row>
    <row r="202" customFormat="false" ht="15" hidden="false" customHeight="false" outlineLevel="0" collapsed="false">
      <c r="A202" s="2" t="s">
        <v>643</v>
      </c>
      <c r="C202" s="30" t="n">
        <f aca="false">'Operating Model'!B49-'Operating Model'!B42+'Operating Model'!$B$42*1*(1+Assumptions!$C$18+B$21)^('Operating Model'!B$4-1)+((C201-'Operating Model'!B25)+0)*(1-(Assumptions!$C$42+Assumptions!$C$43+Assumptions!$C$44))*(1-Assumptions!$C$75)</f>
        <v>871999.97351</v>
      </c>
      <c r="D202" s="30" t="n">
        <f aca="false">'Operating Model'!C49-'Operating Model'!C42+'Operating Model'!$B$42*1*(1+Assumptions!$C$18+B$21)^('Operating Model'!C$4-1)+((D201-'Operating Model'!C25)+0)*(1-(Assumptions!$C$42+Assumptions!$C$43+Assumptions!$C$44))*(1-Assumptions!$C$75)</f>
        <v>898220.31122625</v>
      </c>
      <c r="E202" s="30" t="n">
        <f aca="false">'Operating Model'!D49-'Operating Model'!D42+'Operating Model'!$B$42*1*(1+Assumptions!$C$18+B$21)^('Operating Model'!D$4-1)+((E201-'Operating Model'!D25)+0)*(1-(Assumptions!$C$42+Assumptions!$C$43+Assumptions!$C$44))*(1-Assumptions!$C$75)</f>
        <v>886638.229759264</v>
      </c>
      <c r="F202" s="30" t="n">
        <f aca="false">'Operating Model'!E49-'Operating Model'!E42+'Operating Model'!$B$42*1*(1+Assumptions!$C$18+B$21)^('Operating Model'!E$4-1)+((F201-'Operating Model'!E25)+0)*(1-(Assumptions!$C$42+Assumptions!$C$43+Assumptions!$C$44))*(1-Assumptions!$C$75)</f>
        <v>877971.086711183</v>
      </c>
      <c r="G202" s="30" t="n">
        <f aca="false">'Operating Model'!F49-'Operating Model'!F42+'Operating Model'!$B$42*1*(1+Assumptions!$C$18+B$21)^('Operating Model'!F$4-1)+((G201-'Operating Model'!F25)+0)*(1-(Assumptions!$C$42+Assumptions!$C$43+Assumptions!$C$44))*(1-Assumptions!$C$75)</f>
        <v>869326.718695636</v>
      </c>
      <c r="H202" s="30" t="n">
        <f aca="false">'Operating Model'!G49-'Operating Model'!G42+'Operating Model'!$B$42*1*(1+Assumptions!$C$18+B$21)^('Operating Model'!G$4-1)+((H201-'Operating Model'!G25)+0)*(1-(Assumptions!$C$42+Assumptions!$C$43+Assumptions!$C$44))*(1-Assumptions!$C$75)</f>
        <v>860233.815784451</v>
      </c>
      <c r="I202" s="30" t="n">
        <f aca="false">H202-'Operating Model'!$B$42*1*(1+Assumptions!$C$18+B$21)^('Operating Model'!G$4-1)</f>
        <v>1121465.77061265</v>
      </c>
    </row>
    <row r="203" customFormat="false" ht="15" hidden="false" customHeight="false" outlineLevel="0" collapsed="false">
      <c r="A203" s="2" t="s">
        <v>644</v>
      </c>
      <c r="B203" s="30" t="n">
        <f aca="false">Assumptions!$C$7*1</f>
        <v>13800000</v>
      </c>
      <c r="C203" s="30" t="n">
        <f aca="false">MAX(0,(Assumptions!$C$124+Assumptions!$C$127)-Assumptions!$C$132*B203)</f>
        <v>0</v>
      </c>
      <c r="D203" s="30" t="n">
        <f aca="false">Assumptions!$C$124-MAX(0,C203-Assumptions!$C$127)</f>
        <v>5887000</v>
      </c>
      <c r="E203" s="30" t="n">
        <f aca="false">Assumptions!$C$127-MIN(C203,Assumptions!$C$127)</f>
        <v>3563000</v>
      </c>
      <c r="F203" s="30" t="n">
        <f aca="false">B203*(1+Assumptions!$C$10)+'Unit Mix'!$D$18*1+(D203+E203)*Assumptions!$C$131-(D203+E203)</f>
        <v>5095290</v>
      </c>
      <c r="G203" s="30" t="n">
        <f aca="false">IF(Assumptions!$C$130=1,D203+E203,-FV(Assumptions!$C$125,Assumptions!$C$126,PMT(Assumptions!$C$125,Assumptions!$C$111,D203),D203)-FV(Assumptions!$C$128,Assumptions!$C$126,PMT(Assumptions!$C$128,Assumptions!$C$111,E203),E203))</f>
        <v>9450000</v>
      </c>
      <c r="H203" s="30" t="n">
        <f aca="false">MIN(INDEX(C202:H202,Assumptions!$C$126+1)/$A$22*Assumptions!$C$108,INDEX(C202:H202,Assumptions!$C$126+1)/(Assumptions!$C$109*-PMT('Debt (Assumed)'!$B$99,Assumptions!$C$111,1)))</f>
        <v>8295342.13125759</v>
      </c>
      <c r="I203" s="30" t="n">
        <f aca="false">IF(MAX(0,Assumptions!$C$154-Assumptions!$C$126-'Debt (Assumed)'!$B$100)=0,H203,-FV('Debt (Assumed)'!$B$98,MAX(0,Assumptions!$C$154-Assumptions!$C$126-'Debt (Assumed)'!$B$100),PMT('Debt (Assumed)'!$B$98,Assumptions!$C$111,H203),H203))</f>
        <v>8295342.13125759</v>
      </c>
      <c r="J203" s="30" t="n">
        <f aca="false">I203*'Debt (Assumed)'!$B$102</f>
        <v>0</v>
      </c>
      <c r="K203" s="30" t="n">
        <f aca="false">I202/($A$22+Returns!$B$35)*(1-Assumptions!$C$158)-I203-J203</f>
        <v>6730034.80931896</v>
      </c>
      <c r="L203" s="30" t="n">
        <f aca="false">H203*'Debt (Assumed)'!$B$101</f>
        <v>89589.695017582</v>
      </c>
      <c r="M203" s="30" t="n">
        <f aca="false">(INDEX(C202:H202,Assumptions!$C$126+1)-'Operating Model'!$B$42*1*(1+Assumptions!$C$18+B$21)^Assumptions!$C$126)/($A$22+Returns!$B$35)*(1-Assumptions!$C$158)-G203</f>
        <v>5677112.03961355</v>
      </c>
    </row>
    <row r="204" customFormat="false" ht="15" hidden="false" customHeight="false" outlineLevel="0" collapsed="false">
      <c r="A204" s="2" t="s">
        <v>645</v>
      </c>
      <c r="C204" s="30" t="n">
        <f aca="false">IF('Operating Model'!B$4&lt;=Assumptions!$C$126,IF(Assumptions!$C$130=1,D203*Assumptions!$C$125+E203*Assumptions!$C$128,-PMT(Assumptions!$C$125,Assumptions!$C$111,D203)-PMT(Assumptions!$C$128,Assumptions!$C$111,E203)),IF(Assumptions!$C$136=1,0,IF('Operating Model'!B$4-Assumptions!$C$126&lt;='Debt (Assumed)'!$B$100,H203*'Debt (Assumed)'!$B$98,-PMT('Debt (Assumed)'!$B$98,Assumptions!$C$111,H203))))</f>
        <v>397516</v>
      </c>
      <c r="D204" s="30" t="n">
        <f aca="false">IF('Operating Model'!C$4&lt;=Assumptions!$C$126,IF(Assumptions!$C$130=1,D203*Assumptions!$C$125+E203*Assumptions!$C$128,-PMT(Assumptions!$C$125,Assumptions!$C$111,D203)-PMT(Assumptions!$C$128,Assumptions!$C$111,E203)),IF(Assumptions!$C$136=1,0,IF('Operating Model'!C$4-Assumptions!$C$126&lt;='Debt (Assumed)'!$B$100,H203*'Debt (Assumed)'!$B$98,-PMT('Debt (Assumed)'!$B$98,Assumptions!$C$111,H203))))</f>
        <v>397516</v>
      </c>
      <c r="E204" s="30" t="n">
        <f aca="false">IF('Operating Model'!D$4&lt;=Assumptions!$C$126,IF(Assumptions!$C$130=1,D203*Assumptions!$C$125+E203*Assumptions!$C$128,-PMT(Assumptions!$C$125,Assumptions!$C$111,D203)-PMT(Assumptions!$C$128,Assumptions!$C$111,E203)),IF(Assumptions!$C$136=1,0,IF('Operating Model'!D$4-Assumptions!$C$126&lt;='Debt (Assumed)'!$B$100,H203*'Debt (Assumed)'!$B$98,-PMT('Debt (Assumed)'!$B$98,Assumptions!$C$111,H203))))</f>
        <v>397516</v>
      </c>
      <c r="F204" s="30" t="n">
        <f aca="false">IF('Operating Model'!E$4&lt;=Assumptions!$C$126,IF(Assumptions!$C$130=1,D203*Assumptions!$C$125+E203*Assumptions!$C$128,-PMT(Assumptions!$C$125,Assumptions!$C$111,D203)-PMT(Assumptions!$C$128,Assumptions!$C$111,E203)),IF(Assumptions!$C$136=1,0,IF('Operating Model'!E$4-Assumptions!$C$126&lt;='Debt (Assumed)'!$B$100,H203*'Debt (Assumed)'!$B$98,-PMT('Debt (Assumed)'!$B$98,Assumptions!$C$111,H203))))</f>
        <v>559106.059646761</v>
      </c>
      <c r="G204" s="30" t="n">
        <f aca="false">IF('Operating Model'!F$4&lt;=Assumptions!$C$126,IF(Assumptions!$C$130=1,D203*Assumptions!$C$125+E203*Assumptions!$C$128,-PMT(Assumptions!$C$125,Assumptions!$C$111,D203)-PMT(Assumptions!$C$128,Assumptions!$C$111,E203)),IF(Assumptions!$C$136=1,0,IF('Operating Model'!F$4-Assumptions!$C$126&lt;='Debt (Assumed)'!$B$100,H203*'Debt (Assumed)'!$B$98,-PMT('Debt (Assumed)'!$B$98,Assumptions!$C$111,H203))))</f>
        <v>559106.059646761</v>
      </c>
    </row>
    <row r="205" customFormat="false" ht="15" hidden="false" customHeight="false" outlineLevel="0" collapsed="false">
      <c r="A205" s="2" t="s">
        <v>646</v>
      </c>
      <c r="B205" s="30" t="n">
        <f aca="false">-F203</f>
        <v>-5095290</v>
      </c>
      <c r="C205" s="30" t="n">
        <f aca="false">IF(AND(Assumptions!$C$136=1,'Operating Model'!B$4&gt;Assumptions!$C$126),0,'Operating Model'!B55+(C202-'Operating Model'!B49)-C204-IF('Operating Model'!B$4=Assumptions!$C$126,IF(Assumptions!$C$136=1,-M203,G203-H203+L203),0)+IF(AND(Assumptions!$C$136&lt;&gt;1,'Operating Model'!B$4=Assumptions!$C$154),K203,0))</f>
        <v>445383.97351</v>
      </c>
      <c r="D205" s="30" t="n">
        <f aca="false">IF(AND(Assumptions!$C$136=1,'Operating Model'!C$4&gt;Assumptions!$C$126),0,'Operating Model'!C55+(D202-'Operating Model'!C49)-D204-IF('Operating Model'!C$4=Assumptions!$C$126,IF(Assumptions!$C$136=1,-M203,G203-H203+L203),0)+IF(AND(Assumptions!$C$136&lt;&gt;1,'Operating Model'!C$4=Assumptions!$C$154),K203,0))</f>
        <v>310585.81122625</v>
      </c>
      <c r="E205" s="30" t="n">
        <f aca="false">IF(AND(Assumptions!$C$136=1,'Operating Model'!D$4&gt;Assumptions!$C$126),0,'Operating Model'!D55+(E202-'Operating Model'!D49)-E204-IF('Operating Model'!D$4=Assumptions!$C$126,IF(Assumptions!$C$136=1,-M203,G203-H203+L203),0)+IF(AND(Assumptions!$C$136&lt;&gt;1,'Operating Model'!D$4=Assumptions!$C$154),K203,0))</f>
        <v>-786297.981500731</v>
      </c>
      <c r="F205" s="30" t="n">
        <f aca="false">IF(AND(Assumptions!$C$136=1,'Operating Model'!E$4&gt;Assumptions!$C$126),0,'Operating Model'!E55+(F202-'Operating Model'!E49)-F204-IF('Operating Model'!E$4=Assumptions!$C$126,IF(Assumptions!$C$136=1,-M203,G203-H203+L203),0)+IF(AND(Assumptions!$C$136&lt;&gt;1,'Operating Model'!E$4=Assumptions!$C$154),K203,0))</f>
        <v>286601.336901922</v>
      </c>
      <c r="G205" s="30" t="n">
        <f aca="false">IF(AND(Assumptions!$C$136=1,'Operating Model'!F$4&gt;Assumptions!$C$126),0,'Operating Model'!F55+(G202-'Operating Model'!F49)-G204-IF('Operating Model'!F$4=Assumptions!$C$126,IF(Assumptions!$C$136=1,-M203,G203-H203+L203),0)+IF(AND(Assumptions!$C$136&lt;&gt;1,'Operating Model'!F$4=Assumptions!$C$154),K203,0))</f>
        <v>7006862.54904965</v>
      </c>
      <c r="H205" s="22" t="n">
        <f aca="false">IFERROR(IRR(B205:G205),"N/A")</f>
        <v>0.0772305398174196</v>
      </c>
      <c r="I205" s="24" t="n">
        <f aca="false">SUM(C205:G205)/F203</f>
        <v>1.42546070767063</v>
      </c>
    </row>
    <row r="207" customFormat="false" ht="15" hidden="false" customHeight="false" outlineLevel="0" collapsed="false">
      <c r="A207" s="2" t="s">
        <v>647</v>
      </c>
      <c r="C207" s="30" t="n">
        <f aca="false">'Unit Mix'!$H$6*(1+('Operating Model'!B$6+C$21))</f>
        <v>1557.75</v>
      </c>
      <c r="D207" s="30" t="n">
        <f aca="false">C207*(1+('Operating Model'!C$6+C$21))</f>
        <v>1577.221875</v>
      </c>
      <c r="E207" s="30" t="n">
        <f aca="false">D207*(1+('Operating Model'!D$6+C$21))</f>
        <v>1608.7663125</v>
      </c>
      <c r="F207" s="30" t="n">
        <f aca="false">E207*(1+('Operating Model'!E$6+C$21))</f>
        <v>1648.9854703125</v>
      </c>
      <c r="G207" s="30" t="n">
        <f aca="false">F207*(1+('Operating Model'!F$6+C$21))</f>
        <v>1690.21010707031</v>
      </c>
      <c r="H207" s="30" t="n">
        <f aca="false">G207*(1+('Operating Model'!G$6+C$21))</f>
        <v>1732.46535974707</v>
      </c>
    </row>
    <row r="208" customFormat="false" ht="15" hidden="false" customHeight="false" outlineLevel="0" collapsed="false">
      <c r="A208" s="2" t="s">
        <v>648</v>
      </c>
      <c r="C208" s="30" t="n">
        <f aca="false">'Unit Mix'!$G$6+Assumptions!$C$48*Assumptions!$C$47*(C207-'Unit Mix'!$G$6)</f>
        <v>1482.35</v>
      </c>
      <c r="D208" s="30" t="n">
        <f aca="false">C208+Assumptions!$C$48*Assumptions!$C$47*(D207-C208)</f>
        <v>1508.439765625</v>
      </c>
      <c r="E208" s="30" t="n">
        <f aca="false">D208+Assumptions!$C$48*Assumptions!$C$47*(E207-D208)</f>
        <v>1536.02956601562</v>
      </c>
      <c r="F208" s="30" t="n">
        <f aca="false">E208+Assumptions!$C$48*Assumptions!$C$47*(F207-E208)</f>
        <v>1567.09243969727</v>
      </c>
      <c r="G208" s="30" t="n">
        <f aca="false">F208+Assumptions!$C$48*Assumptions!$C$47*(G207-F208)</f>
        <v>1600.94979822485</v>
      </c>
      <c r="H208" s="30" t="n">
        <f aca="false">G208+Assumptions!$C$48*Assumptions!$C$47*(H207-G208)</f>
        <v>1637.11657764346</v>
      </c>
    </row>
    <row r="209" customFormat="false" ht="15" hidden="false" customHeight="false" outlineLevel="0" collapsed="false">
      <c r="A209" s="2" t="s">
        <v>649</v>
      </c>
      <c r="C209" s="30" t="n">
        <f aca="false">'Unit Mix'!$H$7*(1+('Operating Model'!B$6+C$21))</f>
        <v>1788.9</v>
      </c>
      <c r="D209" s="30" t="n">
        <f aca="false">C209*(1+('Operating Model'!C$6+C$21))</f>
        <v>1811.26125</v>
      </c>
      <c r="E209" s="30" t="n">
        <f aca="false">D209*(1+('Operating Model'!D$6+C$21))</f>
        <v>1847.486475</v>
      </c>
      <c r="F209" s="30" t="n">
        <f aca="false">E209*(1+('Operating Model'!E$6+C$21))</f>
        <v>1893.673636875</v>
      </c>
      <c r="G209" s="30" t="n">
        <f aca="false">F209*(1+('Operating Model'!F$6+C$21))</f>
        <v>1941.01547779687</v>
      </c>
      <c r="H209" s="30" t="n">
        <f aca="false">G209*(1+('Operating Model'!G$6+C$21))</f>
        <v>1989.5408647418</v>
      </c>
    </row>
    <row r="210" customFormat="false" ht="15" hidden="false" customHeight="false" outlineLevel="0" collapsed="false">
      <c r="A210" s="2" t="s">
        <v>650</v>
      </c>
      <c r="C210" s="30" t="n">
        <f aca="false">'Unit Mix'!$G$7+Assumptions!$C$48*Assumptions!$C$47*(C209-'Unit Mix'!$G$7)</f>
        <v>1705.05375</v>
      </c>
      <c r="D210" s="30" t="n">
        <f aca="false">C210+Assumptions!$C$48*Assumptions!$C$47*(D209-C210)</f>
        <v>1734.2608125</v>
      </c>
      <c r="E210" s="30" t="n">
        <f aca="false">D210+Assumptions!$C$48*Assumptions!$C$47*(E209-D210)</f>
        <v>1765.3978696875</v>
      </c>
      <c r="F210" s="30" t="n">
        <f aca="false">E210+Assumptions!$C$48*Assumptions!$C$47*(F209-E210)</f>
        <v>1800.67370566406</v>
      </c>
      <c r="G210" s="30" t="n">
        <f aca="false">F210+Assumptions!$C$48*Assumptions!$C$47*(G209-F210)</f>
        <v>1839.26769300059</v>
      </c>
      <c r="H210" s="30" t="n">
        <f aca="false">G210+Assumptions!$C$48*Assumptions!$C$47*(H209-G210)</f>
        <v>1880.59281522942</v>
      </c>
    </row>
    <row r="211" customFormat="false" ht="15" hidden="false" customHeight="false" outlineLevel="0" collapsed="false">
      <c r="A211" s="2" t="s">
        <v>651</v>
      </c>
      <c r="C211" s="30" t="n">
        <f aca="false">'Unit Mix'!$H$8*(1+('Operating Model'!B$6+C$21))</f>
        <v>2060.25</v>
      </c>
      <c r="D211" s="30" t="n">
        <f aca="false">C211*(1+('Operating Model'!C$6+C$21))</f>
        <v>2086.003125</v>
      </c>
      <c r="E211" s="30" t="n">
        <f aca="false">D211*(1+('Operating Model'!D$6+C$21))</f>
        <v>2127.7231875</v>
      </c>
      <c r="F211" s="30" t="n">
        <f aca="false">E211*(1+('Operating Model'!E$6+C$21))</f>
        <v>2180.9162671875</v>
      </c>
      <c r="G211" s="30" t="n">
        <f aca="false">F211*(1+('Operating Model'!F$6+C$21))</f>
        <v>2235.43917386719</v>
      </c>
      <c r="H211" s="30" t="n">
        <f aca="false">G211*(1+('Operating Model'!G$6+C$21))</f>
        <v>2291.32515321387</v>
      </c>
    </row>
    <row r="212" customFormat="false" ht="15" hidden="false" customHeight="false" outlineLevel="0" collapsed="false">
      <c r="A212" s="2" t="s">
        <v>652</v>
      </c>
      <c r="C212" s="30" t="n">
        <f aca="false">'Unit Mix'!$G$8+Assumptions!$C$48*Assumptions!$C$47*(C211-'Unit Mix'!$G$8)</f>
        <v>1964.00625</v>
      </c>
      <c r="D212" s="30" t="n">
        <f aca="false">C212+Assumptions!$C$48*Assumptions!$C$47*(D211-C212)</f>
        <v>1997.555390625</v>
      </c>
      <c r="E212" s="30" t="n">
        <f aca="false">D212+Assumptions!$C$48*Assumptions!$C$47*(E211-D212)</f>
        <v>2033.35153476562</v>
      </c>
      <c r="F212" s="30" t="n">
        <f aca="false">E212+Assumptions!$C$48*Assumptions!$C$47*(F211-E212)</f>
        <v>2073.93183618164</v>
      </c>
      <c r="G212" s="30" t="n">
        <f aca="false">F212+Assumptions!$C$48*Assumptions!$C$47*(G211-F212)</f>
        <v>2118.34635404517</v>
      </c>
      <c r="H212" s="30" t="n">
        <f aca="false">G212+Assumptions!$C$48*Assumptions!$C$47*(H211-G212)</f>
        <v>2165.91552381656</v>
      </c>
    </row>
    <row r="213" customFormat="false" ht="15" hidden="false" customHeight="false" outlineLevel="0" collapsed="false">
      <c r="A213" s="2" t="s">
        <v>653</v>
      </c>
      <c r="C213" s="30" t="n">
        <f aca="false">'Unit Mix'!$H$9*(1+('Operating Model'!B$6+C$21))</f>
        <v>2211</v>
      </c>
      <c r="D213" s="30" t="n">
        <f aca="false">C213*(1+('Operating Model'!C$6+C$21))</f>
        <v>2238.6375</v>
      </c>
      <c r="E213" s="30" t="n">
        <f aca="false">D213*(1+('Operating Model'!D$6+C$21))</f>
        <v>2283.41025</v>
      </c>
      <c r="F213" s="30" t="n">
        <f aca="false">E213*(1+('Operating Model'!E$6+C$21))</f>
        <v>2340.49550625</v>
      </c>
      <c r="G213" s="30" t="n">
        <f aca="false">F213*(1+('Operating Model'!F$6+C$21))</f>
        <v>2399.00789390625</v>
      </c>
      <c r="H213" s="30" t="n">
        <f aca="false">G213*(1+('Operating Model'!G$6+C$21))</f>
        <v>2458.98309125391</v>
      </c>
    </row>
    <row r="214" customFormat="false" ht="15" hidden="false" customHeight="false" outlineLevel="0" collapsed="false">
      <c r="A214" s="2" t="s">
        <v>654</v>
      </c>
      <c r="C214" s="30" t="n">
        <f aca="false">'Unit Mix'!$G$9+Assumptions!$C$48*Assumptions!$C$47*(C213-'Unit Mix'!$G$9)</f>
        <v>2107.86875</v>
      </c>
      <c r="D214" s="30" t="n">
        <f aca="false">C214+Assumptions!$C$48*Assumptions!$C$47*(D213-C214)</f>
        <v>2143.83015625</v>
      </c>
      <c r="E214" s="30" t="n">
        <f aca="false">D214+Assumptions!$C$48*Assumptions!$C$47*(E213-D214)</f>
        <v>2182.21468203125</v>
      </c>
      <c r="F214" s="30" t="n">
        <f aca="false">E214+Assumptions!$C$48*Assumptions!$C$47*(F213-E214)</f>
        <v>2225.74190869141</v>
      </c>
      <c r="G214" s="30" t="n">
        <f aca="false">F214+Assumptions!$C$48*Assumptions!$C$47*(G213-F214)</f>
        <v>2273.39005462549</v>
      </c>
      <c r="H214" s="30" t="n">
        <f aca="false">G214+Assumptions!$C$48*Assumptions!$C$47*(H213-G214)</f>
        <v>2324.4281396983</v>
      </c>
    </row>
    <row r="215" customFormat="false" ht="15" hidden="false" customHeight="false" outlineLevel="0" collapsed="false">
      <c r="A215" s="2" t="s">
        <v>655</v>
      </c>
      <c r="C215" s="30" t="n">
        <f aca="false">('Unit Mix'!$C$6*('Unit Mix'!$F$6*(1-Assumptions!$C$39)+(C207+Assumptions!$C$37)*Assumptions!$C$39)+'Unit Mix'!$D$6*C208+'Unit Mix'!$C$7*('Unit Mix'!$F$7*(1-Assumptions!$C$39)+(C209+Assumptions!$C$37)*Assumptions!$C$39)+'Unit Mix'!$D$7*C210+'Unit Mix'!$C$8*('Unit Mix'!$F$8*(1-Assumptions!$C$39)+(C211+Assumptions!$C$37)*Assumptions!$C$39)+'Unit Mix'!$D$8*C212+'Unit Mix'!$C$9*('Unit Mix'!$F$9*(1-Assumptions!$C$39)+(C213+Assumptions!$C$37)*Assumptions!$C$39)+'Unit Mix'!$D$9*C214)*12</f>
        <v>2013524.385</v>
      </c>
      <c r="D215" s="30" t="n">
        <f aca="false">('Unit Mix'!$C$6*(D207+Assumptions!$C$37)+'Unit Mix'!$D$6*D208+'Unit Mix'!$C$7*(D209+Assumptions!$C$37)+'Unit Mix'!$D$7*D210+'Unit Mix'!$C$8*(D211+Assumptions!$C$37)+'Unit Mix'!$D$8*D212+'Unit Mix'!$C$9*(D213+Assumptions!$C$37)+'Unit Mix'!$D$9*D214)*12</f>
        <v>2092712.6645625</v>
      </c>
      <c r="E215" s="30" t="n">
        <f aca="false">('Unit Mix'!$C$6*(E207+Assumptions!$C$37)+'Unit Mix'!$D$6*E208+'Unit Mix'!$C$7*(E209+Assumptions!$C$37)+'Unit Mix'!$D$7*E210+'Unit Mix'!$C$8*(E211+Assumptions!$C$37)+'Unit Mix'!$D$8*E212+'Unit Mix'!$C$9*(E213+Assumptions!$C$37)+'Unit Mix'!$D$9*E214)*12</f>
        <v>2131436.27241656</v>
      </c>
      <c r="F215" s="30" t="n">
        <f aca="false">('Unit Mix'!$C$6*(F207+Assumptions!$C$37)+'Unit Mix'!$D$6*F208+'Unit Mix'!$C$7*(F209+Assumptions!$C$37)+'Unit Mix'!$D$7*F210+'Unit Mix'!$C$8*(F211+Assumptions!$C$37)+'Unit Mix'!$D$8*F212+'Unit Mix'!$C$9*(F213+Assumptions!$C$37)+'Unit Mix'!$D$9*F214)*12</f>
        <v>2176791.41787691</v>
      </c>
      <c r="G215" s="30" t="n">
        <f aca="false">('Unit Mix'!$C$6*(G207+Assumptions!$C$37)+'Unit Mix'!$D$6*G208+'Unit Mix'!$C$7*(G209+Assumptions!$C$37)+'Unit Mix'!$D$7*G210+'Unit Mix'!$C$8*(G211+Assumptions!$C$37)+'Unit Mix'!$D$8*G212+'Unit Mix'!$C$9*(G213+Assumptions!$C$37)+'Unit Mix'!$D$9*G214)*12</f>
        <v>2225461.40134504</v>
      </c>
      <c r="H215" s="30" t="n">
        <f aca="false">('Unit Mix'!$C$6*(H207+Assumptions!$C$37)+'Unit Mix'!$D$6*H208+'Unit Mix'!$C$7*(H209+Assumptions!$C$37)+'Unit Mix'!$D$7*H210+'Unit Mix'!$C$8*(H211+Assumptions!$C$37)+'Unit Mix'!$D$8*H212+'Unit Mix'!$C$9*(H213+Assumptions!$C$37)+'Unit Mix'!$D$9*H214)*12</f>
        <v>2276929.32994404</v>
      </c>
    </row>
    <row r="216" customFormat="false" ht="15" hidden="false" customHeight="false" outlineLevel="0" collapsed="false">
      <c r="A216" s="2" t="s">
        <v>656</v>
      </c>
      <c r="C216" s="30" t="n">
        <f aca="false">'Operating Model'!B49-'Operating Model'!B42+'Operating Model'!$B$42*1*(1+Assumptions!$C$18+C$21)^('Operating Model'!B$4-1)+((C215-'Operating Model'!B25)+0)*(1-(Assumptions!$C$42+Assumptions!$C$43+Assumptions!$C$44))*(1-Assumptions!$C$75)</f>
        <v>875115.206003</v>
      </c>
      <c r="D216" s="30" t="n">
        <f aca="false">'Operating Model'!C49-'Operating Model'!C42+'Operating Model'!$B$42*1*(1+Assumptions!$C$18+C$21)^('Operating Model'!C$4-1)+((D215-'Operating Model'!C25)+0)*(1-(Assumptions!$C$42+Assumptions!$C$43+Assumptions!$C$44))*(1-Assumptions!$C$75)</f>
        <v>907056.558575587</v>
      </c>
      <c r="E216" s="30" t="n">
        <f aca="false">'Operating Model'!D49-'Operating Model'!D42+'Operating Model'!$B$42*1*(1+Assumptions!$C$18+C$21)^('Operating Model'!D$4-1)+((E215-'Operating Model'!D25)+0)*(1-(Assumptions!$C$42+Assumptions!$C$43+Assumptions!$C$44))*(1-Assumptions!$C$75)</f>
        <v>901180.92603304</v>
      </c>
      <c r="F216" s="30" t="n">
        <f aca="false">'Operating Model'!E49-'Operating Model'!E42+'Operating Model'!$B$42*1*(1+Assumptions!$C$18+C$21)^('Operating Model'!E$4-1)+((F215-'Operating Model'!E25)+0)*(1-(Assumptions!$C$42+Assumptions!$C$43+Assumptions!$C$44))*(1-Assumptions!$C$75)</f>
        <v>899193.326598828</v>
      </c>
      <c r="G216" s="30" t="n">
        <f aca="false">'Operating Model'!F49-'Operating Model'!F42+'Operating Model'!$B$42*1*(1+Assumptions!$C$18+C$21)^('Operating Model'!F$4-1)+((G215-'Operating Model'!F25)+0)*(1-(Assumptions!$C$42+Assumptions!$C$43+Assumptions!$C$44))*(1-Assumptions!$C$75)</f>
        <v>898035.556439248</v>
      </c>
      <c r="H216" s="30" t="n">
        <f aca="false">'Operating Model'!G49-'Operating Model'!G42+'Operating Model'!$B$42*1*(1+Assumptions!$C$18+C$21)^('Operating Model'!G$4-1)+((H215-'Operating Model'!G25)+0)*(1-(Assumptions!$C$42+Assumptions!$C$43+Assumptions!$C$44))*(1-Assumptions!$C$75)</f>
        <v>897128.003110122</v>
      </c>
      <c r="I216" s="30" t="n">
        <f aca="false">H216-'Operating Model'!$B$42*1*(1+Assumptions!$C$18+C$21)^('Operating Model'!G$4-1)</f>
        <v>1164825.78238993</v>
      </c>
    </row>
    <row r="217" customFormat="false" ht="15" hidden="false" customHeight="false" outlineLevel="0" collapsed="false">
      <c r="A217" s="2" t="s">
        <v>657</v>
      </c>
      <c r="B217" s="30" t="n">
        <f aca="false">Assumptions!$C$7*1</f>
        <v>13800000</v>
      </c>
      <c r="C217" s="30" t="n">
        <f aca="false">MAX(0,(Assumptions!$C$124+Assumptions!$C$127)-Assumptions!$C$132*B217)</f>
        <v>0</v>
      </c>
      <c r="D217" s="30" t="n">
        <f aca="false">Assumptions!$C$124-MAX(0,C217-Assumptions!$C$127)</f>
        <v>5887000</v>
      </c>
      <c r="E217" s="30" t="n">
        <f aca="false">Assumptions!$C$127-MIN(C217,Assumptions!$C$127)</f>
        <v>3563000</v>
      </c>
      <c r="F217" s="30" t="n">
        <f aca="false">B217*(1+Assumptions!$C$10)+'Unit Mix'!$D$18*1+(D217+E217)*Assumptions!$C$131-(D217+E217)</f>
        <v>5095290</v>
      </c>
      <c r="G217" s="30" t="n">
        <f aca="false">IF(Assumptions!$C$130=1,D217+E217,-FV(Assumptions!$C$125,Assumptions!$C$126,PMT(Assumptions!$C$125,Assumptions!$C$111,D217),D217)-FV(Assumptions!$C$128,Assumptions!$C$126,PMT(Assumptions!$C$128,Assumptions!$C$111,E217),E217))</f>
        <v>9450000</v>
      </c>
      <c r="H217" s="30" t="n">
        <f aca="false">MIN(INDEX(C216:H216,Assumptions!$C$126+1)/$A$22*Assumptions!$C$108,INDEX(C216:H216,Assumptions!$C$126+1)/(Assumptions!$C$109*-PMT('Debt (Assumed)'!$B$99,Assumptions!$C$111,1)))</f>
        <v>8495856.41165273</v>
      </c>
      <c r="I217" s="30" t="n">
        <f aca="false">IF(MAX(0,Assumptions!$C$154-Assumptions!$C$126-'Debt (Assumed)'!$B$100)=0,H217,-FV('Debt (Assumed)'!$B$98,MAX(0,Assumptions!$C$154-Assumptions!$C$126-'Debt (Assumed)'!$B$100),PMT('Debt (Assumed)'!$B$98,Assumptions!$C$111,H217),H217))</f>
        <v>8495856.41165273</v>
      </c>
      <c r="J217" s="30" t="n">
        <f aca="false">I217*'Debt (Assumed)'!$B$102</f>
        <v>0</v>
      </c>
      <c r="K217" s="30" t="n">
        <f aca="false">I216/($A$22+Returns!$B$35)*(1-Assumptions!$C$158)-I217-J217</f>
        <v>7110457.13722122</v>
      </c>
      <c r="L217" s="30" t="n">
        <f aca="false">H217*'Debt (Assumed)'!$B$101</f>
        <v>91755.2492458495</v>
      </c>
      <c r="M217" s="30" t="n">
        <f aca="false">(INDEX(C216:H216,Assumptions!$C$126+1)-'Operating Model'!$B$42*1*(1+Assumptions!$C$18+C$21)^Assumptions!$C$126)/($A$22+Returns!$B$35)*(1-Assumptions!$C$158)-G217</f>
        <v>6011161.75821496</v>
      </c>
    </row>
    <row r="218" customFormat="false" ht="15" hidden="false" customHeight="false" outlineLevel="0" collapsed="false">
      <c r="A218" s="2" t="s">
        <v>658</v>
      </c>
      <c r="C218" s="30" t="n">
        <f aca="false">IF('Operating Model'!B$4&lt;=Assumptions!$C$126,IF(Assumptions!$C$130=1,D217*Assumptions!$C$125+E217*Assumptions!$C$128,-PMT(Assumptions!$C$125,Assumptions!$C$111,D217)-PMT(Assumptions!$C$128,Assumptions!$C$111,E217)),IF(Assumptions!$C$136=1,0,IF('Operating Model'!B$4-Assumptions!$C$126&lt;='Debt (Assumed)'!$B$100,H217*'Debt (Assumed)'!$B$98,-PMT('Debt (Assumed)'!$B$98,Assumptions!$C$111,H217))))</f>
        <v>397516</v>
      </c>
      <c r="D218" s="30" t="n">
        <f aca="false">IF('Operating Model'!C$4&lt;=Assumptions!$C$126,IF(Assumptions!$C$130=1,D217*Assumptions!$C$125+E217*Assumptions!$C$128,-PMT(Assumptions!$C$125,Assumptions!$C$111,D217)-PMT(Assumptions!$C$128,Assumptions!$C$111,E217)),IF(Assumptions!$C$136=1,0,IF('Operating Model'!C$4-Assumptions!$C$126&lt;='Debt (Assumed)'!$B$100,H217*'Debt (Assumed)'!$B$98,-PMT('Debt (Assumed)'!$B$98,Assumptions!$C$111,H217))))</f>
        <v>397516</v>
      </c>
      <c r="E218" s="30" t="n">
        <f aca="false">IF('Operating Model'!D$4&lt;=Assumptions!$C$126,IF(Assumptions!$C$130=1,D217*Assumptions!$C$125+E217*Assumptions!$C$128,-PMT(Assumptions!$C$125,Assumptions!$C$111,D217)-PMT(Assumptions!$C$128,Assumptions!$C$111,E217)),IF(Assumptions!$C$136=1,0,IF('Operating Model'!D$4-Assumptions!$C$126&lt;='Debt (Assumed)'!$B$100,H217*'Debt (Assumed)'!$B$98,-PMT('Debt (Assumed)'!$B$98,Assumptions!$C$111,H217))))</f>
        <v>397516</v>
      </c>
      <c r="F218" s="30" t="n">
        <f aca="false">IF('Operating Model'!E$4&lt;=Assumptions!$C$126,IF(Assumptions!$C$130=1,D217*Assumptions!$C$125+E217*Assumptions!$C$128,-PMT(Assumptions!$C$125,Assumptions!$C$111,D217)-PMT(Assumptions!$C$128,Assumptions!$C$111,E217)),IF(Assumptions!$C$136=1,0,IF('Operating Model'!E$4-Assumptions!$C$126&lt;='Debt (Assumed)'!$B$100,H217*'Debt (Assumed)'!$B$98,-PMT('Debt (Assumed)'!$B$98,Assumptions!$C$111,H217))))</f>
        <v>572620.722145394</v>
      </c>
      <c r="G218" s="30" t="n">
        <f aca="false">IF('Operating Model'!F$4&lt;=Assumptions!$C$126,IF(Assumptions!$C$130=1,D217*Assumptions!$C$125+E217*Assumptions!$C$128,-PMT(Assumptions!$C$125,Assumptions!$C$111,D217)-PMT(Assumptions!$C$128,Assumptions!$C$111,E217)),IF(Assumptions!$C$136=1,0,IF('Operating Model'!F$4-Assumptions!$C$126&lt;='Debt (Assumed)'!$B$100,H217*'Debt (Assumed)'!$B$98,-PMT('Debt (Assumed)'!$B$98,Assumptions!$C$111,H217))))</f>
        <v>572620.722145394</v>
      </c>
    </row>
    <row r="219" customFormat="false" ht="15" hidden="false" customHeight="false" outlineLevel="0" collapsed="false">
      <c r="A219" s="2" t="s">
        <v>659</v>
      </c>
      <c r="B219" s="30" t="n">
        <f aca="false">-F217</f>
        <v>-5095290</v>
      </c>
      <c r="C219" s="30" t="n">
        <f aca="false">IF(AND(Assumptions!$C$136=1,'Operating Model'!B$4&gt;Assumptions!$C$126),0,'Operating Model'!B55+(C216-'Operating Model'!B49)-C218-IF('Operating Model'!B$4=Assumptions!$C$126,IF(Assumptions!$C$136=1,-M217,G217-H217+L217),0)+IF(AND(Assumptions!$C$136&lt;&gt;1,'Operating Model'!B$4=Assumptions!$C$154),K217,0))</f>
        <v>448499.206003</v>
      </c>
      <c r="D219" s="30" t="n">
        <f aca="false">IF(AND(Assumptions!$C$136=1,'Operating Model'!C$4&gt;Assumptions!$C$126),0,'Operating Model'!C55+(D216-'Operating Model'!C49)-D218-IF('Operating Model'!C$4=Assumptions!$C$126,IF(Assumptions!$C$136=1,-M217,G217-H217+L217),0)+IF(AND(Assumptions!$C$136&lt;&gt;1,'Operating Model'!C$4=Assumptions!$C$154),K217,0))</f>
        <v>319422.058575587</v>
      </c>
      <c r="E219" s="30" t="n">
        <f aca="false">IF(AND(Assumptions!$C$136=1,'Operating Model'!D$4&gt;Assumptions!$C$126),0,'Operating Model'!D55+(E216-'Operating Model'!D49)-E218-IF('Operating Model'!D$4=Assumptions!$C$126,IF(Assumptions!$C$136=1,-M217,G217-H217+L217),0)+IF(AND(Assumptions!$C$136&lt;&gt;1,'Operating Model'!D$4=Assumptions!$C$154),K217,0))</f>
        <v>-573406.559060077</v>
      </c>
      <c r="F219" s="30" t="n">
        <f aca="false">IF(AND(Assumptions!$C$136=1,'Operating Model'!E$4&gt;Assumptions!$C$126),0,'Operating Model'!E55+(F216-'Operating Model'!E49)-F218-IF('Operating Model'!E$4=Assumptions!$C$126,IF(Assumptions!$C$136=1,-M217,G217-H217+L217),0)+IF(AND(Assumptions!$C$136&lt;&gt;1,'Operating Model'!E$4=Assumptions!$C$154),K217,0))</f>
        <v>294308.914290934</v>
      </c>
      <c r="G219" s="30" t="n">
        <f aca="false">IF(AND(Assumptions!$C$136=1,'Operating Model'!F$4&gt;Assumptions!$C$126),0,'Operating Model'!F55+(G216-'Operating Model'!F49)-G218-IF('Operating Model'!F$4=Assumptions!$C$126,IF(Assumptions!$C$136=1,-M217,G217-H217+L217),0)+IF(AND(Assumptions!$C$136&lt;&gt;1,'Operating Model'!F$4=Assumptions!$C$154),K217,0))</f>
        <v>7402479.05219688</v>
      </c>
      <c r="H219" s="22" t="n">
        <f aca="false">IFERROR(IRR(B219:G219),"N/A")</f>
        <v>0.0973424031983296</v>
      </c>
      <c r="I219" s="24" t="n">
        <f aca="false">SUM(C219:G219)/F217</f>
        <v>1.548744560566</v>
      </c>
    </row>
    <row r="221" customFormat="false" ht="15" hidden="false" customHeight="false" outlineLevel="0" collapsed="false">
      <c r="A221" s="2" t="s">
        <v>660</v>
      </c>
      <c r="C221" s="30" t="n">
        <f aca="false">'Unit Mix'!$H$6*(1+('Operating Model'!B$6+D$21))</f>
        <v>1565.5</v>
      </c>
      <c r="D221" s="30" t="n">
        <f aca="false">C221*(1+('Operating Model'!C$6+D$21))</f>
        <v>1592.89625</v>
      </c>
      <c r="E221" s="30" t="n">
        <f aca="false">D221*(1+('Operating Model'!D$6+D$21))</f>
        <v>1632.71865625</v>
      </c>
      <c r="F221" s="30" t="n">
        <f aca="false">E221*(1+('Operating Model'!E$6+D$21))</f>
        <v>1681.7002159375</v>
      </c>
      <c r="G221" s="30" t="n">
        <f aca="false">F221*(1+('Operating Model'!F$6+D$21))</f>
        <v>1732.15122241563</v>
      </c>
      <c r="H221" s="30" t="n">
        <f aca="false">G221*(1+('Operating Model'!G$6+D$21))</f>
        <v>1784.11575908809</v>
      </c>
    </row>
    <row r="222" customFormat="false" ht="15" hidden="false" customHeight="false" outlineLevel="0" collapsed="false">
      <c r="A222" s="2" t="s">
        <v>661</v>
      </c>
      <c r="C222" s="30" t="n">
        <f aca="false">'Unit Mix'!$G$6+Assumptions!$C$48*Assumptions!$C$47*(C221-'Unit Mix'!$G$6)</f>
        <v>1484.48125</v>
      </c>
      <c r="D222" s="30" t="n">
        <f aca="false">C222+Assumptions!$C$48*Assumptions!$C$47*(D221-C222)</f>
        <v>1514.295375</v>
      </c>
      <c r="E222" s="30" t="n">
        <f aca="false">D222+Assumptions!$C$48*Assumptions!$C$47*(E221-D222)</f>
        <v>1546.86177734375</v>
      </c>
      <c r="F222" s="30" t="n">
        <f aca="false">E222+Assumptions!$C$48*Assumptions!$C$47*(F221-E222)</f>
        <v>1583.94234795703</v>
      </c>
      <c r="G222" s="30" t="n">
        <f aca="false">F222+Assumptions!$C$48*Assumptions!$C$47*(G221-F222)</f>
        <v>1624.69978843314</v>
      </c>
      <c r="H222" s="30" t="n">
        <f aca="false">G222+Assumptions!$C$48*Assumptions!$C$47*(H221-G222)</f>
        <v>1668.53918036326</v>
      </c>
    </row>
    <row r="223" customFormat="false" ht="15" hidden="false" customHeight="false" outlineLevel="0" collapsed="false">
      <c r="A223" s="2" t="s">
        <v>662</v>
      </c>
      <c r="C223" s="30" t="n">
        <f aca="false">'Unit Mix'!$H$7*(1+('Operating Model'!B$6+D$21))</f>
        <v>1797.8</v>
      </c>
      <c r="D223" s="30" t="n">
        <f aca="false">C223*(1+('Operating Model'!C$6+D$21))</f>
        <v>1829.2615</v>
      </c>
      <c r="E223" s="30" t="n">
        <f aca="false">D223*(1+('Operating Model'!D$6+D$21))</f>
        <v>1874.9930375</v>
      </c>
      <c r="F223" s="30" t="n">
        <f aca="false">E223*(1+('Operating Model'!E$6+D$21))</f>
        <v>1931.242828625</v>
      </c>
      <c r="G223" s="30" t="n">
        <f aca="false">F223*(1+('Operating Model'!F$6+D$21))</f>
        <v>1989.18011348375</v>
      </c>
      <c r="H223" s="30" t="n">
        <f aca="false">G223*(1+('Operating Model'!G$6+D$21))</f>
        <v>2048.85551688826</v>
      </c>
    </row>
    <row r="224" customFormat="false" ht="15" hidden="false" customHeight="false" outlineLevel="0" collapsed="false">
      <c r="A224" s="2" t="s">
        <v>663</v>
      </c>
      <c r="C224" s="30" t="n">
        <f aca="false">'Unit Mix'!$G$7+Assumptions!$C$48*Assumptions!$C$47*(C223-'Unit Mix'!$G$7)</f>
        <v>1707.50125</v>
      </c>
      <c r="D224" s="30" t="n">
        <f aca="false">C224+Assumptions!$C$48*Assumptions!$C$47*(D223-C224)</f>
        <v>1740.98531875</v>
      </c>
      <c r="E224" s="30" t="n">
        <f aca="false">D224+Assumptions!$C$48*Assumptions!$C$47*(E223-D224)</f>
        <v>1777.83744140625</v>
      </c>
      <c r="F224" s="30" t="n">
        <f aca="false">E224+Assumptions!$C$48*Assumptions!$C$47*(F223-E224)</f>
        <v>1820.02392289141</v>
      </c>
      <c r="G224" s="30" t="n">
        <f aca="false">F224+Assumptions!$C$48*Assumptions!$C$47*(G223-F224)</f>
        <v>1866.5418753043</v>
      </c>
      <c r="H224" s="30" t="n">
        <f aca="false">G224+Assumptions!$C$48*Assumptions!$C$47*(H223-G224)</f>
        <v>1916.67812673989</v>
      </c>
    </row>
    <row r="225" customFormat="false" ht="15" hidden="false" customHeight="false" outlineLevel="0" collapsed="false">
      <c r="A225" s="2" t="s">
        <v>664</v>
      </c>
      <c r="C225" s="30" t="n">
        <f aca="false">'Unit Mix'!$H$8*(1+('Operating Model'!B$6+D$21))</f>
        <v>2070.5</v>
      </c>
      <c r="D225" s="30" t="n">
        <f aca="false">C225*(1+('Operating Model'!C$6+D$21))</f>
        <v>2106.73375</v>
      </c>
      <c r="E225" s="30" t="n">
        <f aca="false">D225*(1+('Operating Model'!D$6+D$21))</f>
        <v>2159.40209375</v>
      </c>
      <c r="F225" s="30" t="n">
        <f aca="false">E225*(1+('Operating Model'!E$6+D$21))</f>
        <v>2224.1841565625</v>
      </c>
      <c r="G225" s="30" t="n">
        <f aca="false">F225*(1+('Operating Model'!F$6+D$21))</f>
        <v>2290.90968125938</v>
      </c>
      <c r="H225" s="30" t="n">
        <f aca="false">G225*(1+('Operating Model'!G$6+D$21))</f>
        <v>2359.63697169716</v>
      </c>
    </row>
    <row r="226" customFormat="false" ht="15" hidden="false" customHeight="false" outlineLevel="0" collapsed="false">
      <c r="A226" s="2" t="s">
        <v>665</v>
      </c>
      <c r="C226" s="30" t="n">
        <f aca="false">'Unit Mix'!$G$8+Assumptions!$C$48*Assumptions!$C$47*(C225-'Unit Mix'!$G$8)</f>
        <v>1966.825</v>
      </c>
      <c r="D226" s="30" t="n">
        <f aca="false">C226+Assumptions!$C$48*Assumptions!$C$47*(D225-C226)</f>
        <v>2005.29990625</v>
      </c>
      <c r="E226" s="30" t="n">
        <f aca="false">D226+Assumptions!$C$48*Assumptions!$C$47*(E225-D226)</f>
        <v>2047.6780078125</v>
      </c>
      <c r="F226" s="30" t="n">
        <f aca="false">E226+Assumptions!$C$48*Assumptions!$C$47*(F225-E226)</f>
        <v>2096.21719871875</v>
      </c>
      <c r="G226" s="30" t="n">
        <f aca="false">F226+Assumptions!$C$48*Assumptions!$C$47*(G225-F226)</f>
        <v>2149.75763141742</v>
      </c>
      <c r="H226" s="30" t="n">
        <f aca="false">G226+Assumptions!$C$48*Assumptions!$C$47*(H225-G226)</f>
        <v>2207.47444999435</v>
      </c>
    </row>
    <row r="227" customFormat="false" ht="15" hidden="false" customHeight="false" outlineLevel="0" collapsed="false">
      <c r="A227" s="2" t="s">
        <v>666</v>
      </c>
      <c r="C227" s="30" t="n">
        <f aca="false">'Unit Mix'!$H$9*(1+('Operating Model'!B$6+D$21))</f>
        <v>2222</v>
      </c>
      <c r="D227" s="30" t="n">
        <f aca="false">C227*(1+('Operating Model'!C$6+D$21))</f>
        <v>2260.885</v>
      </c>
      <c r="E227" s="30" t="n">
        <f aca="false">D227*(1+('Operating Model'!D$6+D$21))</f>
        <v>2317.407125</v>
      </c>
      <c r="F227" s="30" t="n">
        <f aca="false">E227*(1+('Operating Model'!E$6+D$21))</f>
        <v>2386.92933875</v>
      </c>
      <c r="G227" s="30" t="n">
        <f aca="false">F227*(1+('Operating Model'!F$6+D$21))</f>
        <v>2458.5372189125</v>
      </c>
      <c r="H227" s="30" t="n">
        <f aca="false">G227*(1+('Operating Model'!G$6+D$21))</f>
        <v>2532.29333547988</v>
      </c>
    </row>
    <row r="228" customFormat="false" ht="15" hidden="false" customHeight="false" outlineLevel="0" collapsed="false">
      <c r="A228" s="2" t="s">
        <v>667</v>
      </c>
      <c r="C228" s="30" t="n">
        <f aca="false">'Unit Mix'!$G$9+Assumptions!$C$48*Assumptions!$C$47*(C227-'Unit Mix'!$G$9)</f>
        <v>2110.89375</v>
      </c>
      <c r="D228" s="30" t="n">
        <f aca="false">C228+Assumptions!$C$48*Assumptions!$C$47*(D227-C228)</f>
        <v>2152.14134375</v>
      </c>
      <c r="E228" s="30" t="n">
        <f aca="false">D228+Assumptions!$C$48*Assumptions!$C$47*(E227-D228)</f>
        <v>2197.58943359375</v>
      </c>
      <c r="F228" s="30" t="n">
        <f aca="false">E228+Assumptions!$C$48*Assumptions!$C$47*(F227-E228)</f>
        <v>2249.65790751172</v>
      </c>
      <c r="G228" s="30" t="n">
        <f aca="false">F228+Assumptions!$C$48*Assumptions!$C$47*(G227-F228)</f>
        <v>2307.09971814693</v>
      </c>
      <c r="H228" s="30" t="n">
        <f aca="false">G228+Assumptions!$C$48*Assumptions!$C$47*(H227-G228)</f>
        <v>2369.02796291349</v>
      </c>
    </row>
    <row r="229" customFormat="false" ht="15" hidden="false" customHeight="false" outlineLevel="0" collapsed="false">
      <c r="A229" s="2" t="s">
        <v>668</v>
      </c>
      <c r="C229" s="30" t="n">
        <f aca="false">('Unit Mix'!$C$6*('Unit Mix'!$F$6*(1-Assumptions!$C$39)+(C221+Assumptions!$C$37)*Assumptions!$C$39)+'Unit Mix'!$D$6*C222+'Unit Mix'!$C$7*('Unit Mix'!$F$7*(1-Assumptions!$C$39)+(C223+Assumptions!$C$37)*Assumptions!$C$39)+'Unit Mix'!$D$7*C224+'Unit Mix'!$C$8*('Unit Mix'!$F$8*(1-Assumptions!$C$39)+(C225+Assumptions!$C$37)*Assumptions!$C$39)+'Unit Mix'!$D$8*C226+'Unit Mix'!$C$9*('Unit Mix'!$F$9*(1-Assumptions!$C$39)+(C227+Assumptions!$C$37)*Assumptions!$C$39)+'Unit Mix'!$D$9*C228)*12</f>
        <v>2017033.32</v>
      </c>
      <c r="D229" s="30" t="n">
        <f aca="false">('Unit Mix'!$C$6*(D221+Assumptions!$C$37)+'Unit Mix'!$D$6*D222+'Unit Mix'!$C$7*(D223+Assumptions!$C$37)+'Unit Mix'!$D$7*D224+'Unit Mix'!$C$8*(D225+Assumptions!$C$37)+'Unit Mix'!$D$8*D226+'Unit Mix'!$C$9*(D227+Assumptions!$C$37)+'Unit Mix'!$D$9*D228)*12</f>
        <v>2104046.311725</v>
      </c>
      <c r="E229" s="30" t="n">
        <f aca="false">('Unit Mix'!$C$6*(E221+Assumptions!$C$37)+'Unit Mix'!$D$6*E222+'Unit Mix'!$C$7*(E223+Assumptions!$C$37)+'Unit Mix'!$D$7*E224+'Unit Mix'!$C$8*(E225+Assumptions!$C$37)+'Unit Mix'!$D$8*E226+'Unit Mix'!$C$9*(E227+Assumptions!$C$37)+'Unit Mix'!$D$9*E228)*12</f>
        <v>2150704.11144375</v>
      </c>
      <c r="F229" s="30" t="n">
        <f aca="false">('Unit Mix'!$C$6*(F221+Assumptions!$C$37)+'Unit Mix'!$D$6*F222+'Unit Mix'!$C$7*(F223+Assumptions!$C$37)+'Unit Mix'!$D$7*F224+'Unit Mix'!$C$8*(F225+Assumptions!$C$37)+'Unit Mix'!$D$8*F226+'Unit Mix'!$C$9*(F227+Assumptions!$C$37)+'Unit Mix'!$D$9*F228)*12</f>
        <v>2205233.30328326</v>
      </c>
      <c r="G229" s="30" t="n">
        <f aca="false">('Unit Mix'!$C$6*(G221+Assumptions!$C$37)+'Unit Mix'!$D$6*G222+'Unit Mix'!$C$7*(G223+Assumptions!$C$37)+'Unit Mix'!$D$7*G224+'Unit Mix'!$C$8*(G225+Assumptions!$C$37)+'Unit Mix'!$D$8*G226+'Unit Mix'!$C$9*(G227+Assumptions!$C$37)+'Unit Mix'!$D$9*G228)*12</f>
        <v>2264146.15204151</v>
      </c>
      <c r="H229" s="30" t="n">
        <f aca="false">('Unit Mix'!$C$6*(H221+Assumptions!$C$37)+'Unit Mix'!$D$6*H222+'Unit Mix'!$C$7*(H223+Assumptions!$C$37)+'Unit Mix'!$D$7*H224+'Unit Mix'!$C$8*(H225+Assumptions!$C$37)+'Unit Mix'!$D$8*H226+'Unit Mix'!$C$9*(H227+Assumptions!$C$37)+'Unit Mix'!$D$9*H228)*12</f>
        <v>2326818.52760607</v>
      </c>
    </row>
    <row r="230" customFormat="false" ht="15" hidden="false" customHeight="false" outlineLevel="0" collapsed="false">
      <c r="A230" s="2" t="s">
        <v>669</v>
      </c>
      <c r="C230" s="30" t="n">
        <f aca="false">'Operating Model'!B49-'Operating Model'!B42+'Operating Model'!$B$42*1*(1+Assumptions!$C$18+D$21)^('Operating Model'!B$4-1)+((C229-'Operating Model'!B25)+0)*(1-(Assumptions!$C$42+Assumptions!$C$43+Assumptions!$C$44))*(1-Assumptions!$C$75)</f>
        <v>878230.438496</v>
      </c>
      <c r="D230" s="30" t="n">
        <f aca="false">'Operating Model'!C49-'Operating Model'!C42+'Operating Model'!$B$42*1*(1+Assumptions!$C$18+D$21)^('Operating Model'!C$4-1)+((D229-'Operating Model'!C25)+0)*(1-(Assumptions!$C$42+Assumptions!$C$43+Assumptions!$C$44))*(1-Assumptions!$C$75)</f>
        <v>915935.541376455</v>
      </c>
      <c r="E230" s="30" t="n">
        <f aca="false">'Operating Model'!D49-'Operating Model'!D42+'Operating Model'!$B$42*1*(1+Assumptions!$C$18+D$21)^('Operating Model'!D$4-1)+((E229-'Operating Model'!D25)+0)*(1-(Assumptions!$C$42+Assumptions!$C$43+Assumptions!$C$44))*(1-Assumptions!$C$75)</f>
        <v>915855.788618126</v>
      </c>
      <c r="F230" s="30" t="n">
        <f aca="false">'Operating Model'!E49-'Operating Model'!E42+'Operating Model'!$B$42*1*(1+Assumptions!$C$18+D$21)^('Operating Model'!E$4-1)+((F229-'Operating Model'!E25)+0)*(1-(Assumptions!$C$42+Assumptions!$C$43+Assumptions!$C$44))*(1-Assumptions!$C$75)</f>
        <v>920697.053811519</v>
      </c>
      <c r="G230" s="30" t="n">
        <f aca="false">'Operating Model'!F49-'Operating Model'!F42+'Operating Model'!$B$42*1*(1+Assumptions!$C$18+D$21)^('Operating Model'!F$4-1)+((G229-'Operating Model'!F25)+0)*(1-(Assumptions!$C$42+Assumptions!$C$43+Assumptions!$C$44))*(1-Assumptions!$C$75)</f>
        <v>927246.497096234</v>
      </c>
      <c r="H230" s="30" t="n">
        <f aca="false">'Operating Model'!G49-'Operating Model'!G42+'Operating Model'!$B$42*1*(1+Assumptions!$C$18+D$21)^('Operating Model'!G$4-1)+((H229-'Operating Model'!G25)+0)*(1-(Assumptions!$C$42+Assumptions!$C$43+Assumptions!$C$44))*(1-Assumptions!$C$75)</f>
        <v>934826.407527038</v>
      </c>
      <c r="I230" s="30" t="n">
        <f aca="false">H230-'Operating Model'!$B$42*1*(1+Assumptions!$C$18+D$21)^('Operating Model'!G$4-1)</f>
        <v>1209117.41207427</v>
      </c>
    </row>
    <row r="231" customFormat="false" ht="15" hidden="false" customHeight="false" outlineLevel="0" collapsed="false">
      <c r="A231" s="2" t="s">
        <v>670</v>
      </c>
      <c r="B231" s="30" t="n">
        <f aca="false">Assumptions!$C$7*1</f>
        <v>13800000</v>
      </c>
      <c r="C231" s="30" t="n">
        <f aca="false">MAX(0,(Assumptions!$C$124+Assumptions!$C$127)-Assumptions!$C$132*B231)</f>
        <v>0</v>
      </c>
      <c r="D231" s="30" t="n">
        <f aca="false">Assumptions!$C$124-MAX(0,C231-Assumptions!$C$127)</f>
        <v>5887000</v>
      </c>
      <c r="E231" s="30" t="n">
        <f aca="false">Assumptions!$C$127-MIN(C231,Assumptions!$C$127)</f>
        <v>3563000</v>
      </c>
      <c r="F231" s="30" t="n">
        <f aca="false">B231*(1+Assumptions!$C$10)+'Unit Mix'!$D$18*1+(D231+E231)*Assumptions!$C$131-(D231+E231)</f>
        <v>5095290</v>
      </c>
      <c r="G231" s="30" t="n">
        <f aca="false">IF(Assumptions!$C$130=1,D231+E231,-FV(Assumptions!$C$125,Assumptions!$C$126,PMT(Assumptions!$C$125,Assumptions!$C$111,D231),D231)-FV(Assumptions!$C$128,Assumptions!$C$126,PMT(Assumptions!$C$128,Assumptions!$C$111,E231),E231))</f>
        <v>9450000</v>
      </c>
      <c r="H231" s="30" t="n">
        <f aca="false">MIN(INDEX(C230:H230,Assumptions!$C$126+1)/$A$22*Assumptions!$C$108,INDEX(C230:H230,Assumptions!$C$126+1)/(Assumptions!$C$109*-PMT('Debt (Assumed)'!$B$99,Assumptions!$C$111,1)))</f>
        <v>8699030.271278</v>
      </c>
      <c r="I231" s="30" t="n">
        <f aca="false">IF(MAX(0,Assumptions!$C$154-Assumptions!$C$126-'Debt (Assumed)'!$B$100)=0,H231,-FV('Debt (Assumed)'!$B$98,MAX(0,Assumptions!$C$154-Assumptions!$C$126-'Debt (Assumed)'!$B$100),PMT('Debt (Assumed)'!$B$98,Assumptions!$C$111,H231),H231))</f>
        <v>8699030.271278</v>
      </c>
      <c r="J231" s="30" t="n">
        <f aca="false">I231*'Debt (Assumed)'!$B$102</f>
        <v>0</v>
      </c>
      <c r="K231" s="30" t="n">
        <f aca="false">I230/($A$22+Returns!$B$35)*(1-Assumptions!$C$158)-I231-J231</f>
        <v>7500701.6847901</v>
      </c>
      <c r="L231" s="30" t="n">
        <f aca="false">H231*'Debt (Assumed)'!$B$101</f>
        <v>93949.5269298024</v>
      </c>
      <c r="M231" s="30" t="n">
        <f aca="false">(INDEX(C230:H230,Assumptions!$C$126+1)-'Operating Model'!$B$42*1*(1+Assumptions!$C$18+D$21)^Assumptions!$C$126)/($A$22+Returns!$B$35)*(1-Assumptions!$C$158)-G231</f>
        <v>6349470.2323214</v>
      </c>
    </row>
    <row r="232" customFormat="false" ht="15" hidden="false" customHeight="false" outlineLevel="0" collapsed="false">
      <c r="A232" s="2" t="s">
        <v>671</v>
      </c>
      <c r="C232" s="30" t="n">
        <f aca="false">IF('Operating Model'!B$4&lt;=Assumptions!$C$126,IF(Assumptions!$C$130=1,D231*Assumptions!$C$125+E231*Assumptions!$C$128,-PMT(Assumptions!$C$125,Assumptions!$C$111,D231)-PMT(Assumptions!$C$128,Assumptions!$C$111,E231)),IF(Assumptions!$C$136=1,0,IF('Operating Model'!B$4-Assumptions!$C$126&lt;='Debt (Assumed)'!$B$100,H231*'Debt (Assumed)'!$B$98,-PMT('Debt (Assumed)'!$B$98,Assumptions!$C$111,H231))))</f>
        <v>397516</v>
      </c>
      <c r="D232" s="30" t="n">
        <f aca="false">IF('Operating Model'!C$4&lt;=Assumptions!$C$126,IF(Assumptions!$C$130=1,D231*Assumptions!$C$125+E231*Assumptions!$C$128,-PMT(Assumptions!$C$125,Assumptions!$C$111,D231)-PMT(Assumptions!$C$128,Assumptions!$C$111,E231)),IF(Assumptions!$C$136=1,0,IF('Operating Model'!C$4-Assumptions!$C$126&lt;='Debt (Assumed)'!$B$100,H231*'Debt (Assumed)'!$B$98,-PMT('Debt (Assumed)'!$B$98,Assumptions!$C$111,H231))))</f>
        <v>397516</v>
      </c>
      <c r="E232" s="30" t="n">
        <f aca="false">IF('Operating Model'!D$4&lt;=Assumptions!$C$126,IF(Assumptions!$C$130=1,D231*Assumptions!$C$125+E231*Assumptions!$C$128,-PMT(Assumptions!$C$125,Assumptions!$C$111,D231)-PMT(Assumptions!$C$128,Assumptions!$C$111,E231)),IF(Assumptions!$C$136=1,0,IF('Operating Model'!D$4-Assumptions!$C$126&lt;='Debt (Assumed)'!$B$100,H231*'Debt (Assumed)'!$B$98,-PMT('Debt (Assumed)'!$B$98,Assumptions!$C$111,H231))))</f>
        <v>397516</v>
      </c>
      <c r="F232" s="30" t="n">
        <f aca="false">IF('Operating Model'!E$4&lt;=Assumptions!$C$126,IF(Assumptions!$C$130=1,D231*Assumptions!$C$125+E231*Assumptions!$C$128,-PMT(Assumptions!$C$125,Assumptions!$C$111,D231)-PMT(Assumptions!$C$128,Assumptions!$C$111,E231)),IF(Assumptions!$C$136=1,0,IF('Operating Model'!E$4-Assumptions!$C$126&lt;='Debt (Assumed)'!$B$100,H231*'Debt (Assumed)'!$B$98,-PMT('Debt (Assumed)'!$B$98,Assumptions!$C$111,H231))))</f>
        <v>586314.640284137</v>
      </c>
      <c r="G232" s="30" t="n">
        <f aca="false">IF('Operating Model'!F$4&lt;=Assumptions!$C$126,IF(Assumptions!$C$130=1,D231*Assumptions!$C$125+E231*Assumptions!$C$128,-PMT(Assumptions!$C$125,Assumptions!$C$111,D231)-PMT(Assumptions!$C$128,Assumptions!$C$111,E231)),IF(Assumptions!$C$136=1,0,IF('Operating Model'!F$4-Assumptions!$C$126&lt;='Debt (Assumed)'!$B$100,H231*'Debt (Assumed)'!$B$98,-PMT('Debt (Assumed)'!$B$98,Assumptions!$C$111,H231))))</f>
        <v>586314.640284137</v>
      </c>
    </row>
    <row r="233" customFormat="false" ht="15" hidden="false" customHeight="false" outlineLevel="0" collapsed="false">
      <c r="A233" s="2" t="s">
        <v>672</v>
      </c>
      <c r="B233" s="30" t="n">
        <f aca="false">-F231</f>
        <v>-5095290</v>
      </c>
      <c r="C233" s="30" t="n">
        <f aca="false">IF(AND(Assumptions!$C$136=1,'Operating Model'!B$4&gt;Assumptions!$C$126),0,'Operating Model'!B55+(C230-'Operating Model'!B49)-C232-IF('Operating Model'!B$4=Assumptions!$C$126,IF(Assumptions!$C$136=1,-M231,G231-H231+L231),0)+IF(AND(Assumptions!$C$136&lt;&gt;1,'Operating Model'!B$4=Assumptions!$C$154),K231,0))</f>
        <v>451614.438496</v>
      </c>
      <c r="D233" s="30" t="n">
        <f aca="false">IF(AND(Assumptions!$C$136=1,'Operating Model'!C$4&gt;Assumptions!$C$126),0,'Operating Model'!C55+(D230-'Operating Model'!C49)-D232-IF('Operating Model'!C$4=Assumptions!$C$126,IF(Assumptions!$C$136=1,-M231,G231-H231+L231),0)+IF(AND(Assumptions!$C$136&lt;&gt;1,'Operating Model'!C$4=Assumptions!$C$154),K231,0))</f>
        <v>328301.041376455</v>
      </c>
      <c r="E233" s="30" t="n">
        <f aca="false">IF(AND(Assumptions!$C$136=1,'Operating Model'!D$4&gt;Assumptions!$C$126),0,'Operating Model'!D55+(E230-'Operating Model'!D49)-E232-IF('Operating Model'!D$4=Assumptions!$C$126,IF(Assumptions!$C$136=1,-M231,G231-H231+L231),0)+IF(AND(Assumptions!$C$136&lt;&gt;1,'Operating Model'!D$4=Assumptions!$C$154),K231,0))</f>
        <v>-357752.114533679</v>
      </c>
      <c r="F233" s="30" t="n">
        <f aca="false">IF(AND(Assumptions!$C$136=1,'Operating Model'!E$4&gt;Assumptions!$C$126),0,'Operating Model'!E55+(F230-'Operating Model'!E49)-F232-IF('Operating Model'!E$4=Assumptions!$C$126,IF(Assumptions!$C$136=1,-M231,G231-H231+L231),0)+IF(AND(Assumptions!$C$136&lt;&gt;1,'Operating Model'!E$4=Assumptions!$C$154),K231,0))</f>
        <v>302118.723364882</v>
      </c>
      <c r="G233" s="30" t="n">
        <f aca="false">IF(AND(Assumptions!$C$136=1,'Operating Model'!F$4&gt;Assumptions!$C$126),0,'Operating Model'!F55+(G230-'Operating Model'!F49)-G232-IF('Operating Model'!F$4=Assumptions!$C$126,IF(Assumptions!$C$136=1,-M231,G231-H231+L231),0)+IF(AND(Assumptions!$C$136&lt;&gt;1,'Operating Model'!F$4=Assumptions!$C$154),K231,0))</f>
        <v>7808240.62228401</v>
      </c>
      <c r="H233" s="22" t="n">
        <f aca="false">IFERROR(IRR(B233:G233),"N/A")</f>
        <v>0.116997419658652</v>
      </c>
      <c r="I233" s="24" t="n">
        <f aca="false">SUM(C233:G233)/F231</f>
        <v>1.67459020212543</v>
      </c>
    </row>
    <row r="235" customFormat="false" ht="15" hidden="false" customHeight="false" outlineLevel="0" collapsed="false">
      <c r="A235" s="2" t="s">
        <v>673</v>
      </c>
      <c r="C235" s="30" t="n">
        <f aca="false">'Unit Mix'!$H$6*(1+('Operating Model'!B$6+E$21))</f>
        <v>1573.25</v>
      </c>
      <c r="D235" s="30" t="n">
        <f aca="false">C235*(1+('Operating Model'!C$6+E$21))</f>
        <v>1608.648125</v>
      </c>
      <c r="E235" s="30" t="n">
        <f aca="false">D235*(1+('Operating Model'!D$6+E$21))</f>
        <v>1656.90756875</v>
      </c>
      <c r="F235" s="30" t="n">
        <f aca="false">E235*(1+('Operating Model'!E$6+E$21))</f>
        <v>1714.89933365625</v>
      </c>
      <c r="G235" s="30" t="n">
        <f aca="false">F235*(1+('Operating Model'!F$6+E$21))</f>
        <v>1774.92081033422</v>
      </c>
      <c r="H235" s="30" t="n">
        <f aca="false">G235*(1+('Operating Model'!G$6+E$21))</f>
        <v>1837.04303869592</v>
      </c>
    </row>
    <row r="236" customFormat="false" ht="15" hidden="false" customHeight="false" outlineLevel="0" collapsed="false">
      <c r="A236" s="2" t="s">
        <v>674</v>
      </c>
      <c r="C236" s="30" t="n">
        <f aca="false">'Unit Mix'!$G$6+Assumptions!$C$48*Assumptions!$C$47*(C235-'Unit Mix'!$G$6)</f>
        <v>1486.6125</v>
      </c>
      <c r="D236" s="30" t="n">
        <f aca="false">C236+Assumptions!$C$48*Assumptions!$C$47*(D235-C236)</f>
        <v>1520.172296875</v>
      </c>
      <c r="E236" s="30" t="n">
        <f aca="false">D236+Assumptions!$C$48*Assumptions!$C$47*(E235-D236)</f>
        <v>1557.77449664062</v>
      </c>
      <c r="F236" s="30" t="n">
        <f aca="false">E236+Assumptions!$C$48*Assumptions!$C$47*(F235-E236)</f>
        <v>1600.98382681992</v>
      </c>
      <c r="G236" s="30" t="n">
        <f aca="false">F236+Assumptions!$C$48*Assumptions!$C$47*(G235-F236)</f>
        <v>1648.81649728635</v>
      </c>
      <c r="H236" s="30" t="n">
        <f aca="false">G236+Assumptions!$C$48*Assumptions!$C$47*(H235-G236)</f>
        <v>1700.57879617398</v>
      </c>
    </row>
    <row r="237" customFormat="false" ht="15" hidden="false" customHeight="false" outlineLevel="0" collapsed="false">
      <c r="A237" s="2" t="s">
        <v>675</v>
      </c>
      <c r="C237" s="30" t="n">
        <f aca="false">'Unit Mix'!$H$7*(1+('Operating Model'!B$6+E$21))</f>
        <v>1806.7</v>
      </c>
      <c r="D237" s="30" t="n">
        <f aca="false">C237*(1+('Operating Model'!C$6+E$21))</f>
        <v>1847.35075</v>
      </c>
      <c r="E237" s="30" t="n">
        <f aca="false">D237*(1+('Operating Model'!D$6+E$21))</f>
        <v>1902.7712725</v>
      </c>
      <c r="F237" s="30" t="n">
        <f aca="false">E237*(1+('Operating Model'!E$6+E$21))</f>
        <v>1969.3682670375</v>
      </c>
      <c r="G237" s="30" t="n">
        <f aca="false">F237*(1+('Operating Model'!F$6+E$21))</f>
        <v>2038.29615638381</v>
      </c>
      <c r="H237" s="30" t="n">
        <f aca="false">G237*(1+('Operating Model'!G$6+E$21))</f>
        <v>2109.63652185725</v>
      </c>
    </row>
    <row r="238" customFormat="false" ht="15" hidden="false" customHeight="false" outlineLevel="0" collapsed="false">
      <c r="A238" s="2" t="s">
        <v>676</v>
      </c>
      <c r="C238" s="30" t="n">
        <f aca="false">'Unit Mix'!$G$7+Assumptions!$C$48*Assumptions!$C$47*(C237-'Unit Mix'!$G$7)</f>
        <v>1709.94875</v>
      </c>
      <c r="D238" s="30" t="n">
        <f aca="false">C238+Assumptions!$C$48*Assumptions!$C$47*(D237-C238)</f>
        <v>1747.7343</v>
      </c>
      <c r="E238" s="30" t="n">
        <f aca="false">D238+Assumptions!$C$48*Assumptions!$C$47*(E237-D238)</f>
        <v>1790.3694674375</v>
      </c>
      <c r="F238" s="30" t="n">
        <f aca="false">E238+Assumptions!$C$48*Assumptions!$C$47*(F237-E238)</f>
        <v>1839.5941373275</v>
      </c>
      <c r="G238" s="30" t="n">
        <f aca="false">F238+Assumptions!$C$48*Assumptions!$C$47*(G237-F238)</f>
        <v>1894.23719256799</v>
      </c>
      <c r="H238" s="30" t="n">
        <f aca="false">G238+Assumptions!$C$48*Assumptions!$C$47*(H237-G238)</f>
        <v>1953.47200812253</v>
      </c>
    </row>
    <row r="239" customFormat="false" ht="15" hidden="false" customHeight="false" outlineLevel="0" collapsed="false">
      <c r="A239" s="2" t="s">
        <v>677</v>
      </c>
      <c r="C239" s="30" t="n">
        <f aca="false">'Unit Mix'!$H$8*(1+('Operating Model'!B$6+E$21))</f>
        <v>2080.75</v>
      </c>
      <c r="D239" s="30" t="n">
        <f aca="false">C239*(1+('Operating Model'!C$6+E$21))</f>
        <v>2127.566875</v>
      </c>
      <c r="E239" s="30" t="n">
        <f aca="false">D239*(1+('Operating Model'!D$6+E$21))</f>
        <v>2191.39388125</v>
      </c>
      <c r="F239" s="30" t="n">
        <f aca="false">E239*(1+('Operating Model'!E$6+E$21))</f>
        <v>2268.09266709375</v>
      </c>
      <c r="G239" s="30" t="n">
        <f aca="false">F239*(1+('Operating Model'!F$6+E$21))</f>
        <v>2347.47591044203</v>
      </c>
      <c r="H239" s="30" t="n">
        <f aca="false">G239*(1+('Operating Model'!G$6+E$21))</f>
        <v>2429.6375673075</v>
      </c>
    </row>
    <row r="240" customFormat="false" ht="15" hidden="false" customHeight="false" outlineLevel="0" collapsed="false">
      <c r="A240" s="2" t="s">
        <v>678</v>
      </c>
      <c r="C240" s="30" t="n">
        <f aca="false">'Unit Mix'!$G$8+Assumptions!$C$48*Assumptions!$C$47*(C239-'Unit Mix'!$G$8)</f>
        <v>1969.64375</v>
      </c>
      <c r="D240" s="30" t="n">
        <f aca="false">C240+Assumptions!$C$48*Assumptions!$C$47*(D239-C240)</f>
        <v>2013.072609375</v>
      </c>
      <c r="E240" s="30" t="n">
        <f aca="false">D240+Assumptions!$C$48*Assumptions!$C$47*(E239-D240)</f>
        <v>2062.11095914063</v>
      </c>
      <c r="F240" s="30" t="n">
        <f aca="false">E240+Assumptions!$C$48*Assumptions!$C$47*(F239-E240)</f>
        <v>2118.75592882773</v>
      </c>
      <c r="G240" s="30" t="n">
        <f aca="false">F240+Assumptions!$C$48*Assumptions!$C$47*(G239-F240)</f>
        <v>2181.65392377167</v>
      </c>
      <c r="H240" s="30" t="n">
        <f aca="false">G240+Assumptions!$C$48*Assumptions!$C$47*(H239-G240)</f>
        <v>2249.84942574402</v>
      </c>
    </row>
    <row r="241" customFormat="false" ht="15" hidden="false" customHeight="false" outlineLevel="0" collapsed="false">
      <c r="A241" s="2" t="s">
        <v>679</v>
      </c>
      <c r="C241" s="30" t="n">
        <f aca="false">'Unit Mix'!$H$9*(1+('Operating Model'!B$6+E$21))</f>
        <v>2233</v>
      </c>
      <c r="D241" s="30" t="n">
        <f aca="false">C241*(1+('Operating Model'!C$6+E$21))</f>
        <v>2283.2425</v>
      </c>
      <c r="E241" s="30" t="n">
        <f aca="false">D241*(1+('Operating Model'!D$6+E$21))</f>
        <v>2351.739775</v>
      </c>
      <c r="F241" s="30" t="n">
        <f aca="false">E241*(1+('Operating Model'!E$6+E$21))</f>
        <v>2434.050667125</v>
      </c>
      <c r="G241" s="30" t="n">
        <f aca="false">F241*(1+('Operating Model'!F$6+E$21))</f>
        <v>2519.24244047437</v>
      </c>
      <c r="H241" s="30" t="n">
        <f aca="false">G241*(1+('Operating Model'!G$6+E$21))</f>
        <v>2607.41592589098</v>
      </c>
    </row>
    <row r="242" customFormat="false" ht="15" hidden="false" customHeight="false" outlineLevel="0" collapsed="false">
      <c r="A242" s="2" t="s">
        <v>680</v>
      </c>
      <c r="C242" s="30" t="n">
        <f aca="false">'Unit Mix'!$G$9+Assumptions!$C$48*Assumptions!$C$47*(C241-'Unit Mix'!$G$9)</f>
        <v>2113.91875</v>
      </c>
      <c r="D242" s="30" t="n">
        <f aca="false">C242+Assumptions!$C$48*Assumptions!$C$47*(D241-C242)</f>
        <v>2160.48278125</v>
      </c>
      <c r="E242" s="30" t="n">
        <f aca="false">D242+Assumptions!$C$48*Assumptions!$C$47*(E241-D242)</f>
        <v>2213.07845453125</v>
      </c>
      <c r="F242" s="30" t="n">
        <f aca="false">E242+Assumptions!$C$48*Assumptions!$C$47*(F241-E242)</f>
        <v>2273.84581299453</v>
      </c>
      <c r="G242" s="30" t="n">
        <f aca="false">F242+Assumptions!$C$48*Assumptions!$C$47*(G241-F242)</f>
        <v>2341.32988555149</v>
      </c>
      <c r="H242" s="30" t="n">
        <f aca="false">G242+Assumptions!$C$48*Assumptions!$C$47*(H241-G242)</f>
        <v>2414.50354664485</v>
      </c>
    </row>
    <row r="243" customFormat="false" ht="15" hidden="false" customHeight="false" outlineLevel="0" collapsed="false">
      <c r="A243" s="2" t="s">
        <v>681</v>
      </c>
      <c r="C243" s="30" t="n">
        <f aca="false">('Unit Mix'!$C$6*('Unit Mix'!$F$6*(1-Assumptions!$C$39)+(C235+Assumptions!$C$37)*Assumptions!$C$39)+'Unit Mix'!$D$6*C236+'Unit Mix'!$C$7*('Unit Mix'!$F$7*(1-Assumptions!$C$39)+(C237+Assumptions!$C$37)*Assumptions!$C$39)+'Unit Mix'!$D$7*C238+'Unit Mix'!$C$8*('Unit Mix'!$F$8*(1-Assumptions!$C$39)+(C239+Assumptions!$C$37)*Assumptions!$C$39)+'Unit Mix'!$D$8*C240+'Unit Mix'!$C$9*('Unit Mix'!$F$9*(1-Assumptions!$C$39)+(C241+Assumptions!$C$37)*Assumptions!$C$39)+'Unit Mix'!$D$9*C242)*12</f>
        <v>2020542.255</v>
      </c>
      <c r="D243" s="30" t="n">
        <f aca="false">('Unit Mix'!$C$6*(D235+Assumptions!$C$37)+'Unit Mix'!$D$6*D236+'Unit Mix'!$C$7*(D237+Assumptions!$C$37)+'Unit Mix'!$D$7*D238+'Unit Mix'!$C$8*(D239+Assumptions!$C$37)+'Unit Mix'!$D$8*D240+'Unit Mix'!$C$9*(D241+Assumptions!$C$37)+'Unit Mix'!$D$9*D242)*12</f>
        <v>2115428.0952375</v>
      </c>
      <c r="E243" s="30" t="n">
        <f aca="false">('Unit Mix'!$C$6*(E235+Assumptions!$C$37)+'Unit Mix'!$D$6*E236+'Unit Mix'!$C$7*(E237+Assumptions!$C$37)+'Unit Mix'!$D$7*E238+'Unit Mix'!$C$8*(E239+Assumptions!$C$37)+'Unit Mix'!$D$8*E240+'Unit Mix'!$C$9*(E241+Assumptions!$C$37)+'Unit Mix'!$D$9*E242)*12</f>
        <v>2170134.86738306</v>
      </c>
      <c r="F243" s="30" t="n">
        <f aca="false">('Unit Mix'!$C$6*(F235+Assumptions!$C$37)+'Unit Mix'!$D$6*F236+'Unit Mix'!$C$7*(F237+Assumptions!$C$37)+'Unit Mix'!$D$7*F238+'Unit Mix'!$C$8*(F239+Assumptions!$C$37)+'Unit Mix'!$D$8*F240+'Unit Mix'!$C$9*(F241+Assumptions!$C$37)+'Unit Mix'!$D$9*F242)*12</f>
        <v>2234036.40618041</v>
      </c>
      <c r="G243" s="30" t="n">
        <f aca="false">('Unit Mix'!$C$6*(G235+Assumptions!$C$37)+'Unit Mix'!$D$6*G236+'Unit Mix'!$C$7*(G237+Assumptions!$C$37)+'Unit Mix'!$D$7*G238+'Unit Mix'!$C$8*(G239+Assumptions!$C$37)+'Unit Mix'!$D$8*G240+'Unit Mix'!$C$9*(G241+Assumptions!$C$37)+'Unit Mix'!$D$9*G242)*12</f>
        <v>2303489.12376496</v>
      </c>
      <c r="H243" s="30" t="n">
        <f aca="false">('Unit Mix'!$C$6*(H235+Assumptions!$C$37)+'Unit Mix'!$D$6*H236+'Unit Mix'!$C$7*(H237+Assumptions!$C$37)+'Unit Mix'!$D$7*H238+'Unit Mix'!$C$8*(H239+Assumptions!$C$37)+'Unit Mix'!$D$8*H240+'Unit Mix'!$C$9*(H241+Assumptions!$C$37)+'Unit Mix'!$D$9*H242)*12</f>
        <v>2377775.78953871</v>
      </c>
    </row>
    <row r="244" customFormat="false" ht="15" hidden="false" customHeight="false" outlineLevel="0" collapsed="false">
      <c r="A244" s="2" t="s">
        <v>682</v>
      </c>
      <c r="C244" s="30" t="n">
        <f aca="false">'Operating Model'!B49-'Operating Model'!B42+'Operating Model'!$B$42*1*(1+Assumptions!$C$18+E$21)^('Operating Model'!B$4-1)+((C243-'Operating Model'!B25)+0)*(1-(Assumptions!$C$42+Assumptions!$C$43+Assumptions!$C$44))*(1-Assumptions!$C$75)</f>
        <v>881345.670989</v>
      </c>
      <c r="D244" s="30" t="n">
        <f aca="false">'Operating Model'!C49-'Operating Model'!C42+'Operating Model'!$B$42*1*(1+Assumptions!$C$18+E$21)^('Operating Model'!C$4-1)+((D243-'Operating Model'!C25)+0)*(1-(Assumptions!$C$42+Assumptions!$C$43+Assumptions!$C$44))*(1-Assumptions!$C$75)</f>
        <v>924857.259628853</v>
      </c>
      <c r="E244" s="30" t="n">
        <f aca="false">'Operating Model'!D49-'Operating Model'!D42+'Operating Model'!$B$42*1*(1+Assumptions!$C$18+E$21)^('Operating Model'!D$4-1)+((E243-'Operating Model'!D25)+0)*(1-(Assumptions!$C$42+Assumptions!$C$43+Assumptions!$C$44))*(1-Assumptions!$C$75)</f>
        <v>930663.458546298</v>
      </c>
      <c r="F244" s="30" t="n">
        <f aca="false">'Operating Model'!E49-'Operating Model'!E42+'Operating Model'!$B$42*1*(1+Assumptions!$C$18+E$21)^('Operating Model'!E$4-1)+((F243-'Operating Model'!E25)+0)*(1-(Assumptions!$C$42+Assumptions!$C$43+Assumptions!$C$44))*(1-Assumptions!$C$75)</f>
        <v>942484.914311808</v>
      </c>
      <c r="G244" s="30" t="n">
        <f aca="false">'Operating Model'!F49-'Operating Model'!F42+'Operating Model'!$B$42*1*(1+Assumptions!$C$18+E$21)^('Operating Model'!F$4-1)+((G243-'Operating Model'!F25)+0)*(1-(Assumptions!$C$42+Assumptions!$C$43+Assumptions!$C$44))*(1-Assumptions!$C$75)</f>
        <v>956966.501547713</v>
      </c>
      <c r="H244" s="30" t="n">
        <f aca="false">'Operating Model'!G49-'Operating Model'!G42+'Operating Model'!$B$42*1*(1+Assumptions!$C$18+E$21)^('Operating Model'!G$4-1)+((H243-'Operating Model'!G25)+0)*(1-(Assumptions!$C$42+Assumptions!$C$43+Assumptions!$C$44))*(1-Assumptions!$C$75)</f>
        <v>973343.765090856</v>
      </c>
      <c r="I244" s="30" t="n">
        <f aca="false">H244-'Operating Model'!$B$42*1*(1+Assumptions!$C$18+E$21)^('Operating Model'!G$4-1)</f>
        <v>1254357.26921807</v>
      </c>
    </row>
    <row r="245" customFormat="false" ht="15" hidden="false" customHeight="false" outlineLevel="0" collapsed="false">
      <c r="A245" s="2" t="s">
        <v>683</v>
      </c>
      <c r="B245" s="30" t="n">
        <f aca="false">Assumptions!$C$7*1</f>
        <v>13800000</v>
      </c>
      <c r="C245" s="30" t="n">
        <f aca="false">MAX(0,(Assumptions!$C$124+Assumptions!$C$127)-Assumptions!$C$132*B245)</f>
        <v>0</v>
      </c>
      <c r="D245" s="30" t="n">
        <f aca="false">Assumptions!$C$124-MAX(0,C245-Assumptions!$C$127)</f>
        <v>5887000</v>
      </c>
      <c r="E245" s="30" t="n">
        <f aca="false">Assumptions!$C$127-MIN(C245,Assumptions!$C$127)</f>
        <v>3563000</v>
      </c>
      <c r="F245" s="30" t="n">
        <f aca="false">B245*(1+Assumptions!$C$10)+'Unit Mix'!$D$18*1+(D245+E245)*Assumptions!$C$131-(D245+E245)</f>
        <v>5095290</v>
      </c>
      <c r="G245" s="30" t="n">
        <f aca="false">IF(Assumptions!$C$130=1,D245+E245,-FV(Assumptions!$C$125,Assumptions!$C$126,PMT(Assumptions!$C$125,Assumptions!$C$111,D245),D245)-FV(Assumptions!$C$128,Assumptions!$C$126,PMT(Assumptions!$C$128,Assumptions!$C$111,E245),E245))</f>
        <v>9450000</v>
      </c>
      <c r="H245" s="30" t="n">
        <f aca="false">MIN(INDEX(C244:H244,Assumptions!$C$126+1)/$A$22*Assumptions!$C$108,INDEX(C244:H244,Assumptions!$C$126+1)/(Assumptions!$C$109*-PMT('Debt (Assumed)'!$B$99,Assumptions!$C$111,1)))</f>
        <v>8904888.71000523</v>
      </c>
      <c r="I245" s="30" t="n">
        <f aca="false">IF(MAX(0,Assumptions!$C$154-Assumptions!$C$126-'Debt (Assumed)'!$B$100)=0,H245,-FV('Debt (Assumed)'!$B$98,MAX(0,Assumptions!$C$154-Assumptions!$C$126-'Debt (Assumed)'!$B$100),PMT('Debt (Assumed)'!$B$98,Assumptions!$C$111,H245),H245))</f>
        <v>8904888.71000523</v>
      </c>
      <c r="J245" s="30" t="n">
        <f aca="false">I245*'Debt (Assumed)'!$B$102</f>
        <v>0</v>
      </c>
      <c r="K245" s="30" t="n">
        <f aca="false">I244/($A$22+Returns!$B$35)*(1-Assumptions!$C$158)-I245-J245</f>
        <v>7900965.98661879</v>
      </c>
      <c r="L245" s="30" t="n">
        <f aca="false">H245*'Debt (Assumed)'!$B$101</f>
        <v>96172.7980680565</v>
      </c>
      <c r="M245" s="30" t="n">
        <f aca="false">(INDEX(C244:H244,Assumptions!$C$126+1)-'Operating Model'!$B$42*1*(1+Assumptions!$C$18+E$21)^Assumptions!$C$126)/($A$22+Returns!$B$35)*(1-Assumptions!$C$158)-G245</f>
        <v>6692075.29001883</v>
      </c>
    </row>
    <row r="246" customFormat="false" ht="15" hidden="false" customHeight="false" outlineLevel="0" collapsed="false">
      <c r="A246" s="2" t="s">
        <v>684</v>
      </c>
      <c r="C246" s="30" t="n">
        <f aca="false">IF('Operating Model'!B$4&lt;=Assumptions!$C$126,IF(Assumptions!$C$130=1,D245*Assumptions!$C$125+E245*Assumptions!$C$128,-PMT(Assumptions!$C$125,Assumptions!$C$111,D245)-PMT(Assumptions!$C$128,Assumptions!$C$111,E245)),IF(Assumptions!$C$136=1,0,IF('Operating Model'!B$4-Assumptions!$C$126&lt;='Debt (Assumed)'!$B$100,H245*'Debt (Assumed)'!$B$98,-PMT('Debt (Assumed)'!$B$98,Assumptions!$C$111,H245))))</f>
        <v>397516</v>
      </c>
      <c r="D246" s="30" t="n">
        <f aca="false">IF('Operating Model'!C$4&lt;=Assumptions!$C$126,IF(Assumptions!$C$130=1,D245*Assumptions!$C$125+E245*Assumptions!$C$128,-PMT(Assumptions!$C$125,Assumptions!$C$111,D245)-PMT(Assumptions!$C$128,Assumptions!$C$111,E245)),IF(Assumptions!$C$136=1,0,IF('Operating Model'!C$4-Assumptions!$C$126&lt;='Debt (Assumed)'!$B$100,H245*'Debt (Assumed)'!$B$98,-PMT('Debt (Assumed)'!$B$98,Assumptions!$C$111,H245))))</f>
        <v>397516</v>
      </c>
      <c r="E246" s="30" t="n">
        <f aca="false">IF('Operating Model'!D$4&lt;=Assumptions!$C$126,IF(Assumptions!$C$130=1,D245*Assumptions!$C$125+E245*Assumptions!$C$128,-PMT(Assumptions!$C$125,Assumptions!$C$111,D245)-PMT(Assumptions!$C$128,Assumptions!$C$111,E245)),IF(Assumptions!$C$136=1,0,IF('Operating Model'!D$4-Assumptions!$C$126&lt;='Debt (Assumed)'!$B$100,H245*'Debt (Assumed)'!$B$98,-PMT('Debt (Assumed)'!$B$98,Assumptions!$C$111,H245))))</f>
        <v>397516</v>
      </c>
      <c r="F246" s="30" t="n">
        <f aca="false">IF('Operating Model'!E$4&lt;=Assumptions!$C$126,IF(Assumptions!$C$130=1,D245*Assumptions!$C$125+E245*Assumptions!$C$128,-PMT(Assumptions!$C$125,Assumptions!$C$111,D245)-PMT(Assumptions!$C$128,Assumptions!$C$111,E245)),IF(Assumptions!$C$136=1,0,IF('Operating Model'!E$4-Assumptions!$C$126&lt;='Debt (Assumed)'!$B$100,H245*'Debt (Assumed)'!$B$98,-PMT('Debt (Assumed)'!$B$98,Assumptions!$C$111,H245))))</f>
        <v>600189.499054352</v>
      </c>
      <c r="G246" s="30" t="n">
        <f aca="false">IF('Operating Model'!F$4&lt;=Assumptions!$C$126,IF(Assumptions!$C$130=1,D245*Assumptions!$C$125+E245*Assumptions!$C$128,-PMT(Assumptions!$C$125,Assumptions!$C$111,D245)-PMT(Assumptions!$C$128,Assumptions!$C$111,E245)),IF(Assumptions!$C$136=1,0,IF('Operating Model'!F$4-Assumptions!$C$126&lt;='Debt (Assumed)'!$B$100,H245*'Debt (Assumed)'!$B$98,-PMT('Debt (Assumed)'!$B$98,Assumptions!$C$111,H245))))</f>
        <v>600189.499054352</v>
      </c>
    </row>
    <row r="247" customFormat="false" ht="15" hidden="false" customHeight="false" outlineLevel="0" collapsed="false">
      <c r="A247" s="2" t="s">
        <v>685</v>
      </c>
      <c r="B247" s="30" t="n">
        <f aca="false">-F245</f>
        <v>-5095290</v>
      </c>
      <c r="C247" s="30" t="n">
        <f aca="false">IF(AND(Assumptions!$C$136=1,'Operating Model'!B$4&gt;Assumptions!$C$126),0,'Operating Model'!B55+(C244-'Operating Model'!B49)-C246-IF('Operating Model'!B$4=Assumptions!$C$126,IF(Assumptions!$C$136=1,-M245,G245-H245+L245),0)+IF(AND(Assumptions!$C$136&lt;&gt;1,'Operating Model'!B$4=Assumptions!$C$154),K245,0))</f>
        <v>454729.670989</v>
      </c>
      <c r="D247" s="30" t="n">
        <f aca="false">IF(AND(Assumptions!$C$136=1,'Operating Model'!C$4&gt;Assumptions!$C$126),0,'Operating Model'!C55+(D244-'Operating Model'!C49)-D246-IF('Operating Model'!C$4=Assumptions!$C$126,IF(Assumptions!$C$136=1,-M245,G245-H245+L245),0)+IF(AND(Assumptions!$C$136&lt;&gt;1,'Operating Model'!C$4=Assumptions!$C$154),K245,0))</f>
        <v>337222.759628853</v>
      </c>
      <c r="E247" s="30" t="n">
        <f aca="false">IF(AND(Assumptions!$C$136=1,'Operating Model'!D$4&gt;Assumptions!$C$126),0,'Operating Model'!D55+(E244-'Operating Model'!D49)-E246-IF('Operating Model'!D$4=Assumptions!$C$126,IF(Assumptions!$C$136=1,-M245,G245-H245+L245),0)+IF(AND(Assumptions!$C$136&lt;&gt;1,'Operating Model'!D$4=Assumptions!$C$154),K245,0))</f>
        <v>-139309.277016531</v>
      </c>
      <c r="F247" s="30" t="n">
        <f aca="false">IF(AND(Assumptions!$C$136=1,'Operating Model'!E$4&gt;Assumptions!$C$126),0,'Operating Model'!E55+(F244-'Operating Model'!E49)-F246-IF('Operating Model'!E$4=Assumptions!$C$126,IF(Assumptions!$C$136=1,-M245,G245-H245+L245),0)+IF(AND(Assumptions!$C$136&lt;&gt;1,'Operating Model'!E$4=Assumptions!$C$154),K245,0))</f>
        <v>310031.725094956</v>
      </c>
      <c r="G247" s="30" t="n">
        <f aca="false">IF(AND(Assumptions!$C$136=1,'Operating Model'!F$4&gt;Assumptions!$C$126),0,'Operating Model'!F55+(G244-'Operating Model'!F49)-G246-IF('Operating Model'!F$4=Assumptions!$C$126,IF(Assumptions!$C$136=1,-M245,G245-H245+L245),0)+IF(AND(Assumptions!$C$136&lt;&gt;1,'Operating Model'!F$4=Assumptions!$C$154),K245,0))</f>
        <v>8224350.06979396</v>
      </c>
      <c r="H247" s="22" t="n">
        <f aca="false">IFERROR(IRR(B247:G247),"N/A")</f>
        <v>0.136228726153813</v>
      </c>
      <c r="I247" s="24" t="n">
        <f aca="false">SUM(C247:G247)/F245</f>
        <v>1.80304260375567</v>
      </c>
    </row>
    <row r="249" customFormat="false" ht="15" hidden="false" customHeight="false" outlineLevel="0" collapsed="false">
      <c r="A249" s="2" t="s">
        <v>686</v>
      </c>
      <c r="C249" s="30" t="n">
        <f aca="false">'Unit Mix'!$H$6*(1+('Operating Model'!B$6+F$21))</f>
        <v>1581</v>
      </c>
      <c r="D249" s="30" t="n">
        <f aca="false">C249*(1+('Operating Model'!C$6+F$21))</f>
        <v>1624.4775</v>
      </c>
      <c r="E249" s="30" t="n">
        <f aca="false">D249*(1+('Operating Model'!D$6+F$21))</f>
        <v>1681.3342125</v>
      </c>
      <c r="F249" s="30" t="n">
        <f aca="false">E249*(1+('Operating Model'!E$6+F$21))</f>
        <v>1748.587581</v>
      </c>
      <c r="G249" s="30" t="n">
        <f aca="false">F249*(1+('Operating Model'!F$6+F$21))</f>
        <v>1818.53108424</v>
      </c>
      <c r="H249" s="30" t="n">
        <f aca="false">G249*(1+('Operating Model'!G$6+F$21))</f>
        <v>1891.2723276096</v>
      </c>
    </row>
    <row r="250" customFormat="false" ht="15" hidden="false" customHeight="false" outlineLevel="0" collapsed="false">
      <c r="A250" s="2" t="s">
        <v>687</v>
      </c>
      <c r="C250" s="30" t="n">
        <f aca="false">'Unit Mix'!$G$6+Assumptions!$C$48*Assumptions!$C$47*(C249-'Unit Mix'!$G$6)</f>
        <v>1488.74375</v>
      </c>
      <c r="D250" s="30" t="n">
        <f aca="false">C250+Assumptions!$C$48*Assumptions!$C$47*(D249-C250)</f>
        <v>1526.07053125</v>
      </c>
      <c r="E250" s="30" t="n">
        <f aca="false">D250+Assumptions!$C$48*Assumptions!$C$47*(E249-D250)</f>
        <v>1568.76804359375</v>
      </c>
      <c r="F250" s="30" t="n">
        <f aca="false">E250+Assumptions!$C$48*Assumptions!$C$47*(F249-E250)</f>
        <v>1618.21841638047</v>
      </c>
      <c r="G250" s="30" t="n">
        <f aca="false">F250+Assumptions!$C$48*Assumptions!$C$47*(G249-F250)</f>
        <v>1673.30440004184</v>
      </c>
      <c r="H250" s="30" t="n">
        <f aca="false">G250+Assumptions!$C$48*Assumptions!$C$47*(H249-G250)</f>
        <v>1733.24558012297</v>
      </c>
    </row>
    <row r="251" customFormat="false" ht="15" hidden="false" customHeight="false" outlineLevel="0" collapsed="false">
      <c r="A251" s="2" t="s">
        <v>688</v>
      </c>
      <c r="C251" s="30" t="n">
        <f aca="false">'Unit Mix'!$H$7*(1+('Operating Model'!B$6+F$21))</f>
        <v>1815.6</v>
      </c>
      <c r="D251" s="30" t="n">
        <f aca="false">C251*(1+('Operating Model'!C$6+F$21))</f>
        <v>1865.529</v>
      </c>
      <c r="E251" s="30" t="n">
        <f aca="false">D251*(1+('Operating Model'!D$6+F$21))</f>
        <v>1930.822515</v>
      </c>
      <c r="F251" s="30" t="n">
        <f aca="false">E251*(1+('Operating Model'!E$6+F$21))</f>
        <v>2008.0554156</v>
      </c>
      <c r="G251" s="30" t="n">
        <f aca="false">F251*(1+('Operating Model'!F$6+F$21))</f>
        <v>2088.377632224</v>
      </c>
      <c r="H251" s="30" t="n">
        <f aca="false">G251*(1+('Operating Model'!G$6+F$21))</f>
        <v>2171.91273751296</v>
      </c>
    </row>
    <row r="252" customFormat="false" ht="15" hidden="false" customHeight="false" outlineLevel="0" collapsed="false">
      <c r="A252" s="2" t="s">
        <v>689</v>
      </c>
      <c r="C252" s="30" t="n">
        <f aca="false">'Unit Mix'!$G$7+Assumptions!$C$48*Assumptions!$C$47*(C251-'Unit Mix'!$G$7)</f>
        <v>1712.39625</v>
      </c>
      <c r="D252" s="30" t="n">
        <f aca="false">C252+Assumptions!$C$48*Assumptions!$C$47*(D251-C252)</f>
        <v>1754.50775625</v>
      </c>
      <c r="E252" s="30" t="n">
        <f aca="false">D252+Assumptions!$C$48*Assumptions!$C$47*(E251-D252)</f>
        <v>1802.99431490625</v>
      </c>
      <c r="F252" s="30" t="n">
        <f aca="false">E252+Assumptions!$C$48*Assumptions!$C$47*(F251-E252)</f>
        <v>1859.38611759703</v>
      </c>
      <c r="G252" s="30" t="n">
        <f aca="false">F252+Assumptions!$C$48*Assumptions!$C$47*(G251-F252)</f>
        <v>1922.35878411945</v>
      </c>
      <c r="H252" s="30" t="n">
        <f aca="false">G252+Assumptions!$C$48*Assumptions!$C$47*(H251-G252)</f>
        <v>1990.98612130266</v>
      </c>
    </row>
    <row r="253" customFormat="false" ht="15" hidden="false" customHeight="false" outlineLevel="0" collapsed="false">
      <c r="A253" s="2" t="s">
        <v>690</v>
      </c>
      <c r="C253" s="30" t="n">
        <f aca="false">'Unit Mix'!$H$8*(1+('Operating Model'!B$6+F$21))</f>
        <v>2091</v>
      </c>
      <c r="D253" s="30" t="n">
        <f aca="false">C253*(1+('Operating Model'!C$6+F$21))</f>
        <v>2148.5025</v>
      </c>
      <c r="E253" s="30" t="n">
        <f aca="false">D253*(1+('Operating Model'!D$6+F$21))</f>
        <v>2223.7000875</v>
      </c>
      <c r="F253" s="30" t="n">
        <f aca="false">E253*(1+('Operating Model'!E$6+F$21))</f>
        <v>2312.648091</v>
      </c>
      <c r="G253" s="30" t="n">
        <f aca="false">F253*(1+('Operating Model'!F$6+F$21))</f>
        <v>2405.15401464</v>
      </c>
      <c r="H253" s="30" t="n">
        <f aca="false">G253*(1+('Operating Model'!G$6+F$21))</f>
        <v>2501.3601752256</v>
      </c>
    </row>
    <row r="254" customFormat="false" ht="15" hidden="false" customHeight="false" outlineLevel="0" collapsed="false">
      <c r="A254" s="2" t="s">
        <v>691</v>
      </c>
      <c r="C254" s="30" t="n">
        <f aca="false">'Unit Mix'!$G$8+Assumptions!$C$48*Assumptions!$C$47*(C253-'Unit Mix'!$G$8)</f>
        <v>1972.4625</v>
      </c>
      <c r="D254" s="30" t="n">
        <f aca="false">C254+Assumptions!$C$48*Assumptions!$C$47*(D253-C254)</f>
        <v>2020.8735</v>
      </c>
      <c r="E254" s="30" t="n">
        <f aca="false">D254+Assumptions!$C$48*Assumptions!$C$47*(E253-D254)</f>
        <v>2076.6508115625</v>
      </c>
      <c r="F254" s="30" t="n">
        <f aca="false">E254+Assumptions!$C$48*Assumptions!$C$47*(F253-E254)</f>
        <v>2141.55006340781</v>
      </c>
      <c r="G254" s="30" t="n">
        <f aca="false">F254+Assumptions!$C$48*Assumptions!$C$47*(G253-F254)</f>
        <v>2214.04114999666</v>
      </c>
      <c r="H254" s="30" t="n">
        <f aca="false">G254+Assumptions!$C$48*Assumptions!$C$47*(H253-G254)</f>
        <v>2293.05388193462</v>
      </c>
    </row>
    <row r="255" customFormat="false" ht="15" hidden="false" customHeight="false" outlineLevel="0" collapsed="false">
      <c r="A255" s="2" t="s">
        <v>692</v>
      </c>
      <c r="C255" s="30" t="n">
        <f aca="false">'Unit Mix'!$H$9*(1+('Operating Model'!B$6+F$21))</f>
        <v>2244</v>
      </c>
      <c r="D255" s="30" t="n">
        <f aca="false">C255*(1+('Operating Model'!C$6+F$21))</f>
        <v>2305.71</v>
      </c>
      <c r="E255" s="30" t="n">
        <f aca="false">D255*(1+('Operating Model'!D$6+F$21))</f>
        <v>2386.40985</v>
      </c>
      <c r="F255" s="30" t="n">
        <f aca="false">E255*(1+('Operating Model'!E$6+F$21))</f>
        <v>2481.866244</v>
      </c>
      <c r="G255" s="30" t="n">
        <f aca="false">F255*(1+('Operating Model'!F$6+F$21))</f>
        <v>2581.14089376</v>
      </c>
      <c r="H255" s="30" t="n">
        <f aca="false">G255*(1+('Operating Model'!G$6+F$21))</f>
        <v>2684.3865295104</v>
      </c>
    </row>
    <row r="256" customFormat="false" ht="15" hidden="false" customHeight="false" outlineLevel="0" collapsed="false">
      <c r="A256" s="2" t="s">
        <v>693</v>
      </c>
      <c r="C256" s="30" t="n">
        <f aca="false">'Unit Mix'!$G$9+Assumptions!$C$48*Assumptions!$C$47*(C255-'Unit Mix'!$G$9)</f>
        <v>2116.94375</v>
      </c>
      <c r="D256" s="30" t="n">
        <f aca="false">C256+Assumptions!$C$48*Assumptions!$C$47*(D255-C256)</f>
        <v>2168.85446875</v>
      </c>
      <c r="E256" s="30" t="n">
        <f aca="false">D256+Assumptions!$C$48*Assumptions!$C$47*(E255-D256)</f>
        <v>2228.68219859375</v>
      </c>
      <c r="F256" s="30" t="n">
        <f aca="false">E256+Assumptions!$C$48*Assumptions!$C$47*(F255-E256)</f>
        <v>2298.30781108047</v>
      </c>
      <c r="G256" s="30" t="n">
        <f aca="false">F256+Assumptions!$C$48*Assumptions!$C$47*(G255-F256)</f>
        <v>2376.08690881734</v>
      </c>
      <c r="H256" s="30" t="n">
        <f aca="false">G256+Assumptions!$C$48*Assumptions!$C$47*(H255-G256)</f>
        <v>2460.86930450793</v>
      </c>
    </row>
    <row r="257" customFormat="false" ht="15" hidden="false" customHeight="false" outlineLevel="0" collapsed="false">
      <c r="A257" s="2" t="s">
        <v>694</v>
      </c>
      <c r="C257" s="30" t="n">
        <f aca="false">('Unit Mix'!$C$6*('Unit Mix'!$F$6*(1-Assumptions!$C$39)+(C249+Assumptions!$C$37)*Assumptions!$C$39)+'Unit Mix'!$D$6*C250+'Unit Mix'!$C$7*('Unit Mix'!$F$7*(1-Assumptions!$C$39)+(C251+Assumptions!$C$37)*Assumptions!$C$39)+'Unit Mix'!$D$7*C252+'Unit Mix'!$C$8*('Unit Mix'!$F$8*(1-Assumptions!$C$39)+(C253+Assumptions!$C$37)*Assumptions!$C$39)+'Unit Mix'!$D$8*C254+'Unit Mix'!$C$9*('Unit Mix'!$F$9*(1-Assumptions!$C$39)+(C255+Assumptions!$C$37)*Assumptions!$C$39)+'Unit Mix'!$D$9*C256)*12</f>
        <v>2024051.19</v>
      </c>
      <c r="D257" s="30" t="n">
        <f aca="false">('Unit Mix'!$C$6*(D249+Assumptions!$C$37)+'Unit Mix'!$D$6*D250+'Unit Mix'!$C$7*(D251+Assumptions!$C$37)+'Unit Mix'!$D$7*D252+'Unit Mix'!$C$8*(D253+Assumptions!$C$37)+'Unit Mix'!$D$8*D254+'Unit Mix'!$C$9*(D255+Assumptions!$C$37)+'Unit Mix'!$D$9*D256)*12</f>
        <v>2126858.0151</v>
      </c>
      <c r="E257" s="30" t="n">
        <f aca="false">('Unit Mix'!$C$6*(E249+Assumptions!$C$37)+'Unit Mix'!$D$6*E250+'Unit Mix'!$C$7*(E251+Assumptions!$C$37)+'Unit Mix'!$D$7*E252+'Unit Mix'!$C$8*(E253+Assumptions!$C$37)+'Unit Mix'!$D$8*E254+'Unit Mix'!$C$9*(E255+Assumptions!$C$37)+'Unit Mix'!$D$9*E256)*12</f>
        <v>2189729.26227975</v>
      </c>
      <c r="F257" s="30" t="n">
        <f aca="false">('Unit Mix'!$C$6*(F249+Assumptions!$C$37)+'Unit Mix'!$D$6*F250+'Unit Mix'!$C$7*(F251+Assumptions!$C$37)+'Unit Mix'!$D$7*F252+'Unit Mix'!$C$8*(F253+Assumptions!$C$37)+'Unit Mix'!$D$8*F254+'Unit Mix'!$C$9*(F255+Assumptions!$C$37)+'Unit Mix'!$D$9*F256)*12</f>
        <v>2263203.92124911</v>
      </c>
      <c r="G257" s="30" t="n">
        <f aca="false">('Unit Mix'!$C$6*(G249+Assumptions!$C$37)+'Unit Mix'!$D$6*G250+'Unit Mix'!$C$7*(G251+Assumptions!$C$37)+'Unit Mix'!$D$7*G252+'Unit Mix'!$C$8*(G253+Assumptions!$C$37)+'Unit Mix'!$D$8*G254+'Unit Mix'!$C$9*(G255+Assumptions!$C$37)+'Unit Mix'!$D$9*G256)*12</f>
        <v>2343499.05724575</v>
      </c>
      <c r="H257" s="30" t="n">
        <f aca="false">('Unit Mix'!$C$6*(H249+Assumptions!$C$37)+'Unit Mix'!$D$6*H250+'Unit Mix'!$C$7*(H251+Assumptions!$C$37)+'Unit Mix'!$D$7*H252+'Unit Mix'!$C$8*(H253+Assumptions!$C$37)+'Unit Mix'!$D$8*H254+'Unit Mix'!$C$9*(H255+Assumptions!$C$37)+'Unit Mix'!$D$9*H256)*12</f>
        <v>2429820.07941691</v>
      </c>
    </row>
    <row r="258" customFormat="false" ht="15" hidden="false" customHeight="false" outlineLevel="0" collapsed="false">
      <c r="A258" s="2" t="s">
        <v>695</v>
      </c>
      <c r="C258" s="30" t="n">
        <f aca="false">'Operating Model'!B49-'Operating Model'!B42+'Operating Model'!$B$42*1*(1+Assumptions!$C$18+F$21)^('Operating Model'!B$4-1)+((C257-'Operating Model'!B25)+0)*(1-(Assumptions!$C$42+Assumptions!$C$43+Assumptions!$C$44))*(1-Assumptions!$C$75)</f>
        <v>884460.903482</v>
      </c>
      <c r="D258" s="30" t="n">
        <f aca="false">'Operating Model'!C49-'Operating Model'!C42+'Operating Model'!$B$42*1*(1+Assumptions!$C$18+F$21)^('Operating Model'!C$4-1)+((D257-'Operating Model'!C25)+0)*(1-(Assumptions!$C$42+Assumptions!$C$43+Assumptions!$C$44))*(1-Assumptions!$C$75)</f>
        <v>933821.71333278</v>
      </c>
      <c r="E258" s="30" t="n">
        <f aca="false">'Operating Model'!D49-'Operating Model'!D42+'Operating Model'!$B$42*1*(1+Assumptions!$C$18+F$21)^('Operating Model'!D$4-1)+((E257-'Operating Model'!D25)+0)*(1-(Assumptions!$C$42+Assumptions!$C$43+Assumptions!$C$44))*(1-Assumptions!$C$75)</f>
        <v>945604.576849327</v>
      </c>
      <c r="F258" s="30" t="n">
        <f aca="false">'Operating Model'!E49-'Operating Model'!E42+'Operating Model'!$B$42*1*(1+Assumptions!$C$18+F$21)^('Operating Model'!E$4-1)+((F257-'Operating Model'!E25)+0)*(1-(Assumptions!$C$42+Assumptions!$C$43+Assumptions!$C$44))*(1-Assumptions!$C$75)</f>
        <v>964559.566882887</v>
      </c>
      <c r="G258" s="30" t="n">
        <f aca="false">'Operating Model'!F49-'Operating Model'!F42+'Operating Model'!$B$42*1*(1+Assumptions!$C$18+F$21)^('Operating Model'!F$4-1)+((G257-'Operating Model'!F25)+0)*(1-(Assumptions!$C$42+Assumptions!$C$43+Assumptions!$C$44))*(1-Assumptions!$C$75)</f>
        <v>987202.596927516</v>
      </c>
      <c r="H258" s="30" t="n">
        <f aca="false">'Operating Model'!G49-'Operating Model'!G42+'Operating Model'!$B$42*1*(1+Assumptions!$C$18+F$21)^('Operating Model'!G$4-1)+((H257-'Operating Model'!G25)+0)*(1-(Assumptions!$C$42+Assumptions!$C$43+Assumptions!$C$44))*(1-Assumptions!$C$75)</f>
        <v>1012695.01997768</v>
      </c>
      <c r="I258" s="30" t="n">
        <f aca="false">H258-'Operating Model'!$B$42*1*(1+Assumptions!$C$18+F$21)^('Operating Model'!G$4-1)</f>
        <v>1300562.18977194</v>
      </c>
    </row>
    <row r="259" customFormat="false" ht="15" hidden="false" customHeight="false" outlineLevel="0" collapsed="false">
      <c r="A259" s="2" t="s">
        <v>696</v>
      </c>
      <c r="B259" s="30" t="n">
        <f aca="false">Assumptions!$C$7*1</f>
        <v>13800000</v>
      </c>
      <c r="C259" s="30" t="n">
        <f aca="false">MAX(0,(Assumptions!$C$124+Assumptions!$C$127)-Assumptions!$C$132*B259)</f>
        <v>0</v>
      </c>
      <c r="D259" s="30" t="n">
        <f aca="false">Assumptions!$C$124-MAX(0,C259-Assumptions!$C$127)</f>
        <v>5887000</v>
      </c>
      <c r="E259" s="30" t="n">
        <f aca="false">Assumptions!$C$127-MIN(C259,Assumptions!$C$127)</f>
        <v>3563000</v>
      </c>
      <c r="F259" s="30" t="n">
        <f aca="false">B259*(1+Assumptions!$C$10)+'Unit Mix'!$D$18*1+(D259+E259)*Assumptions!$C$131-(D259+E259)</f>
        <v>5095290</v>
      </c>
      <c r="G259" s="30" t="n">
        <f aca="false">IF(Assumptions!$C$130=1,D259+E259,-FV(Assumptions!$C$125,Assumptions!$C$126,PMT(Assumptions!$C$125,Assumptions!$C$111,D259),D259)-FV(Assumptions!$C$128,Assumptions!$C$126,PMT(Assumptions!$C$128,Assumptions!$C$111,E259),E259))</f>
        <v>9450000</v>
      </c>
      <c r="H259" s="30" t="n">
        <f aca="false">MIN(INDEX(C258:H258,Assumptions!$C$126+1)/$A$22*Assumptions!$C$108,INDEX(C258:H258,Assumptions!$C$126+1)/(Assumptions!$C$109*-PMT('Debt (Assumed)'!$B$99,Assumptions!$C$111,1)))</f>
        <v>9113456.8488396</v>
      </c>
      <c r="I259" s="30" t="n">
        <f aca="false">IF(MAX(0,Assumptions!$C$154-Assumptions!$C$126-'Debt (Assumed)'!$B$100)=0,H259,-FV('Debt (Assumed)'!$B$98,MAX(0,Assumptions!$C$154-Assumptions!$C$126-'Debt (Assumed)'!$B$100),PMT('Debt (Assumed)'!$B$98,Assumptions!$C$111,H259),H259))</f>
        <v>9113456.8488396</v>
      </c>
      <c r="J259" s="30" t="n">
        <f aca="false">I259*'Debt (Assumed)'!$B$102</f>
        <v>0</v>
      </c>
      <c r="K259" s="30" t="n">
        <f aca="false">I258/($A$22+Returns!$B$35)*(1-Assumptions!$C$158)-I259-J259</f>
        <v>8311450.48944647</v>
      </c>
      <c r="L259" s="30" t="n">
        <f aca="false">H259*'Debt (Assumed)'!$B$101</f>
        <v>98425.3339674677</v>
      </c>
      <c r="M259" s="30" t="n">
        <f aca="false">(INDEX(C258:H258,Assumptions!$C$126+1)-'Operating Model'!$B$42*1*(1+Assumptions!$C$18+F$21)^Assumptions!$C$126)/($A$22+Returns!$B$35)*(1-Assumptions!$C$158)-G259</f>
        <v>7039014.93116387</v>
      </c>
    </row>
    <row r="260" customFormat="false" ht="15" hidden="false" customHeight="false" outlineLevel="0" collapsed="false">
      <c r="A260" s="2" t="s">
        <v>697</v>
      </c>
      <c r="C260" s="30" t="n">
        <f aca="false">IF('Operating Model'!B$4&lt;=Assumptions!$C$126,IF(Assumptions!$C$130=1,D259*Assumptions!$C$125+E259*Assumptions!$C$128,-PMT(Assumptions!$C$125,Assumptions!$C$111,D259)-PMT(Assumptions!$C$128,Assumptions!$C$111,E259)),IF(Assumptions!$C$136=1,0,IF('Operating Model'!B$4-Assumptions!$C$126&lt;='Debt (Assumed)'!$B$100,H259*'Debt (Assumed)'!$B$98,-PMT('Debt (Assumed)'!$B$98,Assumptions!$C$111,H259))))</f>
        <v>397516</v>
      </c>
      <c r="D260" s="30" t="n">
        <f aca="false">IF('Operating Model'!C$4&lt;=Assumptions!$C$126,IF(Assumptions!$C$130=1,D259*Assumptions!$C$125+E259*Assumptions!$C$128,-PMT(Assumptions!$C$125,Assumptions!$C$111,D259)-PMT(Assumptions!$C$128,Assumptions!$C$111,E259)),IF(Assumptions!$C$136=1,0,IF('Operating Model'!C$4-Assumptions!$C$126&lt;='Debt (Assumed)'!$B$100,H259*'Debt (Assumed)'!$B$98,-PMT('Debt (Assumed)'!$B$98,Assumptions!$C$111,H259))))</f>
        <v>397516</v>
      </c>
      <c r="E260" s="30" t="n">
        <f aca="false">IF('Operating Model'!D$4&lt;=Assumptions!$C$126,IF(Assumptions!$C$130=1,D259*Assumptions!$C$125+E259*Assumptions!$C$128,-PMT(Assumptions!$C$125,Assumptions!$C$111,D259)-PMT(Assumptions!$C$128,Assumptions!$C$111,E259)),IF(Assumptions!$C$136=1,0,IF('Operating Model'!D$4-Assumptions!$C$126&lt;='Debt (Assumed)'!$B$100,H259*'Debt (Assumed)'!$B$98,-PMT('Debt (Assumed)'!$B$98,Assumptions!$C$111,H259))))</f>
        <v>397516</v>
      </c>
      <c r="F260" s="30" t="n">
        <f aca="false">IF('Operating Model'!E$4&lt;=Assumptions!$C$126,IF(Assumptions!$C$130=1,D259*Assumptions!$C$125+E259*Assumptions!$C$128,-PMT(Assumptions!$C$125,Assumptions!$C$111,D259)-PMT(Assumptions!$C$128,Assumptions!$C$111,E259)),IF(Assumptions!$C$136=1,0,IF('Operating Model'!E$4-Assumptions!$C$126&lt;='Debt (Assumed)'!$B$100,H259*'Debt (Assumed)'!$B$98,-PMT('Debt (Assumed)'!$B$98,Assumptions!$C$111,H259))))</f>
        <v>614246.991611789</v>
      </c>
      <c r="G260" s="30" t="n">
        <f aca="false">IF('Operating Model'!F$4&lt;=Assumptions!$C$126,IF(Assumptions!$C$130=1,D259*Assumptions!$C$125+E259*Assumptions!$C$128,-PMT(Assumptions!$C$125,Assumptions!$C$111,D259)-PMT(Assumptions!$C$128,Assumptions!$C$111,E259)),IF(Assumptions!$C$136=1,0,IF('Operating Model'!F$4-Assumptions!$C$126&lt;='Debt (Assumed)'!$B$100,H259*'Debt (Assumed)'!$B$98,-PMT('Debt (Assumed)'!$B$98,Assumptions!$C$111,H259))))</f>
        <v>614246.991611789</v>
      </c>
    </row>
    <row r="261" customFormat="false" ht="15" hidden="false" customHeight="false" outlineLevel="0" collapsed="false">
      <c r="A261" s="2" t="s">
        <v>698</v>
      </c>
      <c r="B261" s="30" t="n">
        <f aca="false">-F259</f>
        <v>-5095290</v>
      </c>
      <c r="C261" s="30" t="n">
        <f aca="false">IF(AND(Assumptions!$C$136=1,'Operating Model'!B$4&gt;Assumptions!$C$126),0,'Operating Model'!B55+(C258-'Operating Model'!B49)-C260-IF('Operating Model'!B$4=Assumptions!$C$126,IF(Assumptions!$C$136=1,-M259,G259-H259+L259),0)+IF(AND(Assumptions!$C$136&lt;&gt;1,'Operating Model'!B$4=Assumptions!$C$154),K259,0))</f>
        <v>457844.903482</v>
      </c>
      <c r="D261" s="30" t="n">
        <f aca="false">IF(AND(Assumptions!$C$136=1,'Operating Model'!C$4&gt;Assumptions!$C$126),0,'Operating Model'!C55+(D258-'Operating Model'!C49)-D260-IF('Operating Model'!C$4=Assumptions!$C$126,IF(Assumptions!$C$136=1,-M259,G259-H259+L259),0)+IF(AND(Assumptions!$C$136&lt;&gt;1,'Operating Model'!C$4=Assumptions!$C$154),K259,0))</f>
        <v>346187.21333278</v>
      </c>
      <c r="E261" s="30" t="n">
        <f aca="false">IF(AND(Assumptions!$C$136=1,'Operating Model'!D$4&gt;Assumptions!$C$126),0,'Operating Model'!D55+(E258-'Operating Model'!D49)-E260-IF('Operating Model'!D$4=Assumptions!$C$126,IF(Assumptions!$C$136=1,-M259,G259-H259+L259),0)+IF(AND(Assumptions!$C$136&lt;&gt;1,'Operating Model'!D$4=Assumptions!$C$154),K259,0))</f>
        <v>81947.4442214627</v>
      </c>
      <c r="F261" s="30" t="n">
        <f aca="false">IF(AND(Assumptions!$C$136=1,'Operating Model'!E$4&gt;Assumptions!$C$126),0,'Operating Model'!E55+(F258-'Operating Model'!E49)-F260-IF('Operating Model'!E$4=Assumptions!$C$126,IF(Assumptions!$C$136=1,-M259,G259-H259+L259),0)+IF(AND(Assumptions!$C$136&lt;&gt;1,'Operating Model'!E$4=Assumptions!$C$154),K259,0))</f>
        <v>318048.885108598</v>
      </c>
      <c r="G261" s="30" t="n">
        <f aca="false">IF(AND(Assumptions!$C$136=1,'Operating Model'!F$4&gt;Assumptions!$C$126),0,'Operating Model'!F55+(G258-'Operating Model'!F49)-G260-IF('Operating Model'!F$4=Assumptions!$C$126,IF(Assumptions!$C$136=1,-M259,G259-H259+L259),0)+IF(AND(Assumptions!$C$136&lt;&gt;1,'Operating Model'!F$4=Assumptions!$C$154),K259,0))</f>
        <v>8651013.175444</v>
      </c>
      <c r="H261" s="22" t="n">
        <f aca="false">IFERROR(IRR(B261:G261),"N/A")</f>
        <v>0.155066193245727</v>
      </c>
      <c r="I261" s="24" t="n">
        <f aca="false">SUM(C261:G261)/F259</f>
        <v>1.93414734423141</v>
      </c>
    </row>
    <row r="263" customFormat="false" ht="15" hidden="false" customHeight="false" outlineLevel="0" collapsed="false">
      <c r="A263" s="2" t="s">
        <v>699</v>
      </c>
      <c r="C263" s="30" t="n">
        <f aca="false">'Unit Mix'!$H$6*(1+('Operating Model'!B$6+B$21))</f>
        <v>1550</v>
      </c>
      <c r="D263" s="30" t="n">
        <f aca="false">C263*(1+('Operating Model'!C$6+B$21))</f>
        <v>1561.625</v>
      </c>
      <c r="E263" s="30" t="n">
        <f aca="false">D263*(1+('Operating Model'!D$6+B$21))</f>
        <v>1585.049375</v>
      </c>
      <c r="F263" s="30" t="n">
        <f aca="false">E263*(1+('Operating Model'!E$6+B$21))</f>
        <v>1616.7503625</v>
      </c>
      <c r="G263" s="30" t="n">
        <f aca="false">F263*(1+('Operating Model'!F$6+B$21))</f>
        <v>1649.08536975</v>
      </c>
      <c r="H263" s="30" t="n">
        <f aca="false">G263*(1+('Operating Model'!G$6+B$21))</f>
        <v>1682.067077145</v>
      </c>
    </row>
    <row r="264" customFormat="false" ht="15" hidden="false" customHeight="false" outlineLevel="0" collapsed="false">
      <c r="A264" s="2" t="s">
        <v>700</v>
      </c>
      <c r="C264" s="30" t="n">
        <f aca="false">'Unit Mix'!$G$6+Assumptions!$C$48*Assumptions!$C$47*(C263-'Unit Mix'!$G$6)</f>
        <v>1480.21875</v>
      </c>
      <c r="D264" s="30" t="n">
        <f aca="false">C264+Assumptions!$C$48*Assumptions!$C$47*(D263-C264)</f>
        <v>1502.60546875</v>
      </c>
      <c r="E264" s="30" t="n">
        <f aca="false">D264+Assumptions!$C$48*Assumptions!$C$47*(E263-D264)</f>
        <v>1525.27754296875</v>
      </c>
      <c r="F264" s="30" t="n">
        <f aca="false">E264+Assumptions!$C$48*Assumptions!$C$47*(F263-E264)</f>
        <v>1550.43256833984</v>
      </c>
      <c r="G264" s="30" t="n">
        <f aca="false">F264+Assumptions!$C$48*Assumptions!$C$47*(G263-F264)</f>
        <v>1577.56208872764</v>
      </c>
      <c r="H264" s="30" t="n">
        <f aca="false">G264+Assumptions!$C$48*Assumptions!$C$47*(H263-G264)</f>
        <v>1606.30096054241</v>
      </c>
    </row>
    <row r="265" customFormat="false" ht="15" hidden="false" customHeight="false" outlineLevel="0" collapsed="false">
      <c r="A265" s="2" t="s">
        <v>701</v>
      </c>
      <c r="C265" s="30" t="n">
        <f aca="false">'Unit Mix'!$H$7*(1+('Operating Model'!B$6+B$21))</f>
        <v>1780</v>
      </c>
      <c r="D265" s="30" t="n">
        <f aca="false">C265*(1+('Operating Model'!C$6+B$21))</f>
        <v>1793.35</v>
      </c>
      <c r="E265" s="30" t="n">
        <f aca="false">D265*(1+('Operating Model'!D$6+B$21))</f>
        <v>1820.25025</v>
      </c>
      <c r="F265" s="30" t="n">
        <f aca="false">E265*(1+('Operating Model'!E$6+B$21))</f>
        <v>1856.655255</v>
      </c>
      <c r="G265" s="30" t="n">
        <f aca="false">F265*(1+('Operating Model'!F$6+B$21))</f>
        <v>1893.7883601</v>
      </c>
      <c r="H265" s="30" t="n">
        <f aca="false">G265*(1+('Operating Model'!G$6+B$21))</f>
        <v>1931.664127302</v>
      </c>
    </row>
    <row r="266" customFormat="false" ht="15" hidden="false" customHeight="false" outlineLevel="0" collapsed="false">
      <c r="A266" s="2" t="s">
        <v>702</v>
      </c>
      <c r="C266" s="30" t="n">
        <f aca="false">'Unit Mix'!$G$7+Assumptions!$C$48*Assumptions!$C$47*(C265-'Unit Mix'!$G$7)</f>
        <v>1702.60625</v>
      </c>
      <c r="D266" s="30" t="n">
        <f aca="false">C266+Assumptions!$C$48*Assumptions!$C$47*(D265-C266)</f>
        <v>1727.56078125</v>
      </c>
      <c r="E266" s="30" t="n">
        <f aca="false">D266+Assumptions!$C$48*Assumptions!$C$47*(E265-D266)</f>
        <v>1753.05038515625</v>
      </c>
      <c r="F266" s="30" t="n">
        <f aca="false">E266+Assumptions!$C$48*Assumptions!$C$47*(F265-E266)</f>
        <v>1781.54172436328</v>
      </c>
      <c r="G266" s="30" t="n">
        <f aca="false">F266+Assumptions!$C$48*Assumptions!$C$47*(G265-F266)</f>
        <v>1812.40954919088</v>
      </c>
      <c r="H266" s="30" t="n">
        <f aca="false">G266+Assumptions!$C$48*Assumptions!$C$47*(H265-G266)</f>
        <v>1845.20455817144</v>
      </c>
    </row>
    <row r="267" customFormat="false" ht="15" hidden="false" customHeight="false" outlineLevel="0" collapsed="false">
      <c r="A267" s="2" t="s">
        <v>703</v>
      </c>
      <c r="C267" s="30" t="n">
        <f aca="false">'Unit Mix'!$H$8*(1+('Operating Model'!B$6+B$21))</f>
        <v>2050</v>
      </c>
      <c r="D267" s="30" t="n">
        <f aca="false">C267*(1+('Operating Model'!C$6+B$21))</f>
        <v>2065.375</v>
      </c>
      <c r="E267" s="30" t="n">
        <f aca="false">D267*(1+('Operating Model'!D$6+B$21))</f>
        <v>2096.355625</v>
      </c>
      <c r="F267" s="30" t="n">
        <f aca="false">E267*(1+('Operating Model'!E$6+B$21))</f>
        <v>2138.2827375</v>
      </c>
      <c r="G267" s="30" t="n">
        <f aca="false">F267*(1+('Operating Model'!F$6+B$21))</f>
        <v>2181.04839225</v>
      </c>
      <c r="H267" s="30" t="n">
        <f aca="false">G267*(1+('Operating Model'!G$6+B$21))</f>
        <v>2224.669360095</v>
      </c>
    </row>
    <row r="268" customFormat="false" ht="15" hidden="false" customHeight="false" outlineLevel="0" collapsed="false">
      <c r="A268" s="2" t="s">
        <v>704</v>
      </c>
      <c r="C268" s="30" t="n">
        <f aca="false">'Unit Mix'!$G$8+Assumptions!$C$48*Assumptions!$C$47*(C267-'Unit Mix'!$G$8)</f>
        <v>1961.1875</v>
      </c>
      <c r="D268" s="30" t="n">
        <f aca="false">C268+Assumptions!$C$48*Assumptions!$C$47*(D267-C268)</f>
        <v>1989.8390625</v>
      </c>
      <c r="E268" s="30" t="n">
        <f aca="false">D268+Assumptions!$C$48*Assumptions!$C$47*(E267-D268)</f>
        <v>2019.1311171875</v>
      </c>
      <c r="F268" s="30" t="n">
        <f aca="false">E268+Assumptions!$C$48*Assumptions!$C$47*(F267-E268)</f>
        <v>2051.89781277344</v>
      </c>
      <c r="G268" s="30" t="n">
        <f aca="false">F268+Assumptions!$C$48*Assumptions!$C$47*(G267-F268)</f>
        <v>2087.41422212949</v>
      </c>
      <c r="H268" s="30" t="n">
        <f aca="false">G268+Assumptions!$C$48*Assumptions!$C$47*(H267-G268)</f>
        <v>2125.15938507001</v>
      </c>
    </row>
    <row r="269" customFormat="false" ht="15" hidden="false" customHeight="false" outlineLevel="0" collapsed="false">
      <c r="A269" s="2" t="s">
        <v>705</v>
      </c>
      <c r="C269" s="30" t="n">
        <f aca="false">'Unit Mix'!$H$9*(1+('Operating Model'!B$6+B$21))</f>
        <v>2200</v>
      </c>
      <c r="D269" s="30" t="n">
        <f aca="false">C269*(1+('Operating Model'!C$6+B$21))</f>
        <v>2216.5</v>
      </c>
      <c r="E269" s="30" t="n">
        <f aca="false">D269*(1+('Operating Model'!D$6+B$21))</f>
        <v>2249.7475</v>
      </c>
      <c r="F269" s="30" t="n">
        <f aca="false">E269*(1+('Operating Model'!E$6+B$21))</f>
        <v>2294.74245</v>
      </c>
      <c r="G269" s="30" t="n">
        <f aca="false">F269*(1+('Operating Model'!F$6+B$21))</f>
        <v>2340.637299</v>
      </c>
      <c r="H269" s="30" t="n">
        <f aca="false">G269*(1+('Operating Model'!G$6+B$21))</f>
        <v>2387.45004498</v>
      </c>
    </row>
    <row r="270" customFormat="false" ht="15" hidden="false" customHeight="false" outlineLevel="0" collapsed="false">
      <c r="A270" s="2" t="s">
        <v>706</v>
      </c>
      <c r="C270" s="30" t="n">
        <f aca="false">'Unit Mix'!$G$9+Assumptions!$C$48*Assumptions!$C$47*(C269-'Unit Mix'!$G$9)</f>
        <v>2104.84375</v>
      </c>
      <c r="D270" s="30" t="n">
        <f aca="false">C270+Assumptions!$C$48*Assumptions!$C$47*(D269-C270)</f>
        <v>2135.54921875</v>
      </c>
      <c r="E270" s="30" t="n">
        <f aca="false">D270+Assumptions!$C$48*Assumptions!$C$47*(E269-D270)</f>
        <v>2166.95374609375</v>
      </c>
      <c r="F270" s="30" t="n">
        <f aca="false">E270+Assumptions!$C$48*Assumptions!$C$47*(F269-E270)</f>
        <v>2202.09563966797</v>
      </c>
      <c r="G270" s="30" t="n">
        <f aca="false">F270+Assumptions!$C$48*Assumptions!$C$47*(G269-F270)</f>
        <v>2240.19459598428</v>
      </c>
      <c r="H270" s="30" t="n">
        <f aca="false">G270+Assumptions!$C$48*Assumptions!$C$47*(H269-G270)</f>
        <v>2280.6898444581</v>
      </c>
    </row>
    <row r="271" customFormat="false" ht="15" hidden="false" customHeight="false" outlineLevel="0" collapsed="false">
      <c r="A271" s="2" t="s">
        <v>707</v>
      </c>
      <c r="C271" s="30" t="n">
        <f aca="false">('Unit Mix'!$C$6*('Unit Mix'!$F$6*(1-Assumptions!$C$39)+(C263+Assumptions!$C$37)*Assumptions!$C$39)+'Unit Mix'!$D$6*C264+'Unit Mix'!$C$7*('Unit Mix'!$F$7*(1-Assumptions!$C$39)+(C265+Assumptions!$C$37)*Assumptions!$C$39)+'Unit Mix'!$D$7*C266+'Unit Mix'!$C$8*('Unit Mix'!$F$8*(1-Assumptions!$C$39)+(C267+Assumptions!$C$37)*Assumptions!$C$39)+'Unit Mix'!$D$8*C268+'Unit Mix'!$C$9*('Unit Mix'!$F$9*(1-Assumptions!$C$39)+(C269+Assumptions!$C$37)*Assumptions!$C$39)+'Unit Mix'!$D$9*C270)*12</f>
        <v>2010015.45</v>
      </c>
      <c r="D271" s="30" t="n">
        <f aca="false">('Unit Mix'!$C$6*(D263+Assumptions!$C$37)+'Unit Mix'!$D$6*D264+'Unit Mix'!$C$7*(D265+Assumptions!$C$37)+'Unit Mix'!$D$7*D266+'Unit Mix'!$C$8*(D267+Assumptions!$C$37)+'Unit Mix'!$D$8*D268+'Unit Mix'!$C$9*(D269+Assumptions!$C$37)+'Unit Mix'!$D$9*D270)*12</f>
        <v>2081427.15375</v>
      </c>
      <c r="E271" s="30" t="n">
        <f aca="false">('Unit Mix'!$C$6*(E263+Assumptions!$C$37)+'Unit Mix'!$D$6*E264+'Unit Mix'!$C$7*(E265+Assumptions!$C$37)+'Unit Mix'!$D$7*E266+'Unit Mix'!$C$8*(E267+Assumptions!$C$37)+'Unit Mix'!$D$8*E268+'Unit Mix'!$C$9*(E269+Assumptions!$C$37)+'Unit Mix'!$D$9*E270)*12</f>
        <v>2112330.62825625</v>
      </c>
      <c r="F271" s="30" t="n">
        <f aca="false">('Unit Mix'!$C$6*(F263+Assumptions!$C$37)+'Unit Mix'!$D$6*F264+'Unit Mix'!$C$7*(F265+Assumptions!$C$37)+'Unit Mix'!$D$7*F266+'Unit Mix'!$C$8*(F267+Assumptions!$C$37)+'Unit Mix'!$D$8*F268+'Unit Mix'!$C$9*(F269+Assumptions!$C$37)+'Unit Mix'!$D$9*F270)*12</f>
        <v>2148707.56972153</v>
      </c>
      <c r="G271" s="30" t="n">
        <f aca="false">('Unit Mix'!$C$6*(G263+Assumptions!$C$37)+'Unit Mix'!$D$6*G264+'Unit Mix'!$C$7*(G265+Assumptions!$C$37)+'Unit Mix'!$D$7*G266+'Unit Mix'!$C$8*(G267+Assumptions!$C$37)+'Unit Mix'!$D$8*G268+'Unit Mix'!$C$9*(G269+Assumptions!$C$37)+'Unit Mix'!$D$9*G270)*12</f>
        <v>2187426.20956858</v>
      </c>
      <c r="H271" s="30" t="n">
        <f aca="false">('Unit Mix'!$C$6*(H263+Assumptions!$C$37)+'Unit Mix'!$D$6*H264+'Unit Mix'!$C$7*(H265+Assumptions!$C$37)+'Unit Mix'!$D$7*H266+'Unit Mix'!$C$8*(H267+Assumptions!$C$37)+'Unit Mix'!$D$8*H268+'Unit Mix'!$C$9*(H269+Assumptions!$C$37)+'Unit Mix'!$D$9*H270)*12</f>
        <v>2228089.48788809</v>
      </c>
    </row>
    <row r="272" customFormat="false" ht="15" hidden="false" customHeight="false" outlineLevel="0" collapsed="false">
      <c r="A272" s="2" t="s">
        <v>708</v>
      </c>
      <c r="C272" s="30" t="n">
        <f aca="false">'Operating Model'!B49-'Operating Model'!B42+'Operating Model'!$B$42*1*(1+Assumptions!$C$18+B$21)^('Operating Model'!B$4-1)+((C271-'Operating Model'!B25)+0)*(1-(Assumptions!$C$42+Assumptions!$C$43+Assumptions!$C$44))*(1-Assumptions!$C$75)</f>
        <v>871999.97351</v>
      </c>
      <c r="D272" s="30" t="n">
        <f aca="false">'Operating Model'!C49-'Operating Model'!C42+'Operating Model'!$B$42*1*(1+Assumptions!$C$18+B$21)^('Operating Model'!C$4-1)+((D271-'Operating Model'!C25)+0)*(1-(Assumptions!$C$42+Assumptions!$C$43+Assumptions!$C$44))*(1-Assumptions!$C$75)</f>
        <v>898220.31122625</v>
      </c>
      <c r="E272" s="30" t="n">
        <f aca="false">'Operating Model'!D49-'Operating Model'!D42+'Operating Model'!$B$42*1*(1+Assumptions!$C$18+B$21)^('Operating Model'!D$4-1)+((E271-'Operating Model'!D25)+0)*(1-(Assumptions!$C$42+Assumptions!$C$43+Assumptions!$C$44))*(1-Assumptions!$C$75)</f>
        <v>886638.229759264</v>
      </c>
      <c r="F272" s="30" t="n">
        <f aca="false">'Operating Model'!E49-'Operating Model'!E42+'Operating Model'!$B$42*1*(1+Assumptions!$C$18+B$21)^('Operating Model'!E$4-1)+((F271-'Operating Model'!E25)+0)*(1-(Assumptions!$C$42+Assumptions!$C$43+Assumptions!$C$44))*(1-Assumptions!$C$75)</f>
        <v>877971.086711183</v>
      </c>
      <c r="G272" s="30" t="n">
        <f aca="false">'Operating Model'!F49-'Operating Model'!F42+'Operating Model'!$B$42*1*(1+Assumptions!$C$18+B$21)^('Operating Model'!F$4-1)+((G271-'Operating Model'!F25)+0)*(1-(Assumptions!$C$42+Assumptions!$C$43+Assumptions!$C$44))*(1-Assumptions!$C$75)</f>
        <v>869326.718695636</v>
      </c>
      <c r="H272" s="30" t="n">
        <f aca="false">'Operating Model'!G49-'Operating Model'!G42+'Operating Model'!$B$42*1*(1+Assumptions!$C$18+B$21)^('Operating Model'!G$4-1)+((H271-'Operating Model'!G25)+0)*(1-(Assumptions!$C$42+Assumptions!$C$43+Assumptions!$C$44))*(1-Assumptions!$C$75)</f>
        <v>860233.815784451</v>
      </c>
      <c r="I272" s="30" t="n">
        <f aca="false">H272-'Operating Model'!$B$42*1*(1+Assumptions!$C$18+B$21)^('Operating Model'!G$4-1)</f>
        <v>1121465.77061265</v>
      </c>
    </row>
    <row r="273" customFormat="false" ht="15" hidden="false" customHeight="false" outlineLevel="0" collapsed="false">
      <c r="A273" s="2" t="s">
        <v>709</v>
      </c>
      <c r="B273" s="30" t="n">
        <f aca="false">Assumptions!$C$7*1</f>
        <v>13800000</v>
      </c>
      <c r="C273" s="30" t="n">
        <f aca="false">MAX(0,(Assumptions!$C$124+Assumptions!$C$127)-Assumptions!$C$132*B273)</f>
        <v>0</v>
      </c>
      <c r="D273" s="30" t="n">
        <f aca="false">Assumptions!$C$124-MAX(0,C273-Assumptions!$C$127)</f>
        <v>5887000</v>
      </c>
      <c r="E273" s="30" t="n">
        <f aca="false">Assumptions!$C$127-MIN(C273,Assumptions!$C$127)</f>
        <v>3563000</v>
      </c>
      <c r="F273" s="30" t="n">
        <f aca="false">B273*(1+Assumptions!$C$10)+'Unit Mix'!$D$18*1+(D273+E273)*Assumptions!$C$131-(D273+E273)</f>
        <v>5095290</v>
      </c>
      <c r="G273" s="30" t="n">
        <f aca="false">IF(Assumptions!$C$130=1,D273+E273,-FV(Assumptions!$C$125,Assumptions!$C$126,PMT(Assumptions!$C$125,Assumptions!$C$111,D273),D273)-FV(Assumptions!$C$128,Assumptions!$C$126,PMT(Assumptions!$C$128,Assumptions!$C$111,E273),E273))</f>
        <v>9450000</v>
      </c>
      <c r="H273" s="30" t="n">
        <f aca="false">MIN(INDEX(C272:H272,Assumptions!$C$126+1)/$A$23*Assumptions!$C$108,INDEX(C272:H272,Assumptions!$C$126+1)/(Assumptions!$C$109*-PMT('Debt (Assumed)'!$B$99,Assumptions!$C$111,1)))</f>
        <v>8295342.13125759</v>
      </c>
      <c r="I273" s="30" t="n">
        <f aca="false">IF(MAX(0,Assumptions!$C$154-Assumptions!$C$126-'Debt (Assumed)'!$B$100)=0,H273,-FV('Debt (Assumed)'!$B$98,MAX(0,Assumptions!$C$154-Assumptions!$C$126-'Debt (Assumed)'!$B$100),PMT('Debt (Assumed)'!$B$98,Assumptions!$C$111,H273),H273))</f>
        <v>8295342.13125759</v>
      </c>
      <c r="J273" s="30" t="n">
        <f aca="false">I273*'Debt (Assumed)'!$B$102</f>
        <v>0</v>
      </c>
      <c r="K273" s="30" t="n">
        <f aca="false">I272/($A$23+Returns!$B$35)*(1-Assumptions!$C$158)-I273-J273</f>
        <v>5768661.10374489</v>
      </c>
      <c r="L273" s="30" t="n">
        <f aca="false">H273*'Debt (Assumed)'!$B$101</f>
        <v>89589.695017582</v>
      </c>
      <c r="M273" s="30" t="n">
        <f aca="false">(INDEX(C272:H272,Assumptions!$C$126+1)-'Operating Model'!$B$42*1*(1+Assumptions!$C$18+B$21)^Assumptions!$C$126)/($A$23+Returns!$B$35)*(1-Assumptions!$C$158)-G273</f>
        <v>4709228.9832568</v>
      </c>
    </row>
    <row r="274" customFormat="false" ht="15" hidden="false" customHeight="false" outlineLevel="0" collapsed="false">
      <c r="A274" s="2" t="s">
        <v>710</v>
      </c>
      <c r="C274" s="30" t="n">
        <f aca="false">IF('Operating Model'!B$4&lt;=Assumptions!$C$126,IF(Assumptions!$C$130=1,D273*Assumptions!$C$125+E273*Assumptions!$C$128,-PMT(Assumptions!$C$125,Assumptions!$C$111,D273)-PMT(Assumptions!$C$128,Assumptions!$C$111,E273)),IF(Assumptions!$C$136=1,0,IF('Operating Model'!B$4-Assumptions!$C$126&lt;='Debt (Assumed)'!$B$100,H273*'Debt (Assumed)'!$B$98,-PMT('Debt (Assumed)'!$B$98,Assumptions!$C$111,H273))))</f>
        <v>397516</v>
      </c>
      <c r="D274" s="30" t="n">
        <f aca="false">IF('Operating Model'!C$4&lt;=Assumptions!$C$126,IF(Assumptions!$C$130=1,D273*Assumptions!$C$125+E273*Assumptions!$C$128,-PMT(Assumptions!$C$125,Assumptions!$C$111,D273)-PMT(Assumptions!$C$128,Assumptions!$C$111,E273)),IF(Assumptions!$C$136=1,0,IF('Operating Model'!C$4-Assumptions!$C$126&lt;='Debt (Assumed)'!$B$100,H273*'Debt (Assumed)'!$B$98,-PMT('Debt (Assumed)'!$B$98,Assumptions!$C$111,H273))))</f>
        <v>397516</v>
      </c>
      <c r="E274" s="30" t="n">
        <f aca="false">IF('Operating Model'!D$4&lt;=Assumptions!$C$126,IF(Assumptions!$C$130=1,D273*Assumptions!$C$125+E273*Assumptions!$C$128,-PMT(Assumptions!$C$125,Assumptions!$C$111,D273)-PMT(Assumptions!$C$128,Assumptions!$C$111,E273)),IF(Assumptions!$C$136=1,0,IF('Operating Model'!D$4-Assumptions!$C$126&lt;='Debt (Assumed)'!$B$100,H273*'Debt (Assumed)'!$B$98,-PMT('Debt (Assumed)'!$B$98,Assumptions!$C$111,H273))))</f>
        <v>397516</v>
      </c>
      <c r="F274" s="30" t="n">
        <f aca="false">IF('Operating Model'!E$4&lt;=Assumptions!$C$126,IF(Assumptions!$C$130=1,D273*Assumptions!$C$125+E273*Assumptions!$C$128,-PMT(Assumptions!$C$125,Assumptions!$C$111,D273)-PMT(Assumptions!$C$128,Assumptions!$C$111,E273)),IF(Assumptions!$C$136=1,0,IF('Operating Model'!E$4-Assumptions!$C$126&lt;='Debt (Assumed)'!$B$100,H273*'Debt (Assumed)'!$B$98,-PMT('Debt (Assumed)'!$B$98,Assumptions!$C$111,H273))))</f>
        <v>559106.059646761</v>
      </c>
      <c r="G274" s="30" t="n">
        <f aca="false">IF('Operating Model'!F$4&lt;=Assumptions!$C$126,IF(Assumptions!$C$130=1,D273*Assumptions!$C$125+E273*Assumptions!$C$128,-PMT(Assumptions!$C$125,Assumptions!$C$111,D273)-PMT(Assumptions!$C$128,Assumptions!$C$111,E273)),IF(Assumptions!$C$136=1,0,IF('Operating Model'!F$4-Assumptions!$C$126&lt;='Debt (Assumed)'!$B$100,H273*'Debt (Assumed)'!$B$98,-PMT('Debt (Assumed)'!$B$98,Assumptions!$C$111,H273))))</f>
        <v>559106.059646761</v>
      </c>
    </row>
    <row r="275" customFormat="false" ht="15" hidden="false" customHeight="false" outlineLevel="0" collapsed="false">
      <c r="A275" s="2" t="s">
        <v>711</v>
      </c>
      <c r="B275" s="30" t="n">
        <f aca="false">-F273</f>
        <v>-5095290</v>
      </c>
      <c r="C275" s="30" t="n">
        <f aca="false">IF(AND(Assumptions!$C$136=1,'Operating Model'!B$4&gt;Assumptions!$C$126),0,'Operating Model'!B55+(C272-'Operating Model'!B49)-C274-IF('Operating Model'!B$4=Assumptions!$C$126,IF(Assumptions!$C$136=1,-M273,G273-H273+L273),0)+IF(AND(Assumptions!$C$136&lt;&gt;1,'Operating Model'!B$4=Assumptions!$C$154),K273,0))</f>
        <v>445383.97351</v>
      </c>
      <c r="D275" s="30" t="n">
        <f aca="false">IF(AND(Assumptions!$C$136=1,'Operating Model'!C$4&gt;Assumptions!$C$126),0,'Operating Model'!C55+(D272-'Operating Model'!C49)-D274-IF('Operating Model'!C$4=Assumptions!$C$126,IF(Assumptions!$C$136=1,-M273,G273-H273+L273),0)+IF(AND(Assumptions!$C$136&lt;&gt;1,'Operating Model'!C$4=Assumptions!$C$154),K273,0))</f>
        <v>310585.81122625</v>
      </c>
      <c r="E275" s="30" t="n">
        <f aca="false">IF(AND(Assumptions!$C$136=1,'Operating Model'!D$4&gt;Assumptions!$C$126),0,'Operating Model'!D55+(E272-'Operating Model'!D49)-E274-IF('Operating Model'!D$4=Assumptions!$C$126,IF(Assumptions!$C$136=1,-M273,G273-H273+L273),0)+IF(AND(Assumptions!$C$136&lt;&gt;1,'Operating Model'!D$4=Assumptions!$C$154),K273,0))</f>
        <v>-786297.981500731</v>
      </c>
      <c r="F275" s="30" t="n">
        <f aca="false">IF(AND(Assumptions!$C$136=1,'Operating Model'!E$4&gt;Assumptions!$C$126),0,'Operating Model'!E55+(F272-'Operating Model'!E49)-F274-IF('Operating Model'!E$4=Assumptions!$C$126,IF(Assumptions!$C$136=1,-M273,G273-H273+L273),0)+IF(AND(Assumptions!$C$136&lt;&gt;1,'Operating Model'!E$4=Assumptions!$C$154),K273,0))</f>
        <v>286601.336901922</v>
      </c>
      <c r="G275" s="30" t="n">
        <f aca="false">IF(AND(Assumptions!$C$136=1,'Operating Model'!F$4&gt;Assumptions!$C$126),0,'Operating Model'!F55+(G272-'Operating Model'!F49)-G274-IF('Operating Model'!F$4=Assumptions!$C$126,IF(Assumptions!$C$136=1,-M273,G273-H273+L273),0)+IF(AND(Assumptions!$C$136&lt;&gt;1,'Operating Model'!F$4=Assumptions!$C$154),K273,0))</f>
        <v>6045488.84347558</v>
      </c>
      <c r="H275" s="22" t="n">
        <f aca="false">IFERROR(IRR(B275:G275),"N/A")</f>
        <v>0.0457737733414446</v>
      </c>
      <c r="I275" s="24" t="n">
        <f aca="false">SUM(C275:G275)/F273</f>
        <v>1.23678180900656</v>
      </c>
    </row>
    <row r="277" customFormat="false" ht="15" hidden="false" customHeight="false" outlineLevel="0" collapsed="false">
      <c r="A277" s="2" t="s">
        <v>712</v>
      </c>
      <c r="C277" s="30" t="n">
        <f aca="false">'Unit Mix'!$H$6*(1+('Operating Model'!B$6+C$21))</f>
        <v>1557.75</v>
      </c>
      <c r="D277" s="30" t="n">
        <f aca="false">C277*(1+('Operating Model'!C$6+C$21))</f>
        <v>1577.221875</v>
      </c>
      <c r="E277" s="30" t="n">
        <f aca="false">D277*(1+('Operating Model'!D$6+C$21))</f>
        <v>1608.7663125</v>
      </c>
      <c r="F277" s="30" t="n">
        <f aca="false">E277*(1+('Operating Model'!E$6+C$21))</f>
        <v>1648.9854703125</v>
      </c>
      <c r="G277" s="30" t="n">
        <f aca="false">F277*(1+('Operating Model'!F$6+C$21))</f>
        <v>1690.21010707031</v>
      </c>
      <c r="H277" s="30" t="n">
        <f aca="false">G277*(1+('Operating Model'!G$6+C$21))</f>
        <v>1732.46535974707</v>
      </c>
    </row>
    <row r="278" customFormat="false" ht="15" hidden="false" customHeight="false" outlineLevel="0" collapsed="false">
      <c r="A278" s="2" t="s">
        <v>713</v>
      </c>
      <c r="C278" s="30" t="n">
        <f aca="false">'Unit Mix'!$G$6+Assumptions!$C$48*Assumptions!$C$47*(C277-'Unit Mix'!$G$6)</f>
        <v>1482.35</v>
      </c>
      <c r="D278" s="30" t="n">
        <f aca="false">C278+Assumptions!$C$48*Assumptions!$C$47*(D277-C278)</f>
        <v>1508.439765625</v>
      </c>
      <c r="E278" s="30" t="n">
        <f aca="false">D278+Assumptions!$C$48*Assumptions!$C$47*(E277-D278)</f>
        <v>1536.02956601562</v>
      </c>
      <c r="F278" s="30" t="n">
        <f aca="false">E278+Assumptions!$C$48*Assumptions!$C$47*(F277-E278)</f>
        <v>1567.09243969727</v>
      </c>
      <c r="G278" s="30" t="n">
        <f aca="false">F278+Assumptions!$C$48*Assumptions!$C$47*(G277-F278)</f>
        <v>1600.94979822485</v>
      </c>
      <c r="H278" s="30" t="n">
        <f aca="false">G278+Assumptions!$C$48*Assumptions!$C$47*(H277-G278)</f>
        <v>1637.11657764346</v>
      </c>
    </row>
    <row r="279" customFormat="false" ht="15" hidden="false" customHeight="false" outlineLevel="0" collapsed="false">
      <c r="A279" s="2" t="s">
        <v>714</v>
      </c>
      <c r="C279" s="30" t="n">
        <f aca="false">'Unit Mix'!$H$7*(1+('Operating Model'!B$6+C$21))</f>
        <v>1788.9</v>
      </c>
      <c r="D279" s="30" t="n">
        <f aca="false">C279*(1+('Operating Model'!C$6+C$21))</f>
        <v>1811.26125</v>
      </c>
      <c r="E279" s="30" t="n">
        <f aca="false">D279*(1+('Operating Model'!D$6+C$21))</f>
        <v>1847.486475</v>
      </c>
      <c r="F279" s="30" t="n">
        <f aca="false">E279*(1+('Operating Model'!E$6+C$21))</f>
        <v>1893.673636875</v>
      </c>
      <c r="G279" s="30" t="n">
        <f aca="false">F279*(1+('Operating Model'!F$6+C$21))</f>
        <v>1941.01547779687</v>
      </c>
      <c r="H279" s="30" t="n">
        <f aca="false">G279*(1+('Operating Model'!G$6+C$21))</f>
        <v>1989.5408647418</v>
      </c>
    </row>
    <row r="280" customFormat="false" ht="15" hidden="false" customHeight="false" outlineLevel="0" collapsed="false">
      <c r="A280" s="2" t="s">
        <v>715</v>
      </c>
      <c r="C280" s="30" t="n">
        <f aca="false">'Unit Mix'!$G$7+Assumptions!$C$48*Assumptions!$C$47*(C279-'Unit Mix'!$G$7)</f>
        <v>1705.05375</v>
      </c>
      <c r="D280" s="30" t="n">
        <f aca="false">C280+Assumptions!$C$48*Assumptions!$C$47*(D279-C280)</f>
        <v>1734.2608125</v>
      </c>
      <c r="E280" s="30" t="n">
        <f aca="false">D280+Assumptions!$C$48*Assumptions!$C$47*(E279-D280)</f>
        <v>1765.3978696875</v>
      </c>
      <c r="F280" s="30" t="n">
        <f aca="false">E280+Assumptions!$C$48*Assumptions!$C$47*(F279-E280)</f>
        <v>1800.67370566406</v>
      </c>
      <c r="G280" s="30" t="n">
        <f aca="false">F280+Assumptions!$C$48*Assumptions!$C$47*(G279-F280)</f>
        <v>1839.26769300059</v>
      </c>
      <c r="H280" s="30" t="n">
        <f aca="false">G280+Assumptions!$C$48*Assumptions!$C$47*(H279-G280)</f>
        <v>1880.59281522942</v>
      </c>
    </row>
    <row r="281" customFormat="false" ht="15" hidden="false" customHeight="false" outlineLevel="0" collapsed="false">
      <c r="A281" s="2" t="s">
        <v>716</v>
      </c>
      <c r="C281" s="30" t="n">
        <f aca="false">'Unit Mix'!$H$8*(1+('Operating Model'!B$6+C$21))</f>
        <v>2060.25</v>
      </c>
      <c r="D281" s="30" t="n">
        <f aca="false">C281*(1+('Operating Model'!C$6+C$21))</f>
        <v>2086.003125</v>
      </c>
      <c r="E281" s="30" t="n">
        <f aca="false">D281*(1+('Operating Model'!D$6+C$21))</f>
        <v>2127.7231875</v>
      </c>
      <c r="F281" s="30" t="n">
        <f aca="false">E281*(1+('Operating Model'!E$6+C$21))</f>
        <v>2180.9162671875</v>
      </c>
      <c r="G281" s="30" t="n">
        <f aca="false">F281*(1+('Operating Model'!F$6+C$21))</f>
        <v>2235.43917386719</v>
      </c>
      <c r="H281" s="30" t="n">
        <f aca="false">G281*(1+('Operating Model'!G$6+C$21))</f>
        <v>2291.32515321387</v>
      </c>
    </row>
    <row r="282" customFormat="false" ht="15" hidden="false" customHeight="false" outlineLevel="0" collapsed="false">
      <c r="A282" s="2" t="s">
        <v>717</v>
      </c>
      <c r="C282" s="30" t="n">
        <f aca="false">'Unit Mix'!$G$8+Assumptions!$C$48*Assumptions!$C$47*(C281-'Unit Mix'!$G$8)</f>
        <v>1964.00625</v>
      </c>
      <c r="D282" s="30" t="n">
        <f aca="false">C282+Assumptions!$C$48*Assumptions!$C$47*(D281-C282)</f>
        <v>1997.555390625</v>
      </c>
      <c r="E282" s="30" t="n">
        <f aca="false">D282+Assumptions!$C$48*Assumptions!$C$47*(E281-D282)</f>
        <v>2033.35153476562</v>
      </c>
      <c r="F282" s="30" t="n">
        <f aca="false">E282+Assumptions!$C$48*Assumptions!$C$47*(F281-E282)</f>
        <v>2073.93183618164</v>
      </c>
      <c r="G282" s="30" t="n">
        <f aca="false">F282+Assumptions!$C$48*Assumptions!$C$47*(G281-F282)</f>
        <v>2118.34635404517</v>
      </c>
      <c r="H282" s="30" t="n">
        <f aca="false">G282+Assumptions!$C$48*Assumptions!$C$47*(H281-G282)</f>
        <v>2165.91552381656</v>
      </c>
    </row>
    <row r="283" customFormat="false" ht="15" hidden="false" customHeight="false" outlineLevel="0" collapsed="false">
      <c r="A283" s="2" t="s">
        <v>718</v>
      </c>
      <c r="C283" s="30" t="n">
        <f aca="false">'Unit Mix'!$H$9*(1+('Operating Model'!B$6+C$21))</f>
        <v>2211</v>
      </c>
      <c r="D283" s="30" t="n">
        <f aca="false">C283*(1+('Operating Model'!C$6+C$21))</f>
        <v>2238.6375</v>
      </c>
      <c r="E283" s="30" t="n">
        <f aca="false">D283*(1+('Operating Model'!D$6+C$21))</f>
        <v>2283.41025</v>
      </c>
      <c r="F283" s="30" t="n">
        <f aca="false">E283*(1+('Operating Model'!E$6+C$21))</f>
        <v>2340.49550625</v>
      </c>
      <c r="G283" s="30" t="n">
        <f aca="false">F283*(1+('Operating Model'!F$6+C$21))</f>
        <v>2399.00789390625</v>
      </c>
      <c r="H283" s="30" t="n">
        <f aca="false">G283*(1+('Operating Model'!G$6+C$21))</f>
        <v>2458.98309125391</v>
      </c>
    </row>
    <row r="284" customFormat="false" ht="15" hidden="false" customHeight="false" outlineLevel="0" collapsed="false">
      <c r="A284" s="2" t="s">
        <v>719</v>
      </c>
      <c r="C284" s="30" t="n">
        <f aca="false">'Unit Mix'!$G$9+Assumptions!$C$48*Assumptions!$C$47*(C283-'Unit Mix'!$G$9)</f>
        <v>2107.86875</v>
      </c>
      <c r="D284" s="30" t="n">
        <f aca="false">C284+Assumptions!$C$48*Assumptions!$C$47*(D283-C284)</f>
        <v>2143.83015625</v>
      </c>
      <c r="E284" s="30" t="n">
        <f aca="false">D284+Assumptions!$C$48*Assumptions!$C$47*(E283-D284)</f>
        <v>2182.21468203125</v>
      </c>
      <c r="F284" s="30" t="n">
        <f aca="false">E284+Assumptions!$C$48*Assumptions!$C$47*(F283-E284)</f>
        <v>2225.74190869141</v>
      </c>
      <c r="G284" s="30" t="n">
        <f aca="false">F284+Assumptions!$C$48*Assumptions!$C$47*(G283-F284)</f>
        <v>2273.39005462549</v>
      </c>
      <c r="H284" s="30" t="n">
        <f aca="false">G284+Assumptions!$C$48*Assumptions!$C$47*(H283-G284)</f>
        <v>2324.4281396983</v>
      </c>
    </row>
    <row r="285" customFormat="false" ht="15" hidden="false" customHeight="false" outlineLevel="0" collapsed="false">
      <c r="A285" s="2" t="s">
        <v>720</v>
      </c>
      <c r="C285" s="30" t="n">
        <f aca="false">('Unit Mix'!$C$6*('Unit Mix'!$F$6*(1-Assumptions!$C$39)+(C277+Assumptions!$C$37)*Assumptions!$C$39)+'Unit Mix'!$D$6*C278+'Unit Mix'!$C$7*('Unit Mix'!$F$7*(1-Assumptions!$C$39)+(C279+Assumptions!$C$37)*Assumptions!$C$39)+'Unit Mix'!$D$7*C280+'Unit Mix'!$C$8*('Unit Mix'!$F$8*(1-Assumptions!$C$39)+(C281+Assumptions!$C$37)*Assumptions!$C$39)+'Unit Mix'!$D$8*C282+'Unit Mix'!$C$9*('Unit Mix'!$F$9*(1-Assumptions!$C$39)+(C283+Assumptions!$C$37)*Assumptions!$C$39)+'Unit Mix'!$D$9*C284)*12</f>
        <v>2013524.385</v>
      </c>
      <c r="D285" s="30" t="n">
        <f aca="false">('Unit Mix'!$C$6*(D277+Assumptions!$C$37)+'Unit Mix'!$D$6*D278+'Unit Mix'!$C$7*(D279+Assumptions!$C$37)+'Unit Mix'!$D$7*D280+'Unit Mix'!$C$8*(D281+Assumptions!$C$37)+'Unit Mix'!$D$8*D282+'Unit Mix'!$C$9*(D283+Assumptions!$C$37)+'Unit Mix'!$D$9*D284)*12</f>
        <v>2092712.6645625</v>
      </c>
      <c r="E285" s="30" t="n">
        <f aca="false">('Unit Mix'!$C$6*(E277+Assumptions!$C$37)+'Unit Mix'!$D$6*E278+'Unit Mix'!$C$7*(E279+Assumptions!$C$37)+'Unit Mix'!$D$7*E280+'Unit Mix'!$C$8*(E281+Assumptions!$C$37)+'Unit Mix'!$D$8*E282+'Unit Mix'!$C$9*(E283+Assumptions!$C$37)+'Unit Mix'!$D$9*E284)*12</f>
        <v>2131436.27241656</v>
      </c>
      <c r="F285" s="30" t="n">
        <f aca="false">('Unit Mix'!$C$6*(F277+Assumptions!$C$37)+'Unit Mix'!$D$6*F278+'Unit Mix'!$C$7*(F279+Assumptions!$C$37)+'Unit Mix'!$D$7*F280+'Unit Mix'!$C$8*(F281+Assumptions!$C$37)+'Unit Mix'!$D$8*F282+'Unit Mix'!$C$9*(F283+Assumptions!$C$37)+'Unit Mix'!$D$9*F284)*12</f>
        <v>2176791.41787691</v>
      </c>
      <c r="G285" s="30" t="n">
        <f aca="false">('Unit Mix'!$C$6*(G277+Assumptions!$C$37)+'Unit Mix'!$D$6*G278+'Unit Mix'!$C$7*(G279+Assumptions!$C$37)+'Unit Mix'!$D$7*G280+'Unit Mix'!$C$8*(G281+Assumptions!$C$37)+'Unit Mix'!$D$8*G282+'Unit Mix'!$C$9*(G283+Assumptions!$C$37)+'Unit Mix'!$D$9*G284)*12</f>
        <v>2225461.40134504</v>
      </c>
      <c r="H285" s="30" t="n">
        <f aca="false">('Unit Mix'!$C$6*(H277+Assumptions!$C$37)+'Unit Mix'!$D$6*H278+'Unit Mix'!$C$7*(H279+Assumptions!$C$37)+'Unit Mix'!$D$7*H280+'Unit Mix'!$C$8*(H281+Assumptions!$C$37)+'Unit Mix'!$D$8*H282+'Unit Mix'!$C$9*(H283+Assumptions!$C$37)+'Unit Mix'!$D$9*H284)*12</f>
        <v>2276929.32994404</v>
      </c>
    </row>
    <row r="286" customFormat="false" ht="15" hidden="false" customHeight="false" outlineLevel="0" collapsed="false">
      <c r="A286" s="2" t="s">
        <v>721</v>
      </c>
      <c r="C286" s="30" t="n">
        <f aca="false">'Operating Model'!B49-'Operating Model'!B42+'Operating Model'!$B$42*1*(1+Assumptions!$C$18+C$21)^('Operating Model'!B$4-1)+((C285-'Operating Model'!B25)+0)*(1-(Assumptions!$C$42+Assumptions!$C$43+Assumptions!$C$44))*(1-Assumptions!$C$75)</f>
        <v>875115.206003</v>
      </c>
      <c r="D286" s="30" t="n">
        <f aca="false">'Operating Model'!C49-'Operating Model'!C42+'Operating Model'!$B$42*1*(1+Assumptions!$C$18+C$21)^('Operating Model'!C$4-1)+((D285-'Operating Model'!C25)+0)*(1-(Assumptions!$C$42+Assumptions!$C$43+Assumptions!$C$44))*(1-Assumptions!$C$75)</f>
        <v>907056.558575587</v>
      </c>
      <c r="E286" s="30" t="n">
        <f aca="false">'Operating Model'!D49-'Operating Model'!D42+'Operating Model'!$B$42*1*(1+Assumptions!$C$18+C$21)^('Operating Model'!D$4-1)+((E285-'Operating Model'!D25)+0)*(1-(Assumptions!$C$42+Assumptions!$C$43+Assumptions!$C$44))*(1-Assumptions!$C$75)</f>
        <v>901180.92603304</v>
      </c>
      <c r="F286" s="30" t="n">
        <f aca="false">'Operating Model'!E49-'Operating Model'!E42+'Operating Model'!$B$42*1*(1+Assumptions!$C$18+C$21)^('Operating Model'!E$4-1)+((F285-'Operating Model'!E25)+0)*(1-(Assumptions!$C$42+Assumptions!$C$43+Assumptions!$C$44))*(1-Assumptions!$C$75)</f>
        <v>899193.326598828</v>
      </c>
      <c r="G286" s="30" t="n">
        <f aca="false">'Operating Model'!F49-'Operating Model'!F42+'Operating Model'!$B$42*1*(1+Assumptions!$C$18+C$21)^('Operating Model'!F$4-1)+((G285-'Operating Model'!F25)+0)*(1-(Assumptions!$C$42+Assumptions!$C$43+Assumptions!$C$44))*(1-Assumptions!$C$75)</f>
        <v>898035.556439248</v>
      </c>
      <c r="H286" s="30" t="n">
        <f aca="false">'Operating Model'!G49-'Operating Model'!G42+'Operating Model'!$B$42*1*(1+Assumptions!$C$18+C$21)^('Operating Model'!G$4-1)+((H285-'Operating Model'!G25)+0)*(1-(Assumptions!$C$42+Assumptions!$C$43+Assumptions!$C$44))*(1-Assumptions!$C$75)</f>
        <v>897128.003110122</v>
      </c>
      <c r="I286" s="30" t="n">
        <f aca="false">H286-'Operating Model'!$B$42*1*(1+Assumptions!$C$18+C$21)^('Operating Model'!G$4-1)</f>
        <v>1164825.78238993</v>
      </c>
    </row>
    <row r="287" customFormat="false" ht="15" hidden="false" customHeight="false" outlineLevel="0" collapsed="false">
      <c r="A287" s="2" t="s">
        <v>722</v>
      </c>
      <c r="B287" s="30" t="n">
        <f aca="false">Assumptions!$C$7*1</f>
        <v>13800000</v>
      </c>
      <c r="C287" s="30" t="n">
        <f aca="false">MAX(0,(Assumptions!$C$124+Assumptions!$C$127)-Assumptions!$C$132*B287)</f>
        <v>0</v>
      </c>
      <c r="D287" s="30" t="n">
        <f aca="false">Assumptions!$C$124-MAX(0,C287-Assumptions!$C$127)</f>
        <v>5887000</v>
      </c>
      <c r="E287" s="30" t="n">
        <f aca="false">Assumptions!$C$127-MIN(C287,Assumptions!$C$127)</f>
        <v>3563000</v>
      </c>
      <c r="F287" s="30" t="n">
        <f aca="false">B287*(1+Assumptions!$C$10)+'Unit Mix'!$D$18*1+(D287+E287)*Assumptions!$C$131-(D287+E287)</f>
        <v>5095290</v>
      </c>
      <c r="G287" s="30" t="n">
        <f aca="false">IF(Assumptions!$C$130=1,D287+E287,-FV(Assumptions!$C$125,Assumptions!$C$126,PMT(Assumptions!$C$125,Assumptions!$C$111,D287),D287)-FV(Assumptions!$C$128,Assumptions!$C$126,PMT(Assumptions!$C$128,Assumptions!$C$111,E287),E287))</f>
        <v>9450000</v>
      </c>
      <c r="H287" s="30" t="n">
        <f aca="false">MIN(INDEX(C286:H286,Assumptions!$C$126+1)/$A$23*Assumptions!$C$108,INDEX(C286:H286,Assumptions!$C$126+1)/(Assumptions!$C$109*-PMT('Debt (Assumed)'!$B$99,Assumptions!$C$111,1)))</f>
        <v>8495856.41165273</v>
      </c>
      <c r="I287" s="30" t="n">
        <f aca="false">IF(MAX(0,Assumptions!$C$154-Assumptions!$C$126-'Debt (Assumed)'!$B$100)=0,H287,-FV('Debt (Assumed)'!$B$98,MAX(0,Assumptions!$C$154-Assumptions!$C$126-'Debt (Assumed)'!$B$100),PMT('Debt (Assumed)'!$B$98,Assumptions!$C$111,H287),H287))</f>
        <v>8495856.41165273</v>
      </c>
      <c r="J287" s="30" t="n">
        <f aca="false">I287*'Debt (Assumed)'!$B$102</f>
        <v>0</v>
      </c>
      <c r="K287" s="30" t="n">
        <f aca="false">I286/($A$23+Returns!$B$35)*(1-Assumptions!$C$158)-I287-J287</f>
        <v>6111913.17082565</v>
      </c>
      <c r="L287" s="30" t="n">
        <f aca="false">H287*'Debt (Assumed)'!$B$101</f>
        <v>91755.2492458495</v>
      </c>
      <c r="M287" s="30" t="n">
        <f aca="false">(INDEX(C286:H286,Assumptions!$C$126+1)-'Operating Model'!$B$42*1*(1+Assumptions!$C$18+C$21)^Assumptions!$C$126)/($A$23+Returns!$B$35)*(1-Assumptions!$C$158)-G287</f>
        <v>5021905.08726685</v>
      </c>
    </row>
    <row r="288" customFormat="false" ht="15" hidden="false" customHeight="false" outlineLevel="0" collapsed="false">
      <c r="A288" s="2" t="s">
        <v>723</v>
      </c>
      <c r="C288" s="30" t="n">
        <f aca="false">IF('Operating Model'!B$4&lt;=Assumptions!$C$126,IF(Assumptions!$C$130=1,D287*Assumptions!$C$125+E287*Assumptions!$C$128,-PMT(Assumptions!$C$125,Assumptions!$C$111,D287)-PMT(Assumptions!$C$128,Assumptions!$C$111,E287)),IF(Assumptions!$C$136=1,0,IF('Operating Model'!B$4-Assumptions!$C$126&lt;='Debt (Assumed)'!$B$100,H287*'Debt (Assumed)'!$B$98,-PMT('Debt (Assumed)'!$B$98,Assumptions!$C$111,H287))))</f>
        <v>397516</v>
      </c>
      <c r="D288" s="30" t="n">
        <f aca="false">IF('Operating Model'!C$4&lt;=Assumptions!$C$126,IF(Assumptions!$C$130=1,D287*Assumptions!$C$125+E287*Assumptions!$C$128,-PMT(Assumptions!$C$125,Assumptions!$C$111,D287)-PMT(Assumptions!$C$128,Assumptions!$C$111,E287)),IF(Assumptions!$C$136=1,0,IF('Operating Model'!C$4-Assumptions!$C$126&lt;='Debt (Assumed)'!$B$100,H287*'Debt (Assumed)'!$B$98,-PMT('Debt (Assumed)'!$B$98,Assumptions!$C$111,H287))))</f>
        <v>397516</v>
      </c>
      <c r="E288" s="30" t="n">
        <f aca="false">IF('Operating Model'!D$4&lt;=Assumptions!$C$126,IF(Assumptions!$C$130=1,D287*Assumptions!$C$125+E287*Assumptions!$C$128,-PMT(Assumptions!$C$125,Assumptions!$C$111,D287)-PMT(Assumptions!$C$128,Assumptions!$C$111,E287)),IF(Assumptions!$C$136=1,0,IF('Operating Model'!D$4-Assumptions!$C$126&lt;='Debt (Assumed)'!$B$100,H287*'Debt (Assumed)'!$B$98,-PMT('Debt (Assumed)'!$B$98,Assumptions!$C$111,H287))))</f>
        <v>397516</v>
      </c>
      <c r="F288" s="30" t="n">
        <f aca="false">IF('Operating Model'!E$4&lt;=Assumptions!$C$126,IF(Assumptions!$C$130=1,D287*Assumptions!$C$125+E287*Assumptions!$C$128,-PMT(Assumptions!$C$125,Assumptions!$C$111,D287)-PMT(Assumptions!$C$128,Assumptions!$C$111,E287)),IF(Assumptions!$C$136=1,0,IF('Operating Model'!E$4-Assumptions!$C$126&lt;='Debt (Assumed)'!$B$100,H287*'Debt (Assumed)'!$B$98,-PMT('Debt (Assumed)'!$B$98,Assumptions!$C$111,H287))))</f>
        <v>572620.722145394</v>
      </c>
      <c r="G288" s="30" t="n">
        <f aca="false">IF('Operating Model'!F$4&lt;=Assumptions!$C$126,IF(Assumptions!$C$130=1,D287*Assumptions!$C$125+E287*Assumptions!$C$128,-PMT(Assumptions!$C$125,Assumptions!$C$111,D287)-PMT(Assumptions!$C$128,Assumptions!$C$111,E287)),IF(Assumptions!$C$136=1,0,IF('Operating Model'!F$4-Assumptions!$C$126&lt;='Debt (Assumed)'!$B$100,H287*'Debt (Assumed)'!$B$98,-PMT('Debt (Assumed)'!$B$98,Assumptions!$C$111,H287))))</f>
        <v>572620.722145394</v>
      </c>
    </row>
    <row r="289" customFormat="false" ht="15" hidden="false" customHeight="false" outlineLevel="0" collapsed="false">
      <c r="A289" s="2" t="s">
        <v>724</v>
      </c>
      <c r="B289" s="30" t="n">
        <f aca="false">-F287</f>
        <v>-5095290</v>
      </c>
      <c r="C289" s="30" t="n">
        <f aca="false">IF(AND(Assumptions!$C$136=1,'Operating Model'!B$4&gt;Assumptions!$C$126),0,'Operating Model'!B55+(C286-'Operating Model'!B49)-C288-IF('Operating Model'!B$4=Assumptions!$C$126,IF(Assumptions!$C$136=1,-M287,G287-H287+L287),0)+IF(AND(Assumptions!$C$136&lt;&gt;1,'Operating Model'!B$4=Assumptions!$C$154),K287,0))</f>
        <v>448499.206003</v>
      </c>
      <c r="D289" s="30" t="n">
        <f aca="false">IF(AND(Assumptions!$C$136=1,'Operating Model'!C$4&gt;Assumptions!$C$126),0,'Operating Model'!C55+(D286-'Operating Model'!C49)-D288-IF('Operating Model'!C$4=Assumptions!$C$126,IF(Assumptions!$C$136=1,-M287,G287-H287+L287),0)+IF(AND(Assumptions!$C$136&lt;&gt;1,'Operating Model'!C$4=Assumptions!$C$154),K287,0))</f>
        <v>319422.058575587</v>
      </c>
      <c r="E289" s="30" t="n">
        <f aca="false">IF(AND(Assumptions!$C$136=1,'Operating Model'!D$4&gt;Assumptions!$C$126),0,'Operating Model'!D55+(E286-'Operating Model'!D49)-E288-IF('Operating Model'!D$4=Assumptions!$C$126,IF(Assumptions!$C$136=1,-M287,G287-H287+L287),0)+IF(AND(Assumptions!$C$136&lt;&gt;1,'Operating Model'!D$4=Assumptions!$C$154),K287,0))</f>
        <v>-573406.559060077</v>
      </c>
      <c r="F289" s="30" t="n">
        <f aca="false">IF(AND(Assumptions!$C$136=1,'Operating Model'!E$4&gt;Assumptions!$C$126),0,'Operating Model'!E55+(F286-'Operating Model'!E49)-F288-IF('Operating Model'!E$4=Assumptions!$C$126,IF(Assumptions!$C$136=1,-M287,G287-H287+L287),0)+IF(AND(Assumptions!$C$136&lt;&gt;1,'Operating Model'!E$4=Assumptions!$C$154),K287,0))</f>
        <v>294308.914290934</v>
      </c>
      <c r="G289" s="30" t="n">
        <f aca="false">IF(AND(Assumptions!$C$136=1,'Operating Model'!F$4&gt;Assumptions!$C$126),0,'Operating Model'!F55+(G286-'Operating Model'!F49)-G288-IF('Operating Model'!F$4=Assumptions!$C$126,IF(Assumptions!$C$136=1,-M287,G287-H287+L287),0)+IF(AND(Assumptions!$C$136&lt;&gt;1,'Operating Model'!F$4=Assumptions!$C$154),K287,0))</f>
        <v>6403935.08580132</v>
      </c>
      <c r="H289" s="22" t="n">
        <f aca="false">IFERROR(IRR(B289:G289),"N/A")</f>
        <v>0.0665991152285584</v>
      </c>
      <c r="I289" s="24" t="n">
        <f aca="false">SUM(C289:G289)/F287</f>
        <v>1.35277063829748</v>
      </c>
    </row>
    <row r="291" customFormat="false" ht="15" hidden="false" customHeight="false" outlineLevel="0" collapsed="false">
      <c r="A291" s="2" t="s">
        <v>725</v>
      </c>
      <c r="C291" s="30" t="n">
        <f aca="false">'Unit Mix'!$H$6*(1+('Operating Model'!B$6+D$21))</f>
        <v>1565.5</v>
      </c>
      <c r="D291" s="30" t="n">
        <f aca="false">C291*(1+('Operating Model'!C$6+D$21))</f>
        <v>1592.89625</v>
      </c>
      <c r="E291" s="30" t="n">
        <f aca="false">D291*(1+('Operating Model'!D$6+D$21))</f>
        <v>1632.71865625</v>
      </c>
      <c r="F291" s="30" t="n">
        <f aca="false">E291*(1+('Operating Model'!E$6+D$21))</f>
        <v>1681.7002159375</v>
      </c>
      <c r="G291" s="30" t="n">
        <f aca="false">F291*(1+('Operating Model'!F$6+D$21))</f>
        <v>1732.15122241563</v>
      </c>
      <c r="H291" s="30" t="n">
        <f aca="false">G291*(1+('Operating Model'!G$6+D$21))</f>
        <v>1784.11575908809</v>
      </c>
    </row>
    <row r="292" customFormat="false" ht="15" hidden="false" customHeight="false" outlineLevel="0" collapsed="false">
      <c r="A292" s="2" t="s">
        <v>726</v>
      </c>
      <c r="C292" s="30" t="n">
        <f aca="false">'Unit Mix'!$G$6+Assumptions!$C$48*Assumptions!$C$47*(C291-'Unit Mix'!$G$6)</f>
        <v>1484.48125</v>
      </c>
      <c r="D292" s="30" t="n">
        <f aca="false">C292+Assumptions!$C$48*Assumptions!$C$47*(D291-C292)</f>
        <v>1514.295375</v>
      </c>
      <c r="E292" s="30" t="n">
        <f aca="false">D292+Assumptions!$C$48*Assumptions!$C$47*(E291-D292)</f>
        <v>1546.86177734375</v>
      </c>
      <c r="F292" s="30" t="n">
        <f aca="false">E292+Assumptions!$C$48*Assumptions!$C$47*(F291-E292)</f>
        <v>1583.94234795703</v>
      </c>
      <c r="G292" s="30" t="n">
        <f aca="false">F292+Assumptions!$C$48*Assumptions!$C$47*(G291-F292)</f>
        <v>1624.69978843314</v>
      </c>
      <c r="H292" s="30" t="n">
        <f aca="false">G292+Assumptions!$C$48*Assumptions!$C$47*(H291-G292)</f>
        <v>1668.53918036326</v>
      </c>
    </row>
    <row r="293" customFormat="false" ht="15" hidden="false" customHeight="false" outlineLevel="0" collapsed="false">
      <c r="A293" s="2" t="s">
        <v>727</v>
      </c>
      <c r="C293" s="30" t="n">
        <f aca="false">'Unit Mix'!$H$7*(1+('Operating Model'!B$6+D$21))</f>
        <v>1797.8</v>
      </c>
      <c r="D293" s="30" t="n">
        <f aca="false">C293*(1+('Operating Model'!C$6+D$21))</f>
        <v>1829.2615</v>
      </c>
      <c r="E293" s="30" t="n">
        <f aca="false">D293*(1+('Operating Model'!D$6+D$21))</f>
        <v>1874.9930375</v>
      </c>
      <c r="F293" s="30" t="n">
        <f aca="false">E293*(1+('Operating Model'!E$6+D$21))</f>
        <v>1931.242828625</v>
      </c>
      <c r="G293" s="30" t="n">
        <f aca="false">F293*(1+('Operating Model'!F$6+D$21))</f>
        <v>1989.18011348375</v>
      </c>
      <c r="H293" s="30" t="n">
        <f aca="false">G293*(1+('Operating Model'!G$6+D$21))</f>
        <v>2048.85551688826</v>
      </c>
    </row>
    <row r="294" customFormat="false" ht="15" hidden="false" customHeight="false" outlineLevel="0" collapsed="false">
      <c r="A294" s="2" t="s">
        <v>728</v>
      </c>
      <c r="C294" s="30" t="n">
        <f aca="false">'Unit Mix'!$G$7+Assumptions!$C$48*Assumptions!$C$47*(C293-'Unit Mix'!$G$7)</f>
        <v>1707.50125</v>
      </c>
      <c r="D294" s="30" t="n">
        <f aca="false">C294+Assumptions!$C$48*Assumptions!$C$47*(D293-C294)</f>
        <v>1740.98531875</v>
      </c>
      <c r="E294" s="30" t="n">
        <f aca="false">D294+Assumptions!$C$48*Assumptions!$C$47*(E293-D294)</f>
        <v>1777.83744140625</v>
      </c>
      <c r="F294" s="30" t="n">
        <f aca="false">E294+Assumptions!$C$48*Assumptions!$C$47*(F293-E294)</f>
        <v>1820.02392289141</v>
      </c>
      <c r="G294" s="30" t="n">
        <f aca="false">F294+Assumptions!$C$48*Assumptions!$C$47*(G293-F294)</f>
        <v>1866.5418753043</v>
      </c>
      <c r="H294" s="30" t="n">
        <f aca="false">G294+Assumptions!$C$48*Assumptions!$C$47*(H293-G294)</f>
        <v>1916.67812673989</v>
      </c>
    </row>
    <row r="295" customFormat="false" ht="15" hidden="false" customHeight="false" outlineLevel="0" collapsed="false">
      <c r="A295" s="2" t="s">
        <v>729</v>
      </c>
      <c r="C295" s="30" t="n">
        <f aca="false">'Unit Mix'!$H$8*(1+('Operating Model'!B$6+D$21))</f>
        <v>2070.5</v>
      </c>
      <c r="D295" s="30" t="n">
        <f aca="false">C295*(1+('Operating Model'!C$6+D$21))</f>
        <v>2106.73375</v>
      </c>
      <c r="E295" s="30" t="n">
        <f aca="false">D295*(1+('Operating Model'!D$6+D$21))</f>
        <v>2159.40209375</v>
      </c>
      <c r="F295" s="30" t="n">
        <f aca="false">E295*(1+('Operating Model'!E$6+D$21))</f>
        <v>2224.1841565625</v>
      </c>
      <c r="G295" s="30" t="n">
        <f aca="false">F295*(1+('Operating Model'!F$6+D$21))</f>
        <v>2290.90968125938</v>
      </c>
      <c r="H295" s="30" t="n">
        <f aca="false">G295*(1+('Operating Model'!G$6+D$21))</f>
        <v>2359.63697169716</v>
      </c>
    </row>
    <row r="296" customFormat="false" ht="15" hidden="false" customHeight="false" outlineLevel="0" collapsed="false">
      <c r="A296" s="2" t="s">
        <v>730</v>
      </c>
      <c r="C296" s="30" t="n">
        <f aca="false">'Unit Mix'!$G$8+Assumptions!$C$48*Assumptions!$C$47*(C295-'Unit Mix'!$G$8)</f>
        <v>1966.825</v>
      </c>
      <c r="D296" s="30" t="n">
        <f aca="false">C296+Assumptions!$C$48*Assumptions!$C$47*(D295-C296)</f>
        <v>2005.29990625</v>
      </c>
      <c r="E296" s="30" t="n">
        <f aca="false">D296+Assumptions!$C$48*Assumptions!$C$47*(E295-D296)</f>
        <v>2047.6780078125</v>
      </c>
      <c r="F296" s="30" t="n">
        <f aca="false">E296+Assumptions!$C$48*Assumptions!$C$47*(F295-E296)</f>
        <v>2096.21719871875</v>
      </c>
      <c r="G296" s="30" t="n">
        <f aca="false">F296+Assumptions!$C$48*Assumptions!$C$47*(G295-F296)</f>
        <v>2149.75763141742</v>
      </c>
      <c r="H296" s="30" t="n">
        <f aca="false">G296+Assumptions!$C$48*Assumptions!$C$47*(H295-G296)</f>
        <v>2207.47444999435</v>
      </c>
    </row>
    <row r="297" customFormat="false" ht="15" hidden="false" customHeight="false" outlineLevel="0" collapsed="false">
      <c r="A297" s="2" t="s">
        <v>731</v>
      </c>
      <c r="C297" s="30" t="n">
        <f aca="false">'Unit Mix'!$H$9*(1+('Operating Model'!B$6+D$21))</f>
        <v>2222</v>
      </c>
      <c r="D297" s="30" t="n">
        <f aca="false">C297*(1+('Operating Model'!C$6+D$21))</f>
        <v>2260.885</v>
      </c>
      <c r="E297" s="30" t="n">
        <f aca="false">D297*(1+('Operating Model'!D$6+D$21))</f>
        <v>2317.407125</v>
      </c>
      <c r="F297" s="30" t="n">
        <f aca="false">E297*(1+('Operating Model'!E$6+D$21))</f>
        <v>2386.92933875</v>
      </c>
      <c r="G297" s="30" t="n">
        <f aca="false">F297*(1+('Operating Model'!F$6+D$21))</f>
        <v>2458.5372189125</v>
      </c>
      <c r="H297" s="30" t="n">
        <f aca="false">G297*(1+('Operating Model'!G$6+D$21))</f>
        <v>2532.29333547988</v>
      </c>
    </row>
    <row r="298" customFormat="false" ht="15" hidden="false" customHeight="false" outlineLevel="0" collapsed="false">
      <c r="A298" s="2" t="s">
        <v>732</v>
      </c>
      <c r="C298" s="30" t="n">
        <f aca="false">'Unit Mix'!$G$9+Assumptions!$C$48*Assumptions!$C$47*(C297-'Unit Mix'!$G$9)</f>
        <v>2110.89375</v>
      </c>
      <c r="D298" s="30" t="n">
        <f aca="false">C298+Assumptions!$C$48*Assumptions!$C$47*(D297-C298)</f>
        <v>2152.14134375</v>
      </c>
      <c r="E298" s="30" t="n">
        <f aca="false">D298+Assumptions!$C$48*Assumptions!$C$47*(E297-D298)</f>
        <v>2197.58943359375</v>
      </c>
      <c r="F298" s="30" t="n">
        <f aca="false">E298+Assumptions!$C$48*Assumptions!$C$47*(F297-E298)</f>
        <v>2249.65790751172</v>
      </c>
      <c r="G298" s="30" t="n">
        <f aca="false">F298+Assumptions!$C$48*Assumptions!$C$47*(G297-F298)</f>
        <v>2307.09971814693</v>
      </c>
      <c r="H298" s="30" t="n">
        <f aca="false">G298+Assumptions!$C$48*Assumptions!$C$47*(H297-G298)</f>
        <v>2369.02796291349</v>
      </c>
    </row>
    <row r="299" customFormat="false" ht="15" hidden="false" customHeight="false" outlineLevel="0" collapsed="false">
      <c r="A299" s="2" t="s">
        <v>733</v>
      </c>
      <c r="C299" s="30" t="n">
        <f aca="false">('Unit Mix'!$C$6*('Unit Mix'!$F$6*(1-Assumptions!$C$39)+(C291+Assumptions!$C$37)*Assumptions!$C$39)+'Unit Mix'!$D$6*C292+'Unit Mix'!$C$7*('Unit Mix'!$F$7*(1-Assumptions!$C$39)+(C293+Assumptions!$C$37)*Assumptions!$C$39)+'Unit Mix'!$D$7*C294+'Unit Mix'!$C$8*('Unit Mix'!$F$8*(1-Assumptions!$C$39)+(C295+Assumptions!$C$37)*Assumptions!$C$39)+'Unit Mix'!$D$8*C296+'Unit Mix'!$C$9*('Unit Mix'!$F$9*(1-Assumptions!$C$39)+(C297+Assumptions!$C$37)*Assumptions!$C$39)+'Unit Mix'!$D$9*C298)*12</f>
        <v>2017033.32</v>
      </c>
      <c r="D299" s="30" t="n">
        <f aca="false">('Unit Mix'!$C$6*(D291+Assumptions!$C$37)+'Unit Mix'!$D$6*D292+'Unit Mix'!$C$7*(D293+Assumptions!$C$37)+'Unit Mix'!$D$7*D294+'Unit Mix'!$C$8*(D295+Assumptions!$C$37)+'Unit Mix'!$D$8*D296+'Unit Mix'!$C$9*(D297+Assumptions!$C$37)+'Unit Mix'!$D$9*D298)*12</f>
        <v>2104046.311725</v>
      </c>
      <c r="E299" s="30" t="n">
        <f aca="false">('Unit Mix'!$C$6*(E291+Assumptions!$C$37)+'Unit Mix'!$D$6*E292+'Unit Mix'!$C$7*(E293+Assumptions!$C$37)+'Unit Mix'!$D$7*E294+'Unit Mix'!$C$8*(E295+Assumptions!$C$37)+'Unit Mix'!$D$8*E296+'Unit Mix'!$C$9*(E297+Assumptions!$C$37)+'Unit Mix'!$D$9*E298)*12</f>
        <v>2150704.11144375</v>
      </c>
      <c r="F299" s="30" t="n">
        <f aca="false">('Unit Mix'!$C$6*(F291+Assumptions!$C$37)+'Unit Mix'!$D$6*F292+'Unit Mix'!$C$7*(F293+Assumptions!$C$37)+'Unit Mix'!$D$7*F294+'Unit Mix'!$C$8*(F295+Assumptions!$C$37)+'Unit Mix'!$D$8*F296+'Unit Mix'!$C$9*(F297+Assumptions!$C$37)+'Unit Mix'!$D$9*F298)*12</f>
        <v>2205233.30328326</v>
      </c>
      <c r="G299" s="30" t="n">
        <f aca="false">('Unit Mix'!$C$6*(G291+Assumptions!$C$37)+'Unit Mix'!$D$6*G292+'Unit Mix'!$C$7*(G293+Assumptions!$C$37)+'Unit Mix'!$D$7*G294+'Unit Mix'!$C$8*(G295+Assumptions!$C$37)+'Unit Mix'!$D$8*G296+'Unit Mix'!$C$9*(G297+Assumptions!$C$37)+'Unit Mix'!$D$9*G298)*12</f>
        <v>2264146.15204151</v>
      </c>
      <c r="H299" s="30" t="n">
        <f aca="false">('Unit Mix'!$C$6*(H291+Assumptions!$C$37)+'Unit Mix'!$D$6*H292+'Unit Mix'!$C$7*(H293+Assumptions!$C$37)+'Unit Mix'!$D$7*H294+'Unit Mix'!$C$8*(H295+Assumptions!$C$37)+'Unit Mix'!$D$8*H296+'Unit Mix'!$C$9*(H297+Assumptions!$C$37)+'Unit Mix'!$D$9*H298)*12</f>
        <v>2326818.52760607</v>
      </c>
    </row>
    <row r="300" customFormat="false" ht="15" hidden="false" customHeight="false" outlineLevel="0" collapsed="false">
      <c r="A300" s="2" t="s">
        <v>734</v>
      </c>
      <c r="C300" s="30" t="n">
        <f aca="false">'Operating Model'!B49-'Operating Model'!B42+'Operating Model'!$B$42*1*(1+Assumptions!$C$18+D$21)^('Operating Model'!B$4-1)+((C299-'Operating Model'!B25)+0)*(1-(Assumptions!$C$42+Assumptions!$C$43+Assumptions!$C$44))*(1-Assumptions!$C$75)</f>
        <v>878230.438496</v>
      </c>
      <c r="D300" s="30" t="n">
        <f aca="false">'Operating Model'!C49-'Operating Model'!C42+'Operating Model'!$B$42*1*(1+Assumptions!$C$18+D$21)^('Operating Model'!C$4-1)+((D299-'Operating Model'!C25)+0)*(1-(Assumptions!$C$42+Assumptions!$C$43+Assumptions!$C$44))*(1-Assumptions!$C$75)</f>
        <v>915935.541376455</v>
      </c>
      <c r="E300" s="30" t="n">
        <f aca="false">'Operating Model'!D49-'Operating Model'!D42+'Operating Model'!$B$42*1*(1+Assumptions!$C$18+D$21)^('Operating Model'!D$4-1)+((E299-'Operating Model'!D25)+0)*(1-(Assumptions!$C$42+Assumptions!$C$43+Assumptions!$C$44))*(1-Assumptions!$C$75)</f>
        <v>915855.788618126</v>
      </c>
      <c r="F300" s="30" t="n">
        <f aca="false">'Operating Model'!E49-'Operating Model'!E42+'Operating Model'!$B$42*1*(1+Assumptions!$C$18+D$21)^('Operating Model'!E$4-1)+((F299-'Operating Model'!E25)+0)*(1-(Assumptions!$C$42+Assumptions!$C$43+Assumptions!$C$44))*(1-Assumptions!$C$75)</f>
        <v>920697.053811519</v>
      </c>
      <c r="G300" s="30" t="n">
        <f aca="false">'Operating Model'!F49-'Operating Model'!F42+'Operating Model'!$B$42*1*(1+Assumptions!$C$18+D$21)^('Operating Model'!F$4-1)+((G299-'Operating Model'!F25)+0)*(1-(Assumptions!$C$42+Assumptions!$C$43+Assumptions!$C$44))*(1-Assumptions!$C$75)</f>
        <v>927246.497096234</v>
      </c>
      <c r="H300" s="30" t="n">
        <f aca="false">'Operating Model'!G49-'Operating Model'!G42+'Operating Model'!$B$42*1*(1+Assumptions!$C$18+D$21)^('Operating Model'!G$4-1)+((H299-'Operating Model'!G25)+0)*(1-(Assumptions!$C$42+Assumptions!$C$43+Assumptions!$C$44))*(1-Assumptions!$C$75)</f>
        <v>934826.407527038</v>
      </c>
      <c r="I300" s="30" t="n">
        <f aca="false">H300-'Operating Model'!$B$42*1*(1+Assumptions!$C$18+D$21)^('Operating Model'!G$4-1)</f>
        <v>1209117.41207427</v>
      </c>
    </row>
    <row r="301" customFormat="false" ht="15" hidden="false" customHeight="false" outlineLevel="0" collapsed="false">
      <c r="A301" s="2" t="s">
        <v>735</v>
      </c>
      <c r="B301" s="30" t="n">
        <f aca="false">Assumptions!$C$7*1</f>
        <v>13800000</v>
      </c>
      <c r="C301" s="30" t="n">
        <f aca="false">MAX(0,(Assumptions!$C$124+Assumptions!$C$127)-Assumptions!$C$132*B301)</f>
        <v>0</v>
      </c>
      <c r="D301" s="30" t="n">
        <f aca="false">Assumptions!$C$124-MAX(0,C301-Assumptions!$C$127)</f>
        <v>5887000</v>
      </c>
      <c r="E301" s="30" t="n">
        <f aca="false">Assumptions!$C$127-MIN(C301,Assumptions!$C$127)</f>
        <v>3563000</v>
      </c>
      <c r="F301" s="30" t="n">
        <f aca="false">B301*(1+Assumptions!$C$10)+'Unit Mix'!$D$18*1+(D301+E301)*Assumptions!$C$131-(D301+E301)</f>
        <v>5095290</v>
      </c>
      <c r="G301" s="30" t="n">
        <f aca="false">IF(Assumptions!$C$130=1,D301+E301,-FV(Assumptions!$C$125,Assumptions!$C$126,PMT(Assumptions!$C$125,Assumptions!$C$111,D301),D301)-FV(Assumptions!$C$128,Assumptions!$C$126,PMT(Assumptions!$C$128,Assumptions!$C$111,E301),E301))</f>
        <v>9450000</v>
      </c>
      <c r="H301" s="30" t="n">
        <f aca="false">MIN(INDEX(C300:H300,Assumptions!$C$126+1)/$A$23*Assumptions!$C$108,INDEX(C300:H300,Assumptions!$C$126+1)/(Assumptions!$C$109*-PMT('Debt (Assumed)'!$B$99,Assumptions!$C$111,1)))</f>
        <v>8699030.271278</v>
      </c>
      <c r="I301" s="30" t="n">
        <f aca="false">IF(MAX(0,Assumptions!$C$154-Assumptions!$C$126-'Debt (Assumed)'!$B$100)=0,H301,-FV('Debt (Assumed)'!$B$98,MAX(0,Assumptions!$C$154-Assumptions!$C$126-'Debt (Assumed)'!$B$100),PMT('Debt (Assumed)'!$B$98,Assumptions!$C$111,H301),H301))</f>
        <v>8699030.271278</v>
      </c>
      <c r="J301" s="30" t="n">
        <f aca="false">I301*'Debt (Assumed)'!$B$102</f>
        <v>0</v>
      </c>
      <c r="K301" s="30" t="n">
        <f aca="false">I300/($A$23+Returns!$B$35)*(1-Assumptions!$C$158)-I301-J301</f>
        <v>6464188.83047004</v>
      </c>
      <c r="L301" s="30" t="n">
        <f aca="false">H301*'Debt (Assumed)'!$B$101</f>
        <v>93949.5269298024</v>
      </c>
      <c r="M301" s="30" t="n">
        <f aca="false">(INDEX(C300:H300,Assumptions!$C$126+1)-'Operating Model'!$B$42*1*(1+Assumptions!$C$18+D$21)^Assumptions!$C$126)/($A$23+Returns!$B$35)*(1-Assumptions!$C$158)-G301</f>
        <v>5338567.45740764</v>
      </c>
    </row>
    <row r="302" customFormat="false" ht="15" hidden="false" customHeight="false" outlineLevel="0" collapsed="false">
      <c r="A302" s="2" t="s">
        <v>736</v>
      </c>
      <c r="C302" s="30" t="n">
        <f aca="false">IF('Operating Model'!B$4&lt;=Assumptions!$C$126,IF(Assumptions!$C$130=1,D301*Assumptions!$C$125+E301*Assumptions!$C$128,-PMT(Assumptions!$C$125,Assumptions!$C$111,D301)-PMT(Assumptions!$C$128,Assumptions!$C$111,E301)),IF(Assumptions!$C$136=1,0,IF('Operating Model'!B$4-Assumptions!$C$126&lt;='Debt (Assumed)'!$B$100,H301*'Debt (Assumed)'!$B$98,-PMT('Debt (Assumed)'!$B$98,Assumptions!$C$111,H301))))</f>
        <v>397516</v>
      </c>
      <c r="D302" s="30" t="n">
        <f aca="false">IF('Operating Model'!C$4&lt;=Assumptions!$C$126,IF(Assumptions!$C$130=1,D301*Assumptions!$C$125+E301*Assumptions!$C$128,-PMT(Assumptions!$C$125,Assumptions!$C$111,D301)-PMT(Assumptions!$C$128,Assumptions!$C$111,E301)),IF(Assumptions!$C$136=1,0,IF('Operating Model'!C$4-Assumptions!$C$126&lt;='Debt (Assumed)'!$B$100,H301*'Debt (Assumed)'!$B$98,-PMT('Debt (Assumed)'!$B$98,Assumptions!$C$111,H301))))</f>
        <v>397516</v>
      </c>
      <c r="E302" s="30" t="n">
        <f aca="false">IF('Operating Model'!D$4&lt;=Assumptions!$C$126,IF(Assumptions!$C$130=1,D301*Assumptions!$C$125+E301*Assumptions!$C$128,-PMT(Assumptions!$C$125,Assumptions!$C$111,D301)-PMT(Assumptions!$C$128,Assumptions!$C$111,E301)),IF(Assumptions!$C$136=1,0,IF('Operating Model'!D$4-Assumptions!$C$126&lt;='Debt (Assumed)'!$B$100,H301*'Debt (Assumed)'!$B$98,-PMT('Debt (Assumed)'!$B$98,Assumptions!$C$111,H301))))</f>
        <v>397516</v>
      </c>
      <c r="F302" s="30" t="n">
        <f aca="false">IF('Operating Model'!E$4&lt;=Assumptions!$C$126,IF(Assumptions!$C$130=1,D301*Assumptions!$C$125+E301*Assumptions!$C$128,-PMT(Assumptions!$C$125,Assumptions!$C$111,D301)-PMT(Assumptions!$C$128,Assumptions!$C$111,E301)),IF(Assumptions!$C$136=1,0,IF('Operating Model'!E$4-Assumptions!$C$126&lt;='Debt (Assumed)'!$B$100,H301*'Debt (Assumed)'!$B$98,-PMT('Debt (Assumed)'!$B$98,Assumptions!$C$111,H301))))</f>
        <v>586314.640284137</v>
      </c>
      <c r="G302" s="30" t="n">
        <f aca="false">IF('Operating Model'!F$4&lt;=Assumptions!$C$126,IF(Assumptions!$C$130=1,D301*Assumptions!$C$125+E301*Assumptions!$C$128,-PMT(Assumptions!$C$125,Assumptions!$C$111,D301)-PMT(Assumptions!$C$128,Assumptions!$C$111,E301)),IF(Assumptions!$C$136=1,0,IF('Operating Model'!F$4-Assumptions!$C$126&lt;='Debt (Assumed)'!$B$100,H301*'Debt (Assumed)'!$B$98,-PMT('Debt (Assumed)'!$B$98,Assumptions!$C$111,H301))))</f>
        <v>586314.640284137</v>
      </c>
    </row>
    <row r="303" customFormat="false" ht="15" hidden="false" customHeight="false" outlineLevel="0" collapsed="false">
      <c r="A303" s="2" t="s">
        <v>737</v>
      </c>
      <c r="B303" s="30" t="n">
        <f aca="false">-F301</f>
        <v>-5095290</v>
      </c>
      <c r="C303" s="30" t="n">
        <f aca="false">IF(AND(Assumptions!$C$136=1,'Operating Model'!B$4&gt;Assumptions!$C$126),0,'Operating Model'!B55+(C300-'Operating Model'!B49)-C302-IF('Operating Model'!B$4=Assumptions!$C$126,IF(Assumptions!$C$136=1,-M301,G301-H301+L301),0)+IF(AND(Assumptions!$C$136&lt;&gt;1,'Operating Model'!B$4=Assumptions!$C$154),K301,0))</f>
        <v>451614.438496</v>
      </c>
      <c r="D303" s="30" t="n">
        <f aca="false">IF(AND(Assumptions!$C$136=1,'Operating Model'!C$4&gt;Assumptions!$C$126),0,'Operating Model'!C55+(D300-'Operating Model'!C49)-D302-IF('Operating Model'!C$4=Assumptions!$C$126,IF(Assumptions!$C$136=1,-M301,G301-H301+L301),0)+IF(AND(Assumptions!$C$136&lt;&gt;1,'Operating Model'!C$4=Assumptions!$C$154),K301,0))</f>
        <v>328301.041376455</v>
      </c>
      <c r="E303" s="30" t="n">
        <f aca="false">IF(AND(Assumptions!$C$136=1,'Operating Model'!D$4&gt;Assumptions!$C$126),0,'Operating Model'!D55+(E300-'Operating Model'!D49)-E302-IF('Operating Model'!D$4=Assumptions!$C$126,IF(Assumptions!$C$136=1,-M301,G301-H301+L301),0)+IF(AND(Assumptions!$C$136&lt;&gt;1,'Operating Model'!D$4=Assumptions!$C$154),K301,0))</f>
        <v>-357752.114533679</v>
      </c>
      <c r="F303" s="30" t="n">
        <f aca="false">IF(AND(Assumptions!$C$136=1,'Operating Model'!E$4&gt;Assumptions!$C$126),0,'Operating Model'!E55+(F300-'Operating Model'!E49)-F302-IF('Operating Model'!E$4=Assumptions!$C$126,IF(Assumptions!$C$136=1,-M301,G301-H301+L301),0)+IF(AND(Assumptions!$C$136&lt;&gt;1,'Operating Model'!E$4=Assumptions!$C$154),K301,0))</f>
        <v>302118.723364882</v>
      </c>
      <c r="G303" s="30" t="n">
        <f aca="false">IF(AND(Assumptions!$C$136=1,'Operating Model'!F$4&gt;Assumptions!$C$126),0,'Operating Model'!F55+(G300-'Operating Model'!F49)-G302-IF('Operating Model'!F$4=Assumptions!$C$126,IF(Assumptions!$C$136=1,-M301,G301-H301+L301),0)+IF(AND(Assumptions!$C$136&lt;&gt;1,'Operating Model'!F$4=Assumptions!$C$154),K301,0))</f>
        <v>6771727.76796395</v>
      </c>
      <c r="H303" s="22" t="n">
        <f aca="false">IFERROR(IRR(B303:G303),"N/A")</f>
        <v>0.0869121658278733</v>
      </c>
      <c r="I303" s="24" t="n">
        <f aca="false">SUM(C303:G303)/F301</f>
        <v>1.47116451795042</v>
      </c>
    </row>
    <row r="305" customFormat="false" ht="15" hidden="false" customHeight="false" outlineLevel="0" collapsed="false">
      <c r="A305" s="2" t="s">
        <v>738</v>
      </c>
      <c r="C305" s="30" t="n">
        <f aca="false">'Unit Mix'!$H$6*(1+('Operating Model'!B$6+E$21))</f>
        <v>1573.25</v>
      </c>
      <c r="D305" s="30" t="n">
        <f aca="false">C305*(1+('Operating Model'!C$6+E$21))</f>
        <v>1608.648125</v>
      </c>
      <c r="E305" s="30" t="n">
        <f aca="false">D305*(1+('Operating Model'!D$6+E$21))</f>
        <v>1656.90756875</v>
      </c>
      <c r="F305" s="30" t="n">
        <f aca="false">E305*(1+('Operating Model'!E$6+E$21))</f>
        <v>1714.89933365625</v>
      </c>
      <c r="G305" s="30" t="n">
        <f aca="false">F305*(1+('Operating Model'!F$6+E$21))</f>
        <v>1774.92081033422</v>
      </c>
      <c r="H305" s="30" t="n">
        <f aca="false">G305*(1+('Operating Model'!G$6+E$21))</f>
        <v>1837.04303869592</v>
      </c>
    </row>
    <row r="306" customFormat="false" ht="15" hidden="false" customHeight="false" outlineLevel="0" collapsed="false">
      <c r="A306" s="2" t="s">
        <v>739</v>
      </c>
      <c r="C306" s="30" t="n">
        <f aca="false">'Unit Mix'!$G$6+Assumptions!$C$48*Assumptions!$C$47*(C305-'Unit Mix'!$G$6)</f>
        <v>1486.6125</v>
      </c>
      <c r="D306" s="30" t="n">
        <f aca="false">C306+Assumptions!$C$48*Assumptions!$C$47*(D305-C306)</f>
        <v>1520.172296875</v>
      </c>
      <c r="E306" s="30" t="n">
        <f aca="false">D306+Assumptions!$C$48*Assumptions!$C$47*(E305-D306)</f>
        <v>1557.77449664062</v>
      </c>
      <c r="F306" s="30" t="n">
        <f aca="false">E306+Assumptions!$C$48*Assumptions!$C$47*(F305-E306)</f>
        <v>1600.98382681992</v>
      </c>
      <c r="G306" s="30" t="n">
        <f aca="false">F306+Assumptions!$C$48*Assumptions!$C$47*(G305-F306)</f>
        <v>1648.81649728635</v>
      </c>
      <c r="H306" s="30" t="n">
        <f aca="false">G306+Assumptions!$C$48*Assumptions!$C$47*(H305-G306)</f>
        <v>1700.57879617398</v>
      </c>
    </row>
    <row r="307" customFormat="false" ht="15" hidden="false" customHeight="false" outlineLevel="0" collapsed="false">
      <c r="A307" s="2" t="s">
        <v>740</v>
      </c>
      <c r="C307" s="30" t="n">
        <f aca="false">'Unit Mix'!$H$7*(1+('Operating Model'!B$6+E$21))</f>
        <v>1806.7</v>
      </c>
      <c r="D307" s="30" t="n">
        <f aca="false">C307*(1+('Operating Model'!C$6+E$21))</f>
        <v>1847.35075</v>
      </c>
      <c r="E307" s="30" t="n">
        <f aca="false">D307*(1+('Operating Model'!D$6+E$21))</f>
        <v>1902.7712725</v>
      </c>
      <c r="F307" s="30" t="n">
        <f aca="false">E307*(1+('Operating Model'!E$6+E$21))</f>
        <v>1969.3682670375</v>
      </c>
      <c r="G307" s="30" t="n">
        <f aca="false">F307*(1+('Operating Model'!F$6+E$21))</f>
        <v>2038.29615638381</v>
      </c>
      <c r="H307" s="30" t="n">
        <f aca="false">G307*(1+('Operating Model'!G$6+E$21))</f>
        <v>2109.63652185725</v>
      </c>
    </row>
    <row r="308" customFormat="false" ht="15" hidden="false" customHeight="false" outlineLevel="0" collapsed="false">
      <c r="A308" s="2" t="s">
        <v>741</v>
      </c>
      <c r="C308" s="30" t="n">
        <f aca="false">'Unit Mix'!$G$7+Assumptions!$C$48*Assumptions!$C$47*(C307-'Unit Mix'!$G$7)</f>
        <v>1709.94875</v>
      </c>
      <c r="D308" s="30" t="n">
        <f aca="false">C308+Assumptions!$C$48*Assumptions!$C$47*(D307-C308)</f>
        <v>1747.7343</v>
      </c>
      <c r="E308" s="30" t="n">
        <f aca="false">D308+Assumptions!$C$48*Assumptions!$C$47*(E307-D308)</f>
        <v>1790.3694674375</v>
      </c>
      <c r="F308" s="30" t="n">
        <f aca="false">E308+Assumptions!$C$48*Assumptions!$C$47*(F307-E308)</f>
        <v>1839.5941373275</v>
      </c>
      <c r="G308" s="30" t="n">
        <f aca="false">F308+Assumptions!$C$48*Assumptions!$C$47*(G307-F308)</f>
        <v>1894.23719256799</v>
      </c>
      <c r="H308" s="30" t="n">
        <f aca="false">G308+Assumptions!$C$48*Assumptions!$C$47*(H307-G308)</f>
        <v>1953.47200812253</v>
      </c>
    </row>
    <row r="309" customFormat="false" ht="15" hidden="false" customHeight="false" outlineLevel="0" collapsed="false">
      <c r="A309" s="2" t="s">
        <v>742</v>
      </c>
      <c r="C309" s="30" t="n">
        <f aca="false">'Unit Mix'!$H$8*(1+('Operating Model'!B$6+E$21))</f>
        <v>2080.75</v>
      </c>
      <c r="D309" s="30" t="n">
        <f aca="false">C309*(1+('Operating Model'!C$6+E$21))</f>
        <v>2127.566875</v>
      </c>
      <c r="E309" s="30" t="n">
        <f aca="false">D309*(1+('Operating Model'!D$6+E$21))</f>
        <v>2191.39388125</v>
      </c>
      <c r="F309" s="30" t="n">
        <f aca="false">E309*(1+('Operating Model'!E$6+E$21))</f>
        <v>2268.09266709375</v>
      </c>
      <c r="G309" s="30" t="n">
        <f aca="false">F309*(1+('Operating Model'!F$6+E$21))</f>
        <v>2347.47591044203</v>
      </c>
      <c r="H309" s="30" t="n">
        <f aca="false">G309*(1+('Operating Model'!G$6+E$21))</f>
        <v>2429.6375673075</v>
      </c>
    </row>
    <row r="310" customFormat="false" ht="15" hidden="false" customHeight="false" outlineLevel="0" collapsed="false">
      <c r="A310" s="2" t="s">
        <v>743</v>
      </c>
      <c r="C310" s="30" t="n">
        <f aca="false">'Unit Mix'!$G$8+Assumptions!$C$48*Assumptions!$C$47*(C309-'Unit Mix'!$G$8)</f>
        <v>1969.64375</v>
      </c>
      <c r="D310" s="30" t="n">
        <f aca="false">C310+Assumptions!$C$48*Assumptions!$C$47*(D309-C310)</f>
        <v>2013.072609375</v>
      </c>
      <c r="E310" s="30" t="n">
        <f aca="false">D310+Assumptions!$C$48*Assumptions!$C$47*(E309-D310)</f>
        <v>2062.11095914063</v>
      </c>
      <c r="F310" s="30" t="n">
        <f aca="false">E310+Assumptions!$C$48*Assumptions!$C$47*(F309-E310)</f>
        <v>2118.75592882773</v>
      </c>
      <c r="G310" s="30" t="n">
        <f aca="false">F310+Assumptions!$C$48*Assumptions!$C$47*(G309-F310)</f>
        <v>2181.65392377167</v>
      </c>
      <c r="H310" s="30" t="n">
        <f aca="false">G310+Assumptions!$C$48*Assumptions!$C$47*(H309-G310)</f>
        <v>2249.84942574402</v>
      </c>
    </row>
    <row r="311" customFormat="false" ht="15" hidden="false" customHeight="false" outlineLevel="0" collapsed="false">
      <c r="A311" s="2" t="s">
        <v>744</v>
      </c>
      <c r="C311" s="30" t="n">
        <f aca="false">'Unit Mix'!$H$9*(1+('Operating Model'!B$6+E$21))</f>
        <v>2233</v>
      </c>
      <c r="D311" s="30" t="n">
        <f aca="false">C311*(1+('Operating Model'!C$6+E$21))</f>
        <v>2283.2425</v>
      </c>
      <c r="E311" s="30" t="n">
        <f aca="false">D311*(1+('Operating Model'!D$6+E$21))</f>
        <v>2351.739775</v>
      </c>
      <c r="F311" s="30" t="n">
        <f aca="false">E311*(1+('Operating Model'!E$6+E$21))</f>
        <v>2434.050667125</v>
      </c>
      <c r="G311" s="30" t="n">
        <f aca="false">F311*(1+('Operating Model'!F$6+E$21))</f>
        <v>2519.24244047437</v>
      </c>
      <c r="H311" s="30" t="n">
        <f aca="false">G311*(1+('Operating Model'!G$6+E$21))</f>
        <v>2607.41592589098</v>
      </c>
    </row>
    <row r="312" customFormat="false" ht="15" hidden="false" customHeight="false" outlineLevel="0" collapsed="false">
      <c r="A312" s="2" t="s">
        <v>745</v>
      </c>
      <c r="C312" s="30" t="n">
        <f aca="false">'Unit Mix'!$G$9+Assumptions!$C$48*Assumptions!$C$47*(C311-'Unit Mix'!$G$9)</f>
        <v>2113.91875</v>
      </c>
      <c r="D312" s="30" t="n">
        <f aca="false">C312+Assumptions!$C$48*Assumptions!$C$47*(D311-C312)</f>
        <v>2160.48278125</v>
      </c>
      <c r="E312" s="30" t="n">
        <f aca="false">D312+Assumptions!$C$48*Assumptions!$C$47*(E311-D312)</f>
        <v>2213.07845453125</v>
      </c>
      <c r="F312" s="30" t="n">
        <f aca="false">E312+Assumptions!$C$48*Assumptions!$C$47*(F311-E312)</f>
        <v>2273.84581299453</v>
      </c>
      <c r="G312" s="30" t="n">
        <f aca="false">F312+Assumptions!$C$48*Assumptions!$C$47*(G311-F312)</f>
        <v>2341.32988555149</v>
      </c>
      <c r="H312" s="30" t="n">
        <f aca="false">G312+Assumptions!$C$48*Assumptions!$C$47*(H311-G312)</f>
        <v>2414.50354664485</v>
      </c>
    </row>
    <row r="313" customFormat="false" ht="15" hidden="false" customHeight="false" outlineLevel="0" collapsed="false">
      <c r="A313" s="2" t="s">
        <v>746</v>
      </c>
      <c r="C313" s="30" t="n">
        <f aca="false">('Unit Mix'!$C$6*('Unit Mix'!$F$6*(1-Assumptions!$C$39)+(C305+Assumptions!$C$37)*Assumptions!$C$39)+'Unit Mix'!$D$6*C306+'Unit Mix'!$C$7*('Unit Mix'!$F$7*(1-Assumptions!$C$39)+(C307+Assumptions!$C$37)*Assumptions!$C$39)+'Unit Mix'!$D$7*C308+'Unit Mix'!$C$8*('Unit Mix'!$F$8*(1-Assumptions!$C$39)+(C309+Assumptions!$C$37)*Assumptions!$C$39)+'Unit Mix'!$D$8*C310+'Unit Mix'!$C$9*('Unit Mix'!$F$9*(1-Assumptions!$C$39)+(C311+Assumptions!$C$37)*Assumptions!$C$39)+'Unit Mix'!$D$9*C312)*12</f>
        <v>2020542.255</v>
      </c>
      <c r="D313" s="30" t="n">
        <f aca="false">('Unit Mix'!$C$6*(D305+Assumptions!$C$37)+'Unit Mix'!$D$6*D306+'Unit Mix'!$C$7*(D307+Assumptions!$C$37)+'Unit Mix'!$D$7*D308+'Unit Mix'!$C$8*(D309+Assumptions!$C$37)+'Unit Mix'!$D$8*D310+'Unit Mix'!$C$9*(D311+Assumptions!$C$37)+'Unit Mix'!$D$9*D312)*12</f>
        <v>2115428.0952375</v>
      </c>
      <c r="E313" s="30" t="n">
        <f aca="false">('Unit Mix'!$C$6*(E305+Assumptions!$C$37)+'Unit Mix'!$D$6*E306+'Unit Mix'!$C$7*(E307+Assumptions!$C$37)+'Unit Mix'!$D$7*E308+'Unit Mix'!$C$8*(E309+Assumptions!$C$37)+'Unit Mix'!$D$8*E310+'Unit Mix'!$C$9*(E311+Assumptions!$C$37)+'Unit Mix'!$D$9*E312)*12</f>
        <v>2170134.86738306</v>
      </c>
      <c r="F313" s="30" t="n">
        <f aca="false">('Unit Mix'!$C$6*(F305+Assumptions!$C$37)+'Unit Mix'!$D$6*F306+'Unit Mix'!$C$7*(F307+Assumptions!$C$37)+'Unit Mix'!$D$7*F308+'Unit Mix'!$C$8*(F309+Assumptions!$C$37)+'Unit Mix'!$D$8*F310+'Unit Mix'!$C$9*(F311+Assumptions!$C$37)+'Unit Mix'!$D$9*F312)*12</f>
        <v>2234036.40618041</v>
      </c>
      <c r="G313" s="30" t="n">
        <f aca="false">('Unit Mix'!$C$6*(G305+Assumptions!$C$37)+'Unit Mix'!$D$6*G306+'Unit Mix'!$C$7*(G307+Assumptions!$C$37)+'Unit Mix'!$D$7*G308+'Unit Mix'!$C$8*(G309+Assumptions!$C$37)+'Unit Mix'!$D$8*G310+'Unit Mix'!$C$9*(G311+Assumptions!$C$37)+'Unit Mix'!$D$9*G312)*12</f>
        <v>2303489.12376496</v>
      </c>
      <c r="H313" s="30" t="n">
        <f aca="false">('Unit Mix'!$C$6*(H305+Assumptions!$C$37)+'Unit Mix'!$D$6*H306+'Unit Mix'!$C$7*(H307+Assumptions!$C$37)+'Unit Mix'!$D$7*H308+'Unit Mix'!$C$8*(H309+Assumptions!$C$37)+'Unit Mix'!$D$8*H310+'Unit Mix'!$C$9*(H311+Assumptions!$C$37)+'Unit Mix'!$D$9*H312)*12</f>
        <v>2377775.78953871</v>
      </c>
    </row>
    <row r="314" customFormat="false" ht="15" hidden="false" customHeight="false" outlineLevel="0" collapsed="false">
      <c r="A314" s="2" t="s">
        <v>747</v>
      </c>
      <c r="C314" s="30" t="n">
        <f aca="false">'Operating Model'!B49-'Operating Model'!B42+'Operating Model'!$B$42*1*(1+Assumptions!$C$18+E$21)^('Operating Model'!B$4-1)+((C313-'Operating Model'!B25)+0)*(1-(Assumptions!$C$42+Assumptions!$C$43+Assumptions!$C$44))*(1-Assumptions!$C$75)</f>
        <v>881345.670989</v>
      </c>
      <c r="D314" s="30" t="n">
        <f aca="false">'Operating Model'!C49-'Operating Model'!C42+'Operating Model'!$B$42*1*(1+Assumptions!$C$18+E$21)^('Operating Model'!C$4-1)+((D313-'Operating Model'!C25)+0)*(1-(Assumptions!$C$42+Assumptions!$C$43+Assumptions!$C$44))*(1-Assumptions!$C$75)</f>
        <v>924857.259628853</v>
      </c>
      <c r="E314" s="30" t="n">
        <f aca="false">'Operating Model'!D49-'Operating Model'!D42+'Operating Model'!$B$42*1*(1+Assumptions!$C$18+E$21)^('Operating Model'!D$4-1)+((E313-'Operating Model'!D25)+0)*(1-(Assumptions!$C$42+Assumptions!$C$43+Assumptions!$C$44))*(1-Assumptions!$C$75)</f>
        <v>930663.458546298</v>
      </c>
      <c r="F314" s="30" t="n">
        <f aca="false">'Operating Model'!E49-'Operating Model'!E42+'Operating Model'!$B$42*1*(1+Assumptions!$C$18+E$21)^('Operating Model'!E$4-1)+((F313-'Operating Model'!E25)+0)*(1-(Assumptions!$C$42+Assumptions!$C$43+Assumptions!$C$44))*(1-Assumptions!$C$75)</f>
        <v>942484.914311808</v>
      </c>
      <c r="G314" s="30" t="n">
        <f aca="false">'Operating Model'!F49-'Operating Model'!F42+'Operating Model'!$B$42*1*(1+Assumptions!$C$18+E$21)^('Operating Model'!F$4-1)+((G313-'Operating Model'!F25)+0)*(1-(Assumptions!$C$42+Assumptions!$C$43+Assumptions!$C$44))*(1-Assumptions!$C$75)</f>
        <v>956966.501547713</v>
      </c>
      <c r="H314" s="30" t="n">
        <f aca="false">'Operating Model'!G49-'Operating Model'!G42+'Operating Model'!$B$42*1*(1+Assumptions!$C$18+E$21)^('Operating Model'!G$4-1)+((H313-'Operating Model'!G25)+0)*(1-(Assumptions!$C$42+Assumptions!$C$43+Assumptions!$C$44))*(1-Assumptions!$C$75)</f>
        <v>973343.765090856</v>
      </c>
      <c r="I314" s="30" t="n">
        <f aca="false">H314-'Operating Model'!$B$42*1*(1+Assumptions!$C$18+E$21)^('Operating Model'!G$4-1)</f>
        <v>1254357.26921807</v>
      </c>
    </row>
    <row r="315" customFormat="false" ht="15" hidden="false" customHeight="false" outlineLevel="0" collapsed="false">
      <c r="A315" s="2" t="s">
        <v>748</v>
      </c>
      <c r="B315" s="30" t="n">
        <f aca="false">Assumptions!$C$7*1</f>
        <v>13800000</v>
      </c>
      <c r="C315" s="30" t="n">
        <f aca="false">MAX(0,(Assumptions!$C$124+Assumptions!$C$127)-Assumptions!$C$132*B315)</f>
        <v>0</v>
      </c>
      <c r="D315" s="30" t="n">
        <f aca="false">Assumptions!$C$124-MAX(0,C315-Assumptions!$C$127)</f>
        <v>5887000</v>
      </c>
      <c r="E315" s="30" t="n">
        <f aca="false">Assumptions!$C$127-MIN(C315,Assumptions!$C$127)</f>
        <v>3563000</v>
      </c>
      <c r="F315" s="30" t="n">
        <f aca="false">B315*(1+Assumptions!$C$10)+'Unit Mix'!$D$18*1+(D315+E315)*Assumptions!$C$131-(D315+E315)</f>
        <v>5095290</v>
      </c>
      <c r="G315" s="30" t="n">
        <f aca="false">IF(Assumptions!$C$130=1,D315+E315,-FV(Assumptions!$C$125,Assumptions!$C$126,PMT(Assumptions!$C$125,Assumptions!$C$111,D315),D315)-FV(Assumptions!$C$128,Assumptions!$C$126,PMT(Assumptions!$C$128,Assumptions!$C$111,E315),E315))</f>
        <v>9450000</v>
      </c>
      <c r="H315" s="30" t="n">
        <f aca="false">MIN(INDEX(C314:H314,Assumptions!$C$126+1)/$A$23*Assumptions!$C$108,INDEX(C314:H314,Assumptions!$C$126+1)/(Assumptions!$C$109*-PMT('Debt (Assumed)'!$B$99,Assumptions!$C$111,1)))</f>
        <v>8904888.71000523</v>
      </c>
      <c r="I315" s="30" t="n">
        <f aca="false">IF(MAX(0,Assumptions!$C$154-Assumptions!$C$126-'Debt (Assumed)'!$B$100)=0,H315,-FV('Debt (Assumed)'!$B$98,MAX(0,Assumptions!$C$154-Assumptions!$C$126-'Debt (Assumed)'!$B$100),PMT('Debt (Assumed)'!$B$98,Assumptions!$C$111,H315),H315))</f>
        <v>8904888.71000523</v>
      </c>
      <c r="J315" s="30" t="n">
        <f aca="false">I315*'Debt (Assumed)'!$B$102</f>
        <v>0</v>
      </c>
      <c r="K315" s="30" t="n">
        <f aca="false">I314/($A$23+Returns!$B$35)*(1-Assumptions!$C$158)-I315-J315</f>
        <v>6825671.3787743</v>
      </c>
      <c r="L315" s="30" t="n">
        <f aca="false">H315*'Debt (Assumed)'!$B$101</f>
        <v>96172.7980680565</v>
      </c>
      <c r="M315" s="30" t="n">
        <f aca="false">(INDEX(C314:H314,Assumptions!$C$126+1)-'Operating Model'!$B$42*1*(1+Assumptions!$C$18+E$21)^Assumptions!$C$126)/($A$23+Returns!$B$35)*(1-Assumptions!$C$158)-G315</f>
        <v>5659251.50139809</v>
      </c>
    </row>
    <row r="316" customFormat="false" ht="15" hidden="false" customHeight="false" outlineLevel="0" collapsed="false">
      <c r="A316" s="2" t="s">
        <v>749</v>
      </c>
      <c r="C316" s="30" t="n">
        <f aca="false">IF('Operating Model'!B$4&lt;=Assumptions!$C$126,IF(Assumptions!$C$130=1,D315*Assumptions!$C$125+E315*Assumptions!$C$128,-PMT(Assumptions!$C$125,Assumptions!$C$111,D315)-PMT(Assumptions!$C$128,Assumptions!$C$111,E315)),IF(Assumptions!$C$136=1,0,IF('Operating Model'!B$4-Assumptions!$C$126&lt;='Debt (Assumed)'!$B$100,H315*'Debt (Assumed)'!$B$98,-PMT('Debt (Assumed)'!$B$98,Assumptions!$C$111,H315))))</f>
        <v>397516</v>
      </c>
      <c r="D316" s="30" t="n">
        <f aca="false">IF('Operating Model'!C$4&lt;=Assumptions!$C$126,IF(Assumptions!$C$130=1,D315*Assumptions!$C$125+E315*Assumptions!$C$128,-PMT(Assumptions!$C$125,Assumptions!$C$111,D315)-PMT(Assumptions!$C$128,Assumptions!$C$111,E315)),IF(Assumptions!$C$136=1,0,IF('Operating Model'!C$4-Assumptions!$C$126&lt;='Debt (Assumed)'!$B$100,H315*'Debt (Assumed)'!$B$98,-PMT('Debt (Assumed)'!$B$98,Assumptions!$C$111,H315))))</f>
        <v>397516</v>
      </c>
      <c r="E316" s="30" t="n">
        <f aca="false">IF('Operating Model'!D$4&lt;=Assumptions!$C$126,IF(Assumptions!$C$130=1,D315*Assumptions!$C$125+E315*Assumptions!$C$128,-PMT(Assumptions!$C$125,Assumptions!$C$111,D315)-PMT(Assumptions!$C$128,Assumptions!$C$111,E315)),IF(Assumptions!$C$136=1,0,IF('Operating Model'!D$4-Assumptions!$C$126&lt;='Debt (Assumed)'!$B$100,H315*'Debt (Assumed)'!$B$98,-PMT('Debt (Assumed)'!$B$98,Assumptions!$C$111,H315))))</f>
        <v>397516</v>
      </c>
      <c r="F316" s="30" t="n">
        <f aca="false">IF('Operating Model'!E$4&lt;=Assumptions!$C$126,IF(Assumptions!$C$130=1,D315*Assumptions!$C$125+E315*Assumptions!$C$128,-PMT(Assumptions!$C$125,Assumptions!$C$111,D315)-PMT(Assumptions!$C$128,Assumptions!$C$111,E315)),IF(Assumptions!$C$136=1,0,IF('Operating Model'!E$4-Assumptions!$C$126&lt;='Debt (Assumed)'!$B$100,H315*'Debt (Assumed)'!$B$98,-PMT('Debt (Assumed)'!$B$98,Assumptions!$C$111,H315))))</f>
        <v>600189.499054352</v>
      </c>
      <c r="G316" s="30" t="n">
        <f aca="false">IF('Operating Model'!F$4&lt;=Assumptions!$C$126,IF(Assumptions!$C$130=1,D315*Assumptions!$C$125+E315*Assumptions!$C$128,-PMT(Assumptions!$C$125,Assumptions!$C$111,D315)-PMT(Assumptions!$C$128,Assumptions!$C$111,E315)),IF(Assumptions!$C$136=1,0,IF('Operating Model'!F$4-Assumptions!$C$126&lt;='Debt (Assumed)'!$B$100,H315*'Debt (Assumed)'!$B$98,-PMT('Debt (Assumed)'!$B$98,Assumptions!$C$111,H315))))</f>
        <v>600189.499054352</v>
      </c>
    </row>
    <row r="317" customFormat="false" ht="15" hidden="false" customHeight="false" outlineLevel="0" collapsed="false">
      <c r="A317" s="2" t="s">
        <v>750</v>
      </c>
      <c r="B317" s="30" t="n">
        <f aca="false">-F315</f>
        <v>-5095290</v>
      </c>
      <c r="C317" s="30" t="n">
        <f aca="false">IF(AND(Assumptions!$C$136=1,'Operating Model'!B$4&gt;Assumptions!$C$126),0,'Operating Model'!B55+(C314-'Operating Model'!B49)-C316-IF('Operating Model'!B$4=Assumptions!$C$126,IF(Assumptions!$C$136=1,-M315,G315-H315+L315),0)+IF(AND(Assumptions!$C$136&lt;&gt;1,'Operating Model'!B$4=Assumptions!$C$154),K315,0))</f>
        <v>454729.670989</v>
      </c>
      <c r="D317" s="30" t="n">
        <f aca="false">IF(AND(Assumptions!$C$136=1,'Operating Model'!C$4&gt;Assumptions!$C$126),0,'Operating Model'!C55+(D314-'Operating Model'!C49)-D316-IF('Operating Model'!C$4=Assumptions!$C$126,IF(Assumptions!$C$136=1,-M315,G315-H315+L315),0)+IF(AND(Assumptions!$C$136&lt;&gt;1,'Operating Model'!C$4=Assumptions!$C$154),K315,0))</f>
        <v>337222.759628853</v>
      </c>
      <c r="E317" s="30" t="n">
        <f aca="false">IF(AND(Assumptions!$C$136=1,'Operating Model'!D$4&gt;Assumptions!$C$126),0,'Operating Model'!D55+(E314-'Operating Model'!D49)-E316-IF('Operating Model'!D$4=Assumptions!$C$126,IF(Assumptions!$C$136=1,-M315,G315-H315+L315),0)+IF(AND(Assumptions!$C$136&lt;&gt;1,'Operating Model'!D$4=Assumptions!$C$154),K315,0))</f>
        <v>-139309.277016531</v>
      </c>
      <c r="F317" s="30" t="n">
        <f aca="false">IF(AND(Assumptions!$C$136=1,'Operating Model'!E$4&gt;Assumptions!$C$126),0,'Operating Model'!E55+(F314-'Operating Model'!E49)-F316-IF('Operating Model'!E$4=Assumptions!$C$126,IF(Assumptions!$C$136=1,-M315,G315-H315+L315),0)+IF(AND(Assumptions!$C$136&lt;&gt;1,'Operating Model'!E$4=Assumptions!$C$154),K315,0))</f>
        <v>310031.725094956</v>
      </c>
      <c r="G317" s="30" t="n">
        <f aca="false">IF(AND(Assumptions!$C$136=1,'Operating Model'!F$4&gt;Assumptions!$C$126),0,'Operating Model'!F55+(G314-'Operating Model'!F49)-G316-IF('Operating Model'!F$4=Assumptions!$C$126,IF(Assumptions!$C$136=1,-M315,G315-H315+L315),0)+IF(AND(Assumptions!$C$136&lt;&gt;1,'Operating Model'!F$4=Assumptions!$C$154),K315,0))</f>
        <v>7149055.46194947</v>
      </c>
      <c r="H317" s="22" t="n">
        <f aca="false">IFERROR(IRR(B317:G317),"N/A")</f>
        <v>0.106751832687709</v>
      </c>
      <c r="I317" s="24" t="n">
        <f aca="false">SUM(C317:G317)/F315</f>
        <v>1.59200562492925</v>
      </c>
    </row>
    <row r="319" customFormat="false" ht="15" hidden="false" customHeight="false" outlineLevel="0" collapsed="false">
      <c r="A319" s="2" t="s">
        <v>751</v>
      </c>
      <c r="C319" s="30" t="n">
        <f aca="false">'Unit Mix'!$H$6*(1+('Operating Model'!B$6+F$21))</f>
        <v>1581</v>
      </c>
      <c r="D319" s="30" t="n">
        <f aca="false">C319*(1+('Operating Model'!C$6+F$21))</f>
        <v>1624.4775</v>
      </c>
      <c r="E319" s="30" t="n">
        <f aca="false">D319*(1+('Operating Model'!D$6+F$21))</f>
        <v>1681.3342125</v>
      </c>
      <c r="F319" s="30" t="n">
        <f aca="false">E319*(1+('Operating Model'!E$6+F$21))</f>
        <v>1748.587581</v>
      </c>
      <c r="G319" s="30" t="n">
        <f aca="false">F319*(1+('Operating Model'!F$6+F$21))</f>
        <v>1818.53108424</v>
      </c>
      <c r="H319" s="30" t="n">
        <f aca="false">G319*(1+('Operating Model'!G$6+F$21))</f>
        <v>1891.2723276096</v>
      </c>
    </row>
    <row r="320" customFormat="false" ht="15" hidden="false" customHeight="false" outlineLevel="0" collapsed="false">
      <c r="A320" s="2" t="s">
        <v>752</v>
      </c>
      <c r="C320" s="30" t="n">
        <f aca="false">'Unit Mix'!$G$6+Assumptions!$C$48*Assumptions!$C$47*(C319-'Unit Mix'!$G$6)</f>
        <v>1488.74375</v>
      </c>
      <c r="D320" s="30" t="n">
        <f aca="false">C320+Assumptions!$C$48*Assumptions!$C$47*(D319-C320)</f>
        <v>1526.07053125</v>
      </c>
      <c r="E320" s="30" t="n">
        <f aca="false">D320+Assumptions!$C$48*Assumptions!$C$47*(E319-D320)</f>
        <v>1568.76804359375</v>
      </c>
      <c r="F320" s="30" t="n">
        <f aca="false">E320+Assumptions!$C$48*Assumptions!$C$47*(F319-E320)</f>
        <v>1618.21841638047</v>
      </c>
      <c r="G320" s="30" t="n">
        <f aca="false">F320+Assumptions!$C$48*Assumptions!$C$47*(G319-F320)</f>
        <v>1673.30440004184</v>
      </c>
      <c r="H320" s="30" t="n">
        <f aca="false">G320+Assumptions!$C$48*Assumptions!$C$47*(H319-G320)</f>
        <v>1733.24558012297</v>
      </c>
    </row>
    <row r="321" customFormat="false" ht="15" hidden="false" customHeight="false" outlineLevel="0" collapsed="false">
      <c r="A321" s="2" t="s">
        <v>753</v>
      </c>
      <c r="C321" s="30" t="n">
        <f aca="false">'Unit Mix'!$H$7*(1+('Operating Model'!B$6+F$21))</f>
        <v>1815.6</v>
      </c>
      <c r="D321" s="30" t="n">
        <f aca="false">C321*(1+('Operating Model'!C$6+F$21))</f>
        <v>1865.529</v>
      </c>
      <c r="E321" s="30" t="n">
        <f aca="false">D321*(1+('Operating Model'!D$6+F$21))</f>
        <v>1930.822515</v>
      </c>
      <c r="F321" s="30" t="n">
        <f aca="false">E321*(1+('Operating Model'!E$6+F$21))</f>
        <v>2008.0554156</v>
      </c>
      <c r="G321" s="30" t="n">
        <f aca="false">F321*(1+('Operating Model'!F$6+F$21))</f>
        <v>2088.377632224</v>
      </c>
      <c r="H321" s="30" t="n">
        <f aca="false">G321*(1+('Operating Model'!G$6+F$21))</f>
        <v>2171.91273751296</v>
      </c>
    </row>
    <row r="322" customFormat="false" ht="15" hidden="false" customHeight="false" outlineLevel="0" collapsed="false">
      <c r="A322" s="2" t="s">
        <v>754</v>
      </c>
      <c r="C322" s="30" t="n">
        <f aca="false">'Unit Mix'!$G$7+Assumptions!$C$48*Assumptions!$C$47*(C321-'Unit Mix'!$G$7)</f>
        <v>1712.39625</v>
      </c>
      <c r="D322" s="30" t="n">
        <f aca="false">C322+Assumptions!$C$48*Assumptions!$C$47*(D321-C322)</f>
        <v>1754.50775625</v>
      </c>
      <c r="E322" s="30" t="n">
        <f aca="false">D322+Assumptions!$C$48*Assumptions!$C$47*(E321-D322)</f>
        <v>1802.99431490625</v>
      </c>
      <c r="F322" s="30" t="n">
        <f aca="false">E322+Assumptions!$C$48*Assumptions!$C$47*(F321-E322)</f>
        <v>1859.38611759703</v>
      </c>
      <c r="G322" s="30" t="n">
        <f aca="false">F322+Assumptions!$C$48*Assumptions!$C$47*(G321-F322)</f>
        <v>1922.35878411945</v>
      </c>
      <c r="H322" s="30" t="n">
        <f aca="false">G322+Assumptions!$C$48*Assumptions!$C$47*(H321-G322)</f>
        <v>1990.98612130266</v>
      </c>
    </row>
    <row r="323" customFormat="false" ht="15" hidden="false" customHeight="false" outlineLevel="0" collapsed="false">
      <c r="A323" s="2" t="s">
        <v>755</v>
      </c>
      <c r="C323" s="30" t="n">
        <f aca="false">'Unit Mix'!$H$8*(1+('Operating Model'!B$6+F$21))</f>
        <v>2091</v>
      </c>
      <c r="D323" s="30" t="n">
        <f aca="false">C323*(1+('Operating Model'!C$6+F$21))</f>
        <v>2148.5025</v>
      </c>
      <c r="E323" s="30" t="n">
        <f aca="false">D323*(1+('Operating Model'!D$6+F$21))</f>
        <v>2223.7000875</v>
      </c>
      <c r="F323" s="30" t="n">
        <f aca="false">E323*(1+('Operating Model'!E$6+F$21))</f>
        <v>2312.648091</v>
      </c>
      <c r="G323" s="30" t="n">
        <f aca="false">F323*(1+('Operating Model'!F$6+F$21))</f>
        <v>2405.15401464</v>
      </c>
      <c r="H323" s="30" t="n">
        <f aca="false">G323*(1+('Operating Model'!G$6+F$21))</f>
        <v>2501.3601752256</v>
      </c>
    </row>
    <row r="324" customFormat="false" ht="15" hidden="false" customHeight="false" outlineLevel="0" collapsed="false">
      <c r="A324" s="2" t="s">
        <v>756</v>
      </c>
      <c r="C324" s="30" t="n">
        <f aca="false">'Unit Mix'!$G$8+Assumptions!$C$48*Assumptions!$C$47*(C323-'Unit Mix'!$G$8)</f>
        <v>1972.4625</v>
      </c>
      <c r="D324" s="30" t="n">
        <f aca="false">C324+Assumptions!$C$48*Assumptions!$C$47*(D323-C324)</f>
        <v>2020.8735</v>
      </c>
      <c r="E324" s="30" t="n">
        <f aca="false">D324+Assumptions!$C$48*Assumptions!$C$47*(E323-D324)</f>
        <v>2076.6508115625</v>
      </c>
      <c r="F324" s="30" t="n">
        <f aca="false">E324+Assumptions!$C$48*Assumptions!$C$47*(F323-E324)</f>
        <v>2141.55006340781</v>
      </c>
      <c r="G324" s="30" t="n">
        <f aca="false">F324+Assumptions!$C$48*Assumptions!$C$47*(G323-F324)</f>
        <v>2214.04114999666</v>
      </c>
      <c r="H324" s="30" t="n">
        <f aca="false">G324+Assumptions!$C$48*Assumptions!$C$47*(H323-G324)</f>
        <v>2293.05388193462</v>
      </c>
    </row>
    <row r="325" customFormat="false" ht="15" hidden="false" customHeight="false" outlineLevel="0" collapsed="false">
      <c r="A325" s="2" t="s">
        <v>757</v>
      </c>
      <c r="C325" s="30" t="n">
        <f aca="false">'Unit Mix'!$H$9*(1+('Operating Model'!B$6+F$21))</f>
        <v>2244</v>
      </c>
      <c r="D325" s="30" t="n">
        <f aca="false">C325*(1+('Operating Model'!C$6+F$21))</f>
        <v>2305.71</v>
      </c>
      <c r="E325" s="30" t="n">
        <f aca="false">D325*(1+('Operating Model'!D$6+F$21))</f>
        <v>2386.40985</v>
      </c>
      <c r="F325" s="30" t="n">
        <f aca="false">E325*(1+('Operating Model'!E$6+F$21))</f>
        <v>2481.866244</v>
      </c>
      <c r="G325" s="30" t="n">
        <f aca="false">F325*(1+('Operating Model'!F$6+F$21))</f>
        <v>2581.14089376</v>
      </c>
      <c r="H325" s="30" t="n">
        <f aca="false">G325*(1+('Operating Model'!G$6+F$21))</f>
        <v>2684.3865295104</v>
      </c>
    </row>
    <row r="326" customFormat="false" ht="15" hidden="false" customHeight="false" outlineLevel="0" collapsed="false">
      <c r="A326" s="2" t="s">
        <v>758</v>
      </c>
      <c r="C326" s="30" t="n">
        <f aca="false">'Unit Mix'!$G$9+Assumptions!$C$48*Assumptions!$C$47*(C325-'Unit Mix'!$G$9)</f>
        <v>2116.94375</v>
      </c>
      <c r="D326" s="30" t="n">
        <f aca="false">C326+Assumptions!$C$48*Assumptions!$C$47*(D325-C326)</f>
        <v>2168.85446875</v>
      </c>
      <c r="E326" s="30" t="n">
        <f aca="false">D326+Assumptions!$C$48*Assumptions!$C$47*(E325-D326)</f>
        <v>2228.68219859375</v>
      </c>
      <c r="F326" s="30" t="n">
        <f aca="false">E326+Assumptions!$C$48*Assumptions!$C$47*(F325-E326)</f>
        <v>2298.30781108047</v>
      </c>
      <c r="G326" s="30" t="n">
        <f aca="false">F326+Assumptions!$C$48*Assumptions!$C$47*(G325-F326)</f>
        <v>2376.08690881734</v>
      </c>
      <c r="H326" s="30" t="n">
        <f aca="false">G326+Assumptions!$C$48*Assumptions!$C$47*(H325-G326)</f>
        <v>2460.86930450793</v>
      </c>
    </row>
    <row r="327" customFormat="false" ht="15" hidden="false" customHeight="false" outlineLevel="0" collapsed="false">
      <c r="A327" s="2" t="s">
        <v>759</v>
      </c>
      <c r="C327" s="30" t="n">
        <f aca="false">('Unit Mix'!$C$6*('Unit Mix'!$F$6*(1-Assumptions!$C$39)+(C319+Assumptions!$C$37)*Assumptions!$C$39)+'Unit Mix'!$D$6*C320+'Unit Mix'!$C$7*('Unit Mix'!$F$7*(1-Assumptions!$C$39)+(C321+Assumptions!$C$37)*Assumptions!$C$39)+'Unit Mix'!$D$7*C322+'Unit Mix'!$C$8*('Unit Mix'!$F$8*(1-Assumptions!$C$39)+(C323+Assumptions!$C$37)*Assumptions!$C$39)+'Unit Mix'!$D$8*C324+'Unit Mix'!$C$9*('Unit Mix'!$F$9*(1-Assumptions!$C$39)+(C325+Assumptions!$C$37)*Assumptions!$C$39)+'Unit Mix'!$D$9*C326)*12</f>
        <v>2024051.19</v>
      </c>
      <c r="D327" s="30" t="n">
        <f aca="false">('Unit Mix'!$C$6*(D319+Assumptions!$C$37)+'Unit Mix'!$D$6*D320+'Unit Mix'!$C$7*(D321+Assumptions!$C$37)+'Unit Mix'!$D$7*D322+'Unit Mix'!$C$8*(D323+Assumptions!$C$37)+'Unit Mix'!$D$8*D324+'Unit Mix'!$C$9*(D325+Assumptions!$C$37)+'Unit Mix'!$D$9*D326)*12</f>
        <v>2126858.0151</v>
      </c>
      <c r="E327" s="30" t="n">
        <f aca="false">('Unit Mix'!$C$6*(E319+Assumptions!$C$37)+'Unit Mix'!$D$6*E320+'Unit Mix'!$C$7*(E321+Assumptions!$C$37)+'Unit Mix'!$D$7*E322+'Unit Mix'!$C$8*(E323+Assumptions!$C$37)+'Unit Mix'!$D$8*E324+'Unit Mix'!$C$9*(E325+Assumptions!$C$37)+'Unit Mix'!$D$9*E326)*12</f>
        <v>2189729.26227975</v>
      </c>
      <c r="F327" s="30" t="n">
        <f aca="false">('Unit Mix'!$C$6*(F319+Assumptions!$C$37)+'Unit Mix'!$D$6*F320+'Unit Mix'!$C$7*(F321+Assumptions!$C$37)+'Unit Mix'!$D$7*F322+'Unit Mix'!$C$8*(F323+Assumptions!$C$37)+'Unit Mix'!$D$8*F324+'Unit Mix'!$C$9*(F325+Assumptions!$C$37)+'Unit Mix'!$D$9*F326)*12</f>
        <v>2263203.92124911</v>
      </c>
      <c r="G327" s="30" t="n">
        <f aca="false">('Unit Mix'!$C$6*(G319+Assumptions!$C$37)+'Unit Mix'!$D$6*G320+'Unit Mix'!$C$7*(G321+Assumptions!$C$37)+'Unit Mix'!$D$7*G322+'Unit Mix'!$C$8*(G323+Assumptions!$C$37)+'Unit Mix'!$D$8*G324+'Unit Mix'!$C$9*(G325+Assumptions!$C$37)+'Unit Mix'!$D$9*G326)*12</f>
        <v>2343499.05724575</v>
      </c>
      <c r="H327" s="30" t="n">
        <f aca="false">('Unit Mix'!$C$6*(H319+Assumptions!$C$37)+'Unit Mix'!$D$6*H320+'Unit Mix'!$C$7*(H321+Assumptions!$C$37)+'Unit Mix'!$D$7*H322+'Unit Mix'!$C$8*(H323+Assumptions!$C$37)+'Unit Mix'!$D$8*H324+'Unit Mix'!$C$9*(H325+Assumptions!$C$37)+'Unit Mix'!$D$9*H326)*12</f>
        <v>2429820.07941691</v>
      </c>
    </row>
    <row r="328" customFormat="false" ht="15" hidden="false" customHeight="false" outlineLevel="0" collapsed="false">
      <c r="A328" s="2" t="s">
        <v>760</v>
      </c>
      <c r="C328" s="30" t="n">
        <f aca="false">'Operating Model'!B49-'Operating Model'!B42+'Operating Model'!$B$42*1*(1+Assumptions!$C$18+F$21)^('Operating Model'!B$4-1)+((C327-'Operating Model'!B25)+0)*(1-(Assumptions!$C$42+Assumptions!$C$43+Assumptions!$C$44))*(1-Assumptions!$C$75)</f>
        <v>884460.903482</v>
      </c>
      <c r="D328" s="30" t="n">
        <f aca="false">'Operating Model'!C49-'Operating Model'!C42+'Operating Model'!$B$42*1*(1+Assumptions!$C$18+F$21)^('Operating Model'!C$4-1)+((D327-'Operating Model'!C25)+0)*(1-(Assumptions!$C$42+Assumptions!$C$43+Assumptions!$C$44))*(1-Assumptions!$C$75)</f>
        <v>933821.71333278</v>
      </c>
      <c r="E328" s="30" t="n">
        <f aca="false">'Operating Model'!D49-'Operating Model'!D42+'Operating Model'!$B$42*1*(1+Assumptions!$C$18+F$21)^('Operating Model'!D$4-1)+((E327-'Operating Model'!D25)+0)*(1-(Assumptions!$C$42+Assumptions!$C$43+Assumptions!$C$44))*(1-Assumptions!$C$75)</f>
        <v>945604.576849327</v>
      </c>
      <c r="F328" s="30" t="n">
        <f aca="false">'Operating Model'!E49-'Operating Model'!E42+'Operating Model'!$B$42*1*(1+Assumptions!$C$18+F$21)^('Operating Model'!E$4-1)+((F327-'Operating Model'!E25)+0)*(1-(Assumptions!$C$42+Assumptions!$C$43+Assumptions!$C$44))*(1-Assumptions!$C$75)</f>
        <v>964559.566882887</v>
      </c>
      <c r="G328" s="30" t="n">
        <f aca="false">'Operating Model'!F49-'Operating Model'!F42+'Operating Model'!$B$42*1*(1+Assumptions!$C$18+F$21)^('Operating Model'!F$4-1)+((G327-'Operating Model'!F25)+0)*(1-(Assumptions!$C$42+Assumptions!$C$43+Assumptions!$C$44))*(1-Assumptions!$C$75)</f>
        <v>987202.596927516</v>
      </c>
      <c r="H328" s="30" t="n">
        <f aca="false">'Operating Model'!G49-'Operating Model'!G42+'Operating Model'!$B$42*1*(1+Assumptions!$C$18+F$21)^('Operating Model'!G$4-1)+((H327-'Operating Model'!G25)+0)*(1-(Assumptions!$C$42+Assumptions!$C$43+Assumptions!$C$44))*(1-Assumptions!$C$75)</f>
        <v>1012695.01997768</v>
      </c>
      <c r="I328" s="30" t="n">
        <f aca="false">H328-'Operating Model'!$B$42*1*(1+Assumptions!$C$18+F$21)^('Operating Model'!G$4-1)</f>
        <v>1300562.18977194</v>
      </c>
    </row>
    <row r="329" customFormat="false" ht="15" hidden="false" customHeight="false" outlineLevel="0" collapsed="false">
      <c r="A329" s="2" t="s">
        <v>761</v>
      </c>
      <c r="B329" s="30" t="n">
        <f aca="false">Assumptions!$C$7*1</f>
        <v>13800000</v>
      </c>
      <c r="C329" s="30" t="n">
        <f aca="false">MAX(0,(Assumptions!$C$124+Assumptions!$C$127)-Assumptions!$C$132*B329)</f>
        <v>0</v>
      </c>
      <c r="D329" s="30" t="n">
        <f aca="false">Assumptions!$C$124-MAX(0,C329-Assumptions!$C$127)</f>
        <v>5887000</v>
      </c>
      <c r="E329" s="30" t="n">
        <f aca="false">Assumptions!$C$127-MIN(C329,Assumptions!$C$127)</f>
        <v>3563000</v>
      </c>
      <c r="F329" s="30" t="n">
        <f aca="false">B329*(1+Assumptions!$C$10)+'Unit Mix'!$D$18*1+(D329+E329)*Assumptions!$C$131-(D329+E329)</f>
        <v>5095290</v>
      </c>
      <c r="G329" s="30" t="n">
        <f aca="false">IF(Assumptions!$C$130=1,D329+E329,-FV(Assumptions!$C$125,Assumptions!$C$126,PMT(Assumptions!$C$125,Assumptions!$C$111,D329),D329)-FV(Assumptions!$C$128,Assumptions!$C$126,PMT(Assumptions!$C$128,Assumptions!$C$111,E329),E329))</f>
        <v>9450000</v>
      </c>
      <c r="H329" s="30" t="n">
        <f aca="false">MIN(INDEX(C328:H328,Assumptions!$C$126+1)/$A$23*Assumptions!$C$108,INDEX(C328:H328,Assumptions!$C$126+1)/(Assumptions!$C$109*-PMT('Debt (Assumed)'!$B$99,Assumptions!$C$111,1)))</f>
        <v>9113456.8488396</v>
      </c>
      <c r="I329" s="30" t="n">
        <f aca="false">IF(MAX(0,Assumptions!$C$154-Assumptions!$C$126-'Debt (Assumed)'!$B$100)=0,H329,-FV('Debt (Assumed)'!$B$98,MAX(0,Assumptions!$C$154-Assumptions!$C$126-'Debt (Assumed)'!$B$100),PMT('Debt (Assumed)'!$B$98,Assumptions!$C$111,H329),H329))</f>
        <v>9113456.8488396</v>
      </c>
      <c r="J329" s="30" t="n">
        <f aca="false">I329*'Debt (Assumed)'!$B$102</f>
        <v>0</v>
      </c>
      <c r="K329" s="30" t="n">
        <f aca="false">I328/($A$23+Returns!$B$35)*(1-Assumptions!$C$158)-I329-J329</f>
        <v>7196546.82990139</v>
      </c>
      <c r="L329" s="30" t="n">
        <f aca="false">H329*'Debt (Assumed)'!$B$101</f>
        <v>98425.3339674677</v>
      </c>
      <c r="M329" s="30" t="n">
        <f aca="false">(INDEX(C328:H328,Assumptions!$C$126+1)-'Operating Model'!$B$42*1*(1+Assumptions!$C$18+F$21)^Assumptions!$C$126)/($A$23+Returns!$B$35)*(1-Assumptions!$C$158)-G329</f>
        <v>5983992.7877373</v>
      </c>
    </row>
    <row r="330" customFormat="false" ht="15" hidden="false" customHeight="false" outlineLevel="0" collapsed="false">
      <c r="A330" s="2" t="s">
        <v>762</v>
      </c>
      <c r="C330" s="30" t="n">
        <f aca="false">IF('Operating Model'!B$4&lt;=Assumptions!$C$126,IF(Assumptions!$C$130=1,D329*Assumptions!$C$125+E329*Assumptions!$C$128,-PMT(Assumptions!$C$125,Assumptions!$C$111,D329)-PMT(Assumptions!$C$128,Assumptions!$C$111,E329)),IF(Assumptions!$C$136=1,0,IF('Operating Model'!B$4-Assumptions!$C$126&lt;='Debt (Assumed)'!$B$100,H329*'Debt (Assumed)'!$B$98,-PMT('Debt (Assumed)'!$B$98,Assumptions!$C$111,H329))))</f>
        <v>397516</v>
      </c>
      <c r="D330" s="30" t="n">
        <f aca="false">IF('Operating Model'!C$4&lt;=Assumptions!$C$126,IF(Assumptions!$C$130=1,D329*Assumptions!$C$125+E329*Assumptions!$C$128,-PMT(Assumptions!$C$125,Assumptions!$C$111,D329)-PMT(Assumptions!$C$128,Assumptions!$C$111,E329)),IF(Assumptions!$C$136=1,0,IF('Operating Model'!C$4-Assumptions!$C$126&lt;='Debt (Assumed)'!$B$100,H329*'Debt (Assumed)'!$B$98,-PMT('Debt (Assumed)'!$B$98,Assumptions!$C$111,H329))))</f>
        <v>397516</v>
      </c>
      <c r="E330" s="30" t="n">
        <f aca="false">IF('Operating Model'!D$4&lt;=Assumptions!$C$126,IF(Assumptions!$C$130=1,D329*Assumptions!$C$125+E329*Assumptions!$C$128,-PMT(Assumptions!$C$125,Assumptions!$C$111,D329)-PMT(Assumptions!$C$128,Assumptions!$C$111,E329)),IF(Assumptions!$C$136=1,0,IF('Operating Model'!D$4-Assumptions!$C$126&lt;='Debt (Assumed)'!$B$100,H329*'Debt (Assumed)'!$B$98,-PMT('Debt (Assumed)'!$B$98,Assumptions!$C$111,H329))))</f>
        <v>397516</v>
      </c>
      <c r="F330" s="30" t="n">
        <f aca="false">IF('Operating Model'!E$4&lt;=Assumptions!$C$126,IF(Assumptions!$C$130=1,D329*Assumptions!$C$125+E329*Assumptions!$C$128,-PMT(Assumptions!$C$125,Assumptions!$C$111,D329)-PMT(Assumptions!$C$128,Assumptions!$C$111,E329)),IF(Assumptions!$C$136=1,0,IF('Operating Model'!E$4-Assumptions!$C$126&lt;='Debt (Assumed)'!$B$100,H329*'Debt (Assumed)'!$B$98,-PMT('Debt (Assumed)'!$B$98,Assumptions!$C$111,H329))))</f>
        <v>614246.991611789</v>
      </c>
      <c r="G330" s="30" t="n">
        <f aca="false">IF('Operating Model'!F$4&lt;=Assumptions!$C$126,IF(Assumptions!$C$130=1,D329*Assumptions!$C$125+E329*Assumptions!$C$128,-PMT(Assumptions!$C$125,Assumptions!$C$111,D329)-PMT(Assumptions!$C$128,Assumptions!$C$111,E329)),IF(Assumptions!$C$136=1,0,IF('Operating Model'!F$4-Assumptions!$C$126&lt;='Debt (Assumed)'!$B$100,H329*'Debt (Assumed)'!$B$98,-PMT('Debt (Assumed)'!$B$98,Assumptions!$C$111,H329))))</f>
        <v>614246.991611789</v>
      </c>
    </row>
    <row r="331" customFormat="false" ht="15" hidden="false" customHeight="false" outlineLevel="0" collapsed="false">
      <c r="A331" s="2" t="s">
        <v>763</v>
      </c>
      <c r="B331" s="30" t="n">
        <f aca="false">-F329</f>
        <v>-5095290</v>
      </c>
      <c r="C331" s="30" t="n">
        <f aca="false">IF(AND(Assumptions!$C$136=1,'Operating Model'!B$4&gt;Assumptions!$C$126),0,'Operating Model'!B55+(C328-'Operating Model'!B49)-C330-IF('Operating Model'!B$4=Assumptions!$C$126,IF(Assumptions!$C$136=1,-M329,G329-H329+L329),0)+IF(AND(Assumptions!$C$136&lt;&gt;1,'Operating Model'!B$4=Assumptions!$C$154),K329,0))</f>
        <v>457844.903482</v>
      </c>
      <c r="D331" s="30" t="n">
        <f aca="false">IF(AND(Assumptions!$C$136=1,'Operating Model'!C$4&gt;Assumptions!$C$126),0,'Operating Model'!C55+(D328-'Operating Model'!C49)-D330-IF('Operating Model'!C$4=Assumptions!$C$126,IF(Assumptions!$C$136=1,-M329,G329-H329+L329),0)+IF(AND(Assumptions!$C$136&lt;&gt;1,'Operating Model'!C$4=Assumptions!$C$154),K329,0))</f>
        <v>346187.21333278</v>
      </c>
      <c r="E331" s="30" t="n">
        <f aca="false">IF(AND(Assumptions!$C$136=1,'Operating Model'!D$4&gt;Assumptions!$C$126),0,'Operating Model'!D55+(E328-'Operating Model'!D49)-E330-IF('Operating Model'!D$4=Assumptions!$C$126,IF(Assumptions!$C$136=1,-M329,G329-H329+L329),0)+IF(AND(Assumptions!$C$136&lt;&gt;1,'Operating Model'!D$4=Assumptions!$C$154),K329,0))</f>
        <v>81947.4442214627</v>
      </c>
      <c r="F331" s="30" t="n">
        <f aca="false">IF(AND(Assumptions!$C$136=1,'Operating Model'!E$4&gt;Assumptions!$C$126),0,'Operating Model'!E55+(F328-'Operating Model'!E49)-F330-IF('Operating Model'!E$4=Assumptions!$C$126,IF(Assumptions!$C$136=1,-M329,G329-H329+L329),0)+IF(AND(Assumptions!$C$136&lt;&gt;1,'Operating Model'!E$4=Assumptions!$C$154),K329,0))</f>
        <v>318048.885108598</v>
      </c>
      <c r="G331" s="30" t="n">
        <f aca="false">IF(AND(Assumptions!$C$136=1,'Operating Model'!F$4&gt;Assumptions!$C$126),0,'Operating Model'!F55+(G328-'Operating Model'!F49)-G330-IF('Operating Model'!F$4=Assumptions!$C$126,IF(Assumptions!$C$136=1,-M329,G329-H329+L329),0)+IF(AND(Assumptions!$C$136&lt;&gt;1,'Operating Model'!F$4=Assumptions!$C$154),K329,0))</f>
        <v>7536109.51589893</v>
      </c>
      <c r="H331" s="22" t="n">
        <f aca="false">IFERROR(IRR(B331:G331),"N/A")</f>
        <v>0.126153011015483</v>
      </c>
      <c r="I331" s="24" t="n">
        <f aca="false">SUM(C331:G331)/F329</f>
        <v>1.7153367054758</v>
      </c>
    </row>
    <row r="333" customFormat="false" ht="15" hidden="false" customHeight="false" outlineLevel="0" collapsed="false">
      <c r="A333" s="2" t="s">
        <v>764</v>
      </c>
      <c r="C333" s="30" t="n">
        <f aca="false">'Unit Mix'!$H$6*(1+('Operating Model'!B$6+B$21))</f>
        <v>1550</v>
      </c>
      <c r="D333" s="30" t="n">
        <f aca="false">C333*(1+('Operating Model'!C$6+B$21))</f>
        <v>1561.625</v>
      </c>
      <c r="E333" s="30" t="n">
        <f aca="false">D333*(1+('Operating Model'!D$6+B$21))</f>
        <v>1585.049375</v>
      </c>
      <c r="F333" s="30" t="n">
        <f aca="false">E333*(1+('Operating Model'!E$6+B$21))</f>
        <v>1616.7503625</v>
      </c>
      <c r="G333" s="30" t="n">
        <f aca="false">F333*(1+('Operating Model'!F$6+B$21))</f>
        <v>1649.08536975</v>
      </c>
      <c r="H333" s="30" t="n">
        <f aca="false">G333*(1+('Operating Model'!G$6+B$21))</f>
        <v>1682.067077145</v>
      </c>
    </row>
    <row r="334" customFormat="false" ht="15" hidden="false" customHeight="false" outlineLevel="0" collapsed="false">
      <c r="A334" s="2" t="s">
        <v>765</v>
      </c>
      <c r="C334" s="30" t="n">
        <f aca="false">'Unit Mix'!$G$6+Assumptions!$C$48*Assumptions!$C$47*(C333-'Unit Mix'!$G$6)</f>
        <v>1480.21875</v>
      </c>
      <c r="D334" s="30" t="n">
        <f aca="false">C334+Assumptions!$C$48*Assumptions!$C$47*(D333-C334)</f>
        <v>1502.60546875</v>
      </c>
      <c r="E334" s="30" t="n">
        <f aca="false">D334+Assumptions!$C$48*Assumptions!$C$47*(E333-D334)</f>
        <v>1525.27754296875</v>
      </c>
      <c r="F334" s="30" t="n">
        <f aca="false">E334+Assumptions!$C$48*Assumptions!$C$47*(F333-E334)</f>
        <v>1550.43256833984</v>
      </c>
      <c r="G334" s="30" t="n">
        <f aca="false">F334+Assumptions!$C$48*Assumptions!$C$47*(G333-F334)</f>
        <v>1577.56208872764</v>
      </c>
      <c r="H334" s="30" t="n">
        <f aca="false">G334+Assumptions!$C$48*Assumptions!$C$47*(H333-G334)</f>
        <v>1606.30096054241</v>
      </c>
    </row>
    <row r="335" customFormat="false" ht="15" hidden="false" customHeight="false" outlineLevel="0" collapsed="false">
      <c r="A335" s="2" t="s">
        <v>766</v>
      </c>
      <c r="C335" s="30" t="n">
        <f aca="false">'Unit Mix'!$H$7*(1+('Operating Model'!B$6+B$21))</f>
        <v>1780</v>
      </c>
      <c r="D335" s="30" t="n">
        <f aca="false">C335*(1+('Operating Model'!C$6+B$21))</f>
        <v>1793.35</v>
      </c>
      <c r="E335" s="30" t="n">
        <f aca="false">D335*(1+('Operating Model'!D$6+B$21))</f>
        <v>1820.25025</v>
      </c>
      <c r="F335" s="30" t="n">
        <f aca="false">E335*(1+('Operating Model'!E$6+B$21))</f>
        <v>1856.655255</v>
      </c>
      <c r="G335" s="30" t="n">
        <f aca="false">F335*(1+('Operating Model'!F$6+B$21))</f>
        <v>1893.7883601</v>
      </c>
      <c r="H335" s="30" t="n">
        <f aca="false">G335*(1+('Operating Model'!G$6+B$21))</f>
        <v>1931.664127302</v>
      </c>
    </row>
    <row r="336" customFormat="false" ht="15" hidden="false" customHeight="false" outlineLevel="0" collapsed="false">
      <c r="A336" s="2" t="s">
        <v>767</v>
      </c>
      <c r="C336" s="30" t="n">
        <f aca="false">'Unit Mix'!$G$7+Assumptions!$C$48*Assumptions!$C$47*(C335-'Unit Mix'!$G$7)</f>
        <v>1702.60625</v>
      </c>
      <c r="D336" s="30" t="n">
        <f aca="false">C336+Assumptions!$C$48*Assumptions!$C$47*(D335-C336)</f>
        <v>1727.56078125</v>
      </c>
      <c r="E336" s="30" t="n">
        <f aca="false">D336+Assumptions!$C$48*Assumptions!$C$47*(E335-D336)</f>
        <v>1753.05038515625</v>
      </c>
      <c r="F336" s="30" t="n">
        <f aca="false">E336+Assumptions!$C$48*Assumptions!$C$47*(F335-E336)</f>
        <v>1781.54172436328</v>
      </c>
      <c r="G336" s="30" t="n">
        <f aca="false">F336+Assumptions!$C$48*Assumptions!$C$47*(G335-F336)</f>
        <v>1812.40954919088</v>
      </c>
      <c r="H336" s="30" t="n">
        <f aca="false">G336+Assumptions!$C$48*Assumptions!$C$47*(H335-G336)</f>
        <v>1845.20455817144</v>
      </c>
    </row>
    <row r="337" customFormat="false" ht="15" hidden="false" customHeight="false" outlineLevel="0" collapsed="false">
      <c r="A337" s="2" t="s">
        <v>768</v>
      </c>
      <c r="C337" s="30" t="n">
        <f aca="false">'Unit Mix'!$H$8*(1+('Operating Model'!B$6+B$21))</f>
        <v>2050</v>
      </c>
      <c r="D337" s="30" t="n">
        <f aca="false">C337*(1+('Operating Model'!C$6+B$21))</f>
        <v>2065.375</v>
      </c>
      <c r="E337" s="30" t="n">
        <f aca="false">D337*(1+('Operating Model'!D$6+B$21))</f>
        <v>2096.355625</v>
      </c>
      <c r="F337" s="30" t="n">
        <f aca="false">E337*(1+('Operating Model'!E$6+B$21))</f>
        <v>2138.2827375</v>
      </c>
      <c r="G337" s="30" t="n">
        <f aca="false">F337*(1+('Operating Model'!F$6+B$21))</f>
        <v>2181.04839225</v>
      </c>
      <c r="H337" s="30" t="n">
        <f aca="false">G337*(1+('Operating Model'!G$6+B$21))</f>
        <v>2224.669360095</v>
      </c>
    </row>
    <row r="338" customFormat="false" ht="15" hidden="false" customHeight="false" outlineLevel="0" collapsed="false">
      <c r="A338" s="2" t="s">
        <v>769</v>
      </c>
      <c r="C338" s="30" t="n">
        <f aca="false">'Unit Mix'!$G$8+Assumptions!$C$48*Assumptions!$C$47*(C337-'Unit Mix'!$G$8)</f>
        <v>1961.1875</v>
      </c>
      <c r="D338" s="30" t="n">
        <f aca="false">C338+Assumptions!$C$48*Assumptions!$C$47*(D337-C338)</f>
        <v>1989.8390625</v>
      </c>
      <c r="E338" s="30" t="n">
        <f aca="false">D338+Assumptions!$C$48*Assumptions!$C$47*(E337-D338)</f>
        <v>2019.1311171875</v>
      </c>
      <c r="F338" s="30" t="n">
        <f aca="false">E338+Assumptions!$C$48*Assumptions!$C$47*(F337-E338)</f>
        <v>2051.89781277344</v>
      </c>
      <c r="G338" s="30" t="n">
        <f aca="false">F338+Assumptions!$C$48*Assumptions!$C$47*(G337-F338)</f>
        <v>2087.41422212949</v>
      </c>
      <c r="H338" s="30" t="n">
        <f aca="false">G338+Assumptions!$C$48*Assumptions!$C$47*(H337-G338)</f>
        <v>2125.15938507001</v>
      </c>
    </row>
    <row r="339" customFormat="false" ht="15" hidden="false" customHeight="false" outlineLevel="0" collapsed="false">
      <c r="A339" s="2" t="s">
        <v>770</v>
      </c>
      <c r="C339" s="30" t="n">
        <f aca="false">'Unit Mix'!$H$9*(1+('Operating Model'!B$6+B$21))</f>
        <v>2200</v>
      </c>
      <c r="D339" s="30" t="n">
        <f aca="false">C339*(1+('Operating Model'!C$6+B$21))</f>
        <v>2216.5</v>
      </c>
      <c r="E339" s="30" t="n">
        <f aca="false">D339*(1+('Operating Model'!D$6+B$21))</f>
        <v>2249.7475</v>
      </c>
      <c r="F339" s="30" t="n">
        <f aca="false">E339*(1+('Operating Model'!E$6+B$21))</f>
        <v>2294.74245</v>
      </c>
      <c r="G339" s="30" t="n">
        <f aca="false">F339*(1+('Operating Model'!F$6+B$21))</f>
        <v>2340.637299</v>
      </c>
      <c r="H339" s="30" t="n">
        <f aca="false">G339*(1+('Operating Model'!G$6+B$21))</f>
        <v>2387.45004498</v>
      </c>
    </row>
    <row r="340" customFormat="false" ht="15" hidden="false" customHeight="false" outlineLevel="0" collapsed="false">
      <c r="A340" s="2" t="s">
        <v>771</v>
      </c>
      <c r="C340" s="30" t="n">
        <f aca="false">'Unit Mix'!$G$9+Assumptions!$C$48*Assumptions!$C$47*(C339-'Unit Mix'!$G$9)</f>
        <v>2104.84375</v>
      </c>
      <c r="D340" s="30" t="n">
        <f aca="false">C340+Assumptions!$C$48*Assumptions!$C$47*(D339-C340)</f>
        <v>2135.54921875</v>
      </c>
      <c r="E340" s="30" t="n">
        <f aca="false">D340+Assumptions!$C$48*Assumptions!$C$47*(E339-D340)</f>
        <v>2166.95374609375</v>
      </c>
      <c r="F340" s="30" t="n">
        <f aca="false">E340+Assumptions!$C$48*Assumptions!$C$47*(F339-E340)</f>
        <v>2202.09563966797</v>
      </c>
      <c r="G340" s="30" t="n">
        <f aca="false">F340+Assumptions!$C$48*Assumptions!$C$47*(G339-F340)</f>
        <v>2240.19459598428</v>
      </c>
      <c r="H340" s="30" t="n">
        <f aca="false">G340+Assumptions!$C$48*Assumptions!$C$47*(H339-G340)</f>
        <v>2280.6898444581</v>
      </c>
    </row>
    <row r="341" customFormat="false" ht="15" hidden="false" customHeight="false" outlineLevel="0" collapsed="false">
      <c r="A341" s="2" t="s">
        <v>772</v>
      </c>
      <c r="C341" s="30" t="n">
        <f aca="false">('Unit Mix'!$C$6*('Unit Mix'!$F$6*(1-Assumptions!$C$39)+(C333+Assumptions!$C$37)*Assumptions!$C$39)+'Unit Mix'!$D$6*C334+'Unit Mix'!$C$7*('Unit Mix'!$F$7*(1-Assumptions!$C$39)+(C335+Assumptions!$C$37)*Assumptions!$C$39)+'Unit Mix'!$D$7*C336+'Unit Mix'!$C$8*('Unit Mix'!$F$8*(1-Assumptions!$C$39)+(C337+Assumptions!$C$37)*Assumptions!$C$39)+'Unit Mix'!$D$8*C338+'Unit Mix'!$C$9*('Unit Mix'!$F$9*(1-Assumptions!$C$39)+(C339+Assumptions!$C$37)*Assumptions!$C$39)+'Unit Mix'!$D$9*C340)*12</f>
        <v>2010015.45</v>
      </c>
      <c r="D341" s="30" t="n">
        <f aca="false">('Unit Mix'!$C$6*(D333+Assumptions!$C$37)+'Unit Mix'!$D$6*D334+'Unit Mix'!$C$7*(D335+Assumptions!$C$37)+'Unit Mix'!$D$7*D336+'Unit Mix'!$C$8*(D337+Assumptions!$C$37)+'Unit Mix'!$D$8*D338+'Unit Mix'!$C$9*(D339+Assumptions!$C$37)+'Unit Mix'!$D$9*D340)*12</f>
        <v>2081427.15375</v>
      </c>
      <c r="E341" s="30" t="n">
        <f aca="false">('Unit Mix'!$C$6*(E333+Assumptions!$C$37)+'Unit Mix'!$D$6*E334+'Unit Mix'!$C$7*(E335+Assumptions!$C$37)+'Unit Mix'!$D$7*E336+'Unit Mix'!$C$8*(E337+Assumptions!$C$37)+'Unit Mix'!$D$8*E338+'Unit Mix'!$C$9*(E339+Assumptions!$C$37)+'Unit Mix'!$D$9*E340)*12</f>
        <v>2112330.62825625</v>
      </c>
      <c r="F341" s="30" t="n">
        <f aca="false">('Unit Mix'!$C$6*(F333+Assumptions!$C$37)+'Unit Mix'!$D$6*F334+'Unit Mix'!$C$7*(F335+Assumptions!$C$37)+'Unit Mix'!$D$7*F336+'Unit Mix'!$C$8*(F337+Assumptions!$C$37)+'Unit Mix'!$D$8*F338+'Unit Mix'!$C$9*(F339+Assumptions!$C$37)+'Unit Mix'!$D$9*F340)*12</f>
        <v>2148707.56972153</v>
      </c>
      <c r="G341" s="30" t="n">
        <f aca="false">('Unit Mix'!$C$6*(G333+Assumptions!$C$37)+'Unit Mix'!$D$6*G334+'Unit Mix'!$C$7*(G335+Assumptions!$C$37)+'Unit Mix'!$D$7*G336+'Unit Mix'!$C$8*(G337+Assumptions!$C$37)+'Unit Mix'!$D$8*G338+'Unit Mix'!$C$9*(G339+Assumptions!$C$37)+'Unit Mix'!$D$9*G340)*12</f>
        <v>2187426.20956858</v>
      </c>
      <c r="H341" s="30" t="n">
        <f aca="false">('Unit Mix'!$C$6*(H333+Assumptions!$C$37)+'Unit Mix'!$D$6*H334+'Unit Mix'!$C$7*(H335+Assumptions!$C$37)+'Unit Mix'!$D$7*H336+'Unit Mix'!$C$8*(H337+Assumptions!$C$37)+'Unit Mix'!$D$8*H338+'Unit Mix'!$C$9*(H339+Assumptions!$C$37)+'Unit Mix'!$D$9*H340)*12</f>
        <v>2228089.48788809</v>
      </c>
    </row>
    <row r="342" customFormat="false" ht="15" hidden="false" customHeight="false" outlineLevel="0" collapsed="false">
      <c r="A342" s="2" t="s">
        <v>773</v>
      </c>
      <c r="C342" s="30" t="n">
        <f aca="false">'Operating Model'!B49-'Operating Model'!B42+'Operating Model'!$B$42*1*(1+Assumptions!$C$18+B$21)^('Operating Model'!B$4-1)+((C341-'Operating Model'!B25)+0)*(1-(Assumptions!$C$42+Assumptions!$C$43+Assumptions!$C$44))*(1-Assumptions!$C$75)</f>
        <v>871999.97351</v>
      </c>
      <c r="D342" s="30" t="n">
        <f aca="false">'Operating Model'!C49-'Operating Model'!C42+'Operating Model'!$B$42*1*(1+Assumptions!$C$18+B$21)^('Operating Model'!C$4-1)+((D341-'Operating Model'!C25)+0)*(1-(Assumptions!$C$42+Assumptions!$C$43+Assumptions!$C$44))*(1-Assumptions!$C$75)</f>
        <v>898220.31122625</v>
      </c>
      <c r="E342" s="30" t="n">
        <f aca="false">'Operating Model'!D49-'Operating Model'!D42+'Operating Model'!$B$42*1*(1+Assumptions!$C$18+B$21)^('Operating Model'!D$4-1)+((E341-'Operating Model'!D25)+0)*(1-(Assumptions!$C$42+Assumptions!$C$43+Assumptions!$C$44))*(1-Assumptions!$C$75)</f>
        <v>886638.229759264</v>
      </c>
      <c r="F342" s="30" t="n">
        <f aca="false">'Operating Model'!E49-'Operating Model'!E42+'Operating Model'!$B$42*1*(1+Assumptions!$C$18+B$21)^('Operating Model'!E$4-1)+((F341-'Operating Model'!E25)+0)*(1-(Assumptions!$C$42+Assumptions!$C$43+Assumptions!$C$44))*(1-Assumptions!$C$75)</f>
        <v>877971.086711183</v>
      </c>
      <c r="G342" s="30" t="n">
        <f aca="false">'Operating Model'!F49-'Operating Model'!F42+'Operating Model'!$B$42*1*(1+Assumptions!$C$18+B$21)^('Operating Model'!F$4-1)+((G341-'Operating Model'!F25)+0)*(1-(Assumptions!$C$42+Assumptions!$C$43+Assumptions!$C$44))*(1-Assumptions!$C$75)</f>
        <v>869326.718695636</v>
      </c>
      <c r="H342" s="30" t="n">
        <f aca="false">'Operating Model'!G49-'Operating Model'!G42+'Operating Model'!$B$42*1*(1+Assumptions!$C$18+B$21)^('Operating Model'!G$4-1)+((H341-'Operating Model'!G25)+0)*(1-(Assumptions!$C$42+Assumptions!$C$43+Assumptions!$C$44))*(1-Assumptions!$C$75)</f>
        <v>860233.815784451</v>
      </c>
      <c r="I342" s="30" t="n">
        <f aca="false">H342-'Operating Model'!$B$42*1*(1+Assumptions!$C$18+B$21)^('Operating Model'!G$4-1)</f>
        <v>1121465.77061265</v>
      </c>
    </row>
    <row r="343" customFormat="false" ht="15" hidden="false" customHeight="false" outlineLevel="0" collapsed="false">
      <c r="A343" s="2" t="s">
        <v>774</v>
      </c>
      <c r="B343" s="30" t="n">
        <f aca="false">Assumptions!$C$7*1</f>
        <v>13800000</v>
      </c>
      <c r="C343" s="30" t="n">
        <f aca="false">MAX(0,(Assumptions!$C$124+Assumptions!$C$127)-Assumptions!$C$132*B343)</f>
        <v>0</v>
      </c>
      <c r="D343" s="30" t="n">
        <f aca="false">Assumptions!$C$124-MAX(0,C343-Assumptions!$C$127)</f>
        <v>5887000</v>
      </c>
      <c r="E343" s="30" t="n">
        <f aca="false">Assumptions!$C$127-MIN(C343,Assumptions!$C$127)</f>
        <v>3563000</v>
      </c>
      <c r="F343" s="30" t="n">
        <f aca="false">B343*(1+Assumptions!$C$10)+'Unit Mix'!$D$18*1+(D343+E343)*Assumptions!$C$131-(D343+E343)</f>
        <v>5095290</v>
      </c>
      <c r="G343" s="30" t="n">
        <f aca="false">IF(Assumptions!$C$130=1,D343+E343,-FV(Assumptions!$C$125,Assumptions!$C$126,PMT(Assumptions!$C$125,Assumptions!$C$111,D343),D343)-FV(Assumptions!$C$128,Assumptions!$C$126,PMT(Assumptions!$C$128,Assumptions!$C$111,E343),E343))</f>
        <v>9450000</v>
      </c>
      <c r="H343" s="30" t="n">
        <f aca="false">MIN(INDEX(C342:H342,Assumptions!$C$126+1)/$A$24*Assumptions!$C$108,INDEX(C342:H342,Assumptions!$C$126+1)/(Assumptions!$C$109*-PMT('Debt (Assumed)'!$B$99,Assumptions!$C$111,1)))</f>
        <v>8295342.13125759</v>
      </c>
      <c r="I343" s="30" t="n">
        <f aca="false">IF(MAX(0,Assumptions!$C$154-Assumptions!$C$126-'Debt (Assumed)'!$B$100)=0,H343,-FV('Debt (Assumed)'!$B$98,MAX(0,Assumptions!$C$154-Assumptions!$C$126-'Debt (Assumed)'!$B$100),PMT('Debt (Assumed)'!$B$98,Assumptions!$C$111,H343),H343))</f>
        <v>8295342.13125759</v>
      </c>
      <c r="J343" s="30" t="n">
        <f aca="false">I343*'Debt (Assumed)'!$B$102</f>
        <v>0</v>
      </c>
      <c r="K343" s="30" t="n">
        <f aca="false">I342/($A$24+Returns!$B$35)*(1-Assumptions!$C$158)-I343-J343</f>
        <v>4922913.071233</v>
      </c>
      <c r="L343" s="30" t="n">
        <f aca="false">H343*'Debt (Assumed)'!$B$101</f>
        <v>89589.695017582</v>
      </c>
      <c r="M343" s="30" t="n">
        <f aca="false">(INDEX(C342:H342,Assumptions!$C$126+1)-'Operating Model'!$B$42*1*(1+Assumptions!$C$18+B$21)^Assumptions!$C$126)/($A$24+Returns!$B$35)*(1-Assumptions!$C$158)-G343</f>
        <v>3857754.48809521</v>
      </c>
    </row>
    <row r="344" customFormat="false" ht="15" hidden="false" customHeight="false" outlineLevel="0" collapsed="false">
      <c r="A344" s="2" t="s">
        <v>775</v>
      </c>
      <c r="C344" s="30" t="n">
        <f aca="false">IF('Operating Model'!B$4&lt;=Assumptions!$C$126,IF(Assumptions!$C$130=1,D343*Assumptions!$C$125+E343*Assumptions!$C$128,-PMT(Assumptions!$C$125,Assumptions!$C$111,D343)-PMT(Assumptions!$C$128,Assumptions!$C$111,E343)),IF(Assumptions!$C$136=1,0,IF('Operating Model'!B$4-Assumptions!$C$126&lt;='Debt (Assumed)'!$B$100,H343*'Debt (Assumed)'!$B$98,-PMT('Debt (Assumed)'!$B$98,Assumptions!$C$111,H343))))</f>
        <v>397516</v>
      </c>
      <c r="D344" s="30" t="n">
        <f aca="false">IF('Operating Model'!C$4&lt;=Assumptions!$C$126,IF(Assumptions!$C$130=1,D343*Assumptions!$C$125+E343*Assumptions!$C$128,-PMT(Assumptions!$C$125,Assumptions!$C$111,D343)-PMT(Assumptions!$C$128,Assumptions!$C$111,E343)),IF(Assumptions!$C$136=1,0,IF('Operating Model'!C$4-Assumptions!$C$126&lt;='Debt (Assumed)'!$B$100,H343*'Debt (Assumed)'!$B$98,-PMT('Debt (Assumed)'!$B$98,Assumptions!$C$111,H343))))</f>
        <v>397516</v>
      </c>
      <c r="E344" s="30" t="n">
        <f aca="false">IF('Operating Model'!D$4&lt;=Assumptions!$C$126,IF(Assumptions!$C$130=1,D343*Assumptions!$C$125+E343*Assumptions!$C$128,-PMT(Assumptions!$C$125,Assumptions!$C$111,D343)-PMT(Assumptions!$C$128,Assumptions!$C$111,E343)),IF(Assumptions!$C$136=1,0,IF('Operating Model'!D$4-Assumptions!$C$126&lt;='Debt (Assumed)'!$B$100,H343*'Debt (Assumed)'!$B$98,-PMT('Debt (Assumed)'!$B$98,Assumptions!$C$111,H343))))</f>
        <v>397516</v>
      </c>
      <c r="F344" s="30" t="n">
        <f aca="false">IF('Operating Model'!E$4&lt;=Assumptions!$C$126,IF(Assumptions!$C$130=1,D343*Assumptions!$C$125+E343*Assumptions!$C$128,-PMT(Assumptions!$C$125,Assumptions!$C$111,D343)-PMT(Assumptions!$C$128,Assumptions!$C$111,E343)),IF(Assumptions!$C$136=1,0,IF('Operating Model'!E$4-Assumptions!$C$126&lt;='Debt (Assumed)'!$B$100,H343*'Debt (Assumed)'!$B$98,-PMT('Debt (Assumed)'!$B$98,Assumptions!$C$111,H343))))</f>
        <v>559106.059646761</v>
      </c>
      <c r="G344" s="30" t="n">
        <f aca="false">IF('Operating Model'!F$4&lt;=Assumptions!$C$126,IF(Assumptions!$C$130=1,D343*Assumptions!$C$125+E343*Assumptions!$C$128,-PMT(Assumptions!$C$125,Assumptions!$C$111,D343)-PMT(Assumptions!$C$128,Assumptions!$C$111,E343)),IF(Assumptions!$C$136=1,0,IF('Operating Model'!F$4-Assumptions!$C$126&lt;='Debt (Assumed)'!$B$100,H343*'Debt (Assumed)'!$B$98,-PMT('Debt (Assumed)'!$B$98,Assumptions!$C$111,H343))))</f>
        <v>559106.059646761</v>
      </c>
    </row>
    <row r="345" customFormat="false" ht="15" hidden="false" customHeight="false" outlineLevel="0" collapsed="false">
      <c r="A345" s="2" t="s">
        <v>776</v>
      </c>
      <c r="B345" s="30" t="n">
        <f aca="false">-F343</f>
        <v>-5095290</v>
      </c>
      <c r="C345" s="30" t="n">
        <f aca="false">IF(AND(Assumptions!$C$136=1,'Operating Model'!B$4&gt;Assumptions!$C$126),0,'Operating Model'!B55+(C342-'Operating Model'!B49)-C344-IF('Operating Model'!B$4=Assumptions!$C$126,IF(Assumptions!$C$136=1,-M343,G343-H343+L343),0)+IF(AND(Assumptions!$C$136&lt;&gt;1,'Operating Model'!B$4=Assumptions!$C$154),K343,0))</f>
        <v>445383.97351</v>
      </c>
      <c r="D345" s="30" t="n">
        <f aca="false">IF(AND(Assumptions!$C$136=1,'Operating Model'!C$4&gt;Assumptions!$C$126),0,'Operating Model'!C55+(D342-'Operating Model'!C49)-D344-IF('Operating Model'!C$4=Assumptions!$C$126,IF(Assumptions!$C$136=1,-M343,G343-H343+L343),0)+IF(AND(Assumptions!$C$136&lt;&gt;1,'Operating Model'!C$4=Assumptions!$C$154),K343,0))</f>
        <v>310585.81122625</v>
      </c>
      <c r="E345" s="30" t="n">
        <f aca="false">IF(AND(Assumptions!$C$136=1,'Operating Model'!D$4&gt;Assumptions!$C$126),0,'Operating Model'!D55+(E342-'Operating Model'!D49)-E344-IF('Operating Model'!D$4=Assumptions!$C$126,IF(Assumptions!$C$136=1,-M343,G343-H343+L343),0)+IF(AND(Assumptions!$C$136&lt;&gt;1,'Operating Model'!D$4=Assumptions!$C$154),K343,0))</f>
        <v>-786297.981500731</v>
      </c>
      <c r="F345" s="30" t="n">
        <f aca="false">IF(AND(Assumptions!$C$136=1,'Operating Model'!E$4&gt;Assumptions!$C$126),0,'Operating Model'!E55+(F342-'Operating Model'!E49)-F344-IF('Operating Model'!E$4=Assumptions!$C$126,IF(Assumptions!$C$136=1,-M343,G343-H343+L343),0)+IF(AND(Assumptions!$C$136&lt;&gt;1,'Operating Model'!E$4=Assumptions!$C$154),K343,0))</f>
        <v>286601.336901922</v>
      </c>
      <c r="G345" s="30" t="n">
        <f aca="false">IF(AND(Assumptions!$C$136=1,'Operating Model'!F$4&gt;Assumptions!$C$126),0,'Operating Model'!F55+(G342-'Operating Model'!F49)-G344-IF('Operating Model'!F$4=Assumptions!$C$126,IF(Assumptions!$C$136=1,-M343,G343-H343+L343),0)+IF(AND(Assumptions!$C$136&lt;&gt;1,'Operating Model'!F$4=Assumptions!$C$154),K343,0))</f>
        <v>5199740.81096369</v>
      </c>
      <c r="H345" s="22" t="n">
        <f aca="false">IFERROR(IRR(B345:G345),"N/A")</f>
        <v>0.0145683203289767</v>
      </c>
      <c r="I345" s="24" t="n">
        <f aca="false">SUM(C345:G345)/F343</f>
        <v>1.07079556827995</v>
      </c>
    </row>
    <row r="347" customFormat="false" ht="15" hidden="false" customHeight="false" outlineLevel="0" collapsed="false">
      <c r="A347" s="2" t="s">
        <v>777</v>
      </c>
      <c r="C347" s="30" t="n">
        <f aca="false">'Unit Mix'!$H$6*(1+('Operating Model'!B$6+C$21))</f>
        <v>1557.75</v>
      </c>
      <c r="D347" s="30" t="n">
        <f aca="false">C347*(1+('Operating Model'!C$6+C$21))</f>
        <v>1577.221875</v>
      </c>
      <c r="E347" s="30" t="n">
        <f aca="false">D347*(1+('Operating Model'!D$6+C$21))</f>
        <v>1608.7663125</v>
      </c>
      <c r="F347" s="30" t="n">
        <f aca="false">E347*(1+('Operating Model'!E$6+C$21))</f>
        <v>1648.9854703125</v>
      </c>
      <c r="G347" s="30" t="n">
        <f aca="false">F347*(1+('Operating Model'!F$6+C$21))</f>
        <v>1690.21010707031</v>
      </c>
      <c r="H347" s="30" t="n">
        <f aca="false">G347*(1+('Operating Model'!G$6+C$21))</f>
        <v>1732.46535974707</v>
      </c>
    </row>
    <row r="348" customFormat="false" ht="15" hidden="false" customHeight="false" outlineLevel="0" collapsed="false">
      <c r="A348" s="2" t="s">
        <v>778</v>
      </c>
      <c r="C348" s="30" t="n">
        <f aca="false">'Unit Mix'!$G$6+Assumptions!$C$48*Assumptions!$C$47*(C347-'Unit Mix'!$G$6)</f>
        <v>1482.35</v>
      </c>
      <c r="D348" s="30" t="n">
        <f aca="false">C348+Assumptions!$C$48*Assumptions!$C$47*(D347-C348)</f>
        <v>1508.439765625</v>
      </c>
      <c r="E348" s="30" t="n">
        <f aca="false">D348+Assumptions!$C$48*Assumptions!$C$47*(E347-D348)</f>
        <v>1536.02956601562</v>
      </c>
      <c r="F348" s="30" t="n">
        <f aca="false">E348+Assumptions!$C$48*Assumptions!$C$47*(F347-E348)</f>
        <v>1567.09243969727</v>
      </c>
      <c r="G348" s="30" t="n">
        <f aca="false">F348+Assumptions!$C$48*Assumptions!$C$47*(G347-F348)</f>
        <v>1600.94979822485</v>
      </c>
      <c r="H348" s="30" t="n">
        <f aca="false">G348+Assumptions!$C$48*Assumptions!$C$47*(H347-G348)</f>
        <v>1637.11657764346</v>
      </c>
    </row>
    <row r="349" customFormat="false" ht="15" hidden="false" customHeight="false" outlineLevel="0" collapsed="false">
      <c r="A349" s="2" t="s">
        <v>779</v>
      </c>
      <c r="C349" s="30" t="n">
        <f aca="false">'Unit Mix'!$H$7*(1+('Operating Model'!B$6+C$21))</f>
        <v>1788.9</v>
      </c>
      <c r="D349" s="30" t="n">
        <f aca="false">C349*(1+('Operating Model'!C$6+C$21))</f>
        <v>1811.26125</v>
      </c>
      <c r="E349" s="30" t="n">
        <f aca="false">D349*(1+('Operating Model'!D$6+C$21))</f>
        <v>1847.486475</v>
      </c>
      <c r="F349" s="30" t="n">
        <f aca="false">E349*(1+('Operating Model'!E$6+C$21))</f>
        <v>1893.673636875</v>
      </c>
      <c r="G349" s="30" t="n">
        <f aca="false">F349*(1+('Operating Model'!F$6+C$21))</f>
        <v>1941.01547779687</v>
      </c>
      <c r="H349" s="30" t="n">
        <f aca="false">G349*(1+('Operating Model'!G$6+C$21))</f>
        <v>1989.5408647418</v>
      </c>
    </row>
    <row r="350" customFormat="false" ht="15" hidden="false" customHeight="false" outlineLevel="0" collapsed="false">
      <c r="A350" s="2" t="s">
        <v>780</v>
      </c>
      <c r="C350" s="30" t="n">
        <f aca="false">'Unit Mix'!$G$7+Assumptions!$C$48*Assumptions!$C$47*(C349-'Unit Mix'!$G$7)</f>
        <v>1705.05375</v>
      </c>
      <c r="D350" s="30" t="n">
        <f aca="false">C350+Assumptions!$C$48*Assumptions!$C$47*(D349-C350)</f>
        <v>1734.2608125</v>
      </c>
      <c r="E350" s="30" t="n">
        <f aca="false">D350+Assumptions!$C$48*Assumptions!$C$47*(E349-D350)</f>
        <v>1765.3978696875</v>
      </c>
      <c r="F350" s="30" t="n">
        <f aca="false">E350+Assumptions!$C$48*Assumptions!$C$47*(F349-E350)</f>
        <v>1800.67370566406</v>
      </c>
      <c r="G350" s="30" t="n">
        <f aca="false">F350+Assumptions!$C$48*Assumptions!$C$47*(G349-F350)</f>
        <v>1839.26769300059</v>
      </c>
      <c r="H350" s="30" t="n">
        <f aca="false">G350+Assumptions!$C$48*Assumptions!$C$47*(H349-G350)</f>
        <v>1880.59281522942</v>
      </c>
    </row>
    <row r="351" customFormat="false" ht="15" hidden="false" customHeight="false" outlineLevel="0" collapsed="false">
      <c r="A351" s="2" t="s">
        <v>781</v>
      </c>
      <c r="C351" s="30" t="n">
        <f aca="false">'Unit Mix'!$H$8*(1+('Operating Model'!B$6+C$21))</f>
        <v>2060.25</v>
      </c>
      <c r="D351" s="30" t="n">
        <f aca="false">C351*(1+('Operating Model'!C$6+C$21))</f>
        <v>2086.003125</v>
      </c>
      <c r="E351" s="30" t="n">
        <f aca="false">D351*(1+('Operating Model'!D$6+C$21))</f>
        <v>2127.7231875</v>
      </c>
      <c r="F351" s="30" t="n">
        <f aca="false">E351*(1+('Operating Model'!E$6+C$21))</f>
        <v>2180.9162671875</v>
      </c>
      <c r="G351" s="30" t="n">
        <f aca="false">F351*(1+('Operating Model'!F$6+C$21))</f>
        <v>2235.43917386719</v>
      </c>
      <c r="H351" s="30" t="n">
        <f aca="false">G351*(1+('Operating Model'!G$6+C$21))</f>
        <v>2291.32515321387</v>
      </c>
    </row>
    <row r="352" customFormat="false" ht="15" hidden="false" customHeight="false" outlineLevel="0" collapsed="false">
      <c r="A352" s="2" t="s">
        <v>782</v>
      </c>
      <c r="C352" s="30" t="n">
        <f aca="false">'Unit Mix'!$G$8+Assumptions!$C$48*Assumptions!$C$47*(C351-'Unit Mix'!$G$8)</f>
        <v>1964.00625</v>
      </c>
      <c r="D352" s="30" t="n">
        <f aca="false">C352+Assumptions!$C$48*Assumptions!$C$47*(D351-C352)</f>
        <v>1997.555390625</v>
      </c>
      <c r="E352" s="30" t="n">
        <f aca="false">D352+Assumptions!$C$48*Assumptions!$C$47*(E351-D352)</f>
        <v>2033.35153476562</v>
      </c>
      <c r="F352" s="30" t="n">
        <f aca="false">E352+Assumptions!$C$48*Assumptions!$C$47*(F351-E352)</f>
        <v>2073.93183618164</v>
      </c>
      <c r="G352" s="30" t="n">
        <f aca="false">F352+Assumptions!$C$48*Assumptions!$C$47*(G351-F352)</f>
        <v>2118.34635404517</v>
      </c>
      <c r="H352" s="30" t="n">
        <f aca="false">G352+Assumptions!$C$48*Assumptions!$C$47*(H351-G352)</f>
        <v>2165.91552381656</v>
      </c>
    </row>
    <row r="353" customFormat="false" ht="15" hidden="false" customHeight="false" outlineLevel="0" collapsed="false">
      <c r="A353" s="2" t="s">
        <v>783</v>
      </c>
      <c r="C353" s="30" t="n">
        <f aca="false">'Unit Mix'!$H$9*(1+('Operating Model'!B$6+C$21))</f>
        <v>2211</v>
      </c>
      <c r="D353" s="30" t="n">
        <f aca="false">C353*(1+('Operating Model'!C$6+C$21))</f>
        <v>2238.6375</v>
      </c>
      <c r="E353" s="30" t="n">
        <f aca="false">D353*(1+('Operating Model'!D$6+C$21))</f>
        <v>2283.41025</v>
      </c>
      <c r="F353" s="30" t="n">
        <f aca="false">E353*(1+('Operating Model'!E$6+C$21))</f>
        <v>2340.49550625</v>
      </c>
      <c r="G353" s="30" t="n">
        <f aca="false">F353*(1+('Operating Model'!F$6+C$21))</f>
        <v>2399.00789390625</v>
      </c>
      <c r="H353" s="30" t="n">
        <f aca="false">G353*(1+('Operating Model'!G$6+C$21))</f>
        <v>2458.98309125391</v>
      </c>
    </row>
    <row r="354" customFormat="false" ht="15" hidden="false" customHeight="false" outlineLevel="0" collapsed="false">
      <c r="A354" s="2" t="s">
        <v>784</v>
      </c>
      <c r="C354" s="30" t="n">
        <f aca="false">'Unit Mix'!$G$9+Assumptions!$C$48*Assumptions!$C$47*(C353-'Unit Mix'!$G$9)</f>
        <v>2107.86875</v>
      </c>
      <c r="D354" s="30" t="n">
        <f aca="false">C354+Assumptions!$C$48*Assumptions!$C$47*(D353-C354)</f>
        <v>2143.83015625</v>
      </c>
      <c r="E354" s="30" t="n">
        <f aca="false">D354+Assumptions!$C$48*Assumptions!$C$47*(E353-D354)</f>
        <v>2182.21468203125</v>
      </c>
      <c r="F354" s="30" t="n">
        <f aca="false">E354+Assumptions!$C$48*Assumptions!$C$47*(F353-E354)</f>
        <v>2225.74190869141</v>
      </c>
      <c r="G354" s="30" t="n">
        <f aca="false">F354+Assumptions!$C$48*Assumptions!$C$47*(G353-F354)</f>
        <v>2273.39005462549</v>
      </c>
      <c r="H354" s="30" t="n">
        <f aca="false">G354+Assumptions!$C$48*Assumptions!$C$47*(H353-G354)</f>
        <v>2324.4281396983</v>
      </c>
    </row>
    <row r="355" customFormat="false" ht="15" hidden="false" customHeight="false" outlineLevel="0" collapsed="false">
      <c r="A355" s="2" t="s">
        <v>785</v>
      </c>
      <c r="C355" s="30" t="n">
        <f aca="false">('Unit Mix'!$C$6*('Unit Mix'!$F$6*(1-Assumptions!$C$39)+(C347+Assumptions!$C$37)*Assumptions!$C$39)+'Unit Mix'!$D$6*C348+'Unit Mix'!$C$7*('Unit Mix'!$F$7*(1-Assumptions!$C$39)+(C349+Assumptions!$C$37)*Assumptions!$C$39)+'Unit Mix'!$D$7*C350+'Unit Mix'!$C$8*('Unit Mix'!$F$8*(1-Assumptions!$C$39)+(C351+Assumptions!$C$37)*Assumptions!$C$39)+'Unit Mix'!$D$8*C352+'Unit Mix'!$C$9*('Unit Mix'!$F$9*(1-Assumptions!$C$39)+(C353+Assumptions!$C$37)*Assumptions!$C$39)+'Unit Mix'!$D$9*C354)*12</f>
        <v>2013524.385</v>
      </c>
      <c r="D355" s="30" t="n">
        <f aca="false">('Unit Mix'!$C$6*(D347+Assumptions!$C$37)+'Unit Mix'!$D$6*D348+'Unit Mix'!$C$7*(D349+Assumptions!$C$37)+'Unit Mix'!$D$7*D350+'Unit Mix'!$C$8*(D351+Assumptions!$C$37)+'Unit Mix'!$D$8*D352+'Unit Mix'!$C$9*(D353+Assumptions!$C$37)+'Unit Mix'!$D$9*D354)*12</f>
        <v>2092712.6645625</v>
      </c>
      <c r="E355" s="30" t="n">
        <f aca="false">('Unit Mix'!$C$6*(E347+Assumptions!$C$37)+'Unit Mix'!$D$6*E348+'Unit Mix'!$C$7*(E349+Assumptions!$C$37)+'Unit Mix'!$D$7*E350+'Unit Mix'!$C$8*(E351+Assumptions!$C$37)+'Unit Mix'!$D$8*E352+'Unit Mix'!$C$9*(E353+Assumptions!$C$37)+'Unit Mix'!$D$9*E354)*12</f>
        <v>2131436.27241656</v>
      </c>
      <c r="F355" s="30" t="n">
        <f aca="false">('Unit Mix'!$C$6*(F347+Assumptions!$C$37)+'Unit Mix'!$D$6*F348+'Unit Mix'!$C$7*(F349+Assumptions!$C$37)+'Unit Mix'!$D$7*F350+'Unit Mix'!$C$8*(F351+Assumptions!$C$37)+'Unit Mix'!$D$8*F352+'Unit Mix'!$C$9*(F353+Assumptions!$C$37)+'Unit Mix'!$D$9*F354)*12</f>
        <v>2176791.41787691</v>
      </c>
      <c r="G355" s="30" t="n">
        <f aca="false">('Unit Mix'!$C$6*(G347+Assumptions!$C$37)+'Unit Mix'!$D$6*G348+'Unit Mix'!$C$7*(G349+Assumptions!$C$37)+'Unit Mix'!$D$7*G350+'Unit Mix'!$C$8*(G351+Assumptions!$C$37)+'Unit Mix'!$D$8*G352+'Unit Mix'!$C$9*(G353+Assumptions!$C$37)+'Unit Mix'!$D$9*G354)*12</f>
        <v>2225461.40134504</v>
      </c>
      <c r="H355" s="30" t="n">
        <f aca="false">('Unit Mix'!$C$6*(H347+Assumptions!$C$37)+'Unit Mix'!$D$6*H348+'Unit Mix'!$C$7*(H349+Assumptions!$C$37)+'Unit Mix'!$D$7*H350+'Unit Mix'!$C$8*(H351+Assumptions!$C$37)+'Unit Mix'!$D$8*H352+'Unit Mix'!$C$9*(H353+Assumptions!$C$37)+'Unit Mix'!$D$9*H354)*12</f>
        <v>2276929.32994404</v>
      </c>
    </row>
    <row r="356" customFormat="false" ht="15" hidden="false" customHeight="false" outlineLevel="0" collapsed="false">
      <c r="A356" s="2" t="s">
        <v>786</v>
      </c>
      <c r="C356" s="30" t="n">
        <f aca="false">'Operating Model'!B49-'Operating Model'!B42+'Operating Model'!$B$42*1*(1+Assumptions!$C$18+C$21)^('Operating Model'!B$4-1)+((C355-'Operating Model'!B25)+0)*(1-(Assumptions!$C$42+Assumptions!$C$43+Assumptions!$C$44))*(1-Assumptions!$C$75)</f>
        <v>875115.206003</v>
      </c>
      <c r="D356" s="30" t="n">
        <f aca="false">'Operating Model'!C49-'Operating Model'!C42+'Operating Model'!$B$42*1*(1+Assumptions!$C$18+C$21)^('Operating Model'!C$4-1)+((D355-'Operating Model'!C25)+0)*(1-(Assumptions!$C$42+Assumptions!$C$43+Assumptions!$C$44))*(1-Assumptions!$C$75)</f>
        <v>907056.558575587</v>
      </c>
      <c r="E356" s="30" t="n">
        <f aca="false">'Operating Model'!D49-'Operating Model'!D42+'Operating Model'!$B$42*1*(1+Assumptions!$C$18+C$21)^('Operating Model'!D$4-1)+((E355-'Operating Model'!D25)+0)*(1-(Assumptions!$C$42+Assumptions!$C$43+Assumptions!$C$44))*(1-Assumptions!$C$75)</f>
        <v>901180.92603304</v>
      </c>
      <c r="F356" s="30" t="n">
        <f aca="false">'Operating Model'!E49-'Operating Model'!E42+'Operating Model'!$B$42*1*(1+Assumptions!$C$18+C$21)^('Operating Model'!E$4-1)+((F355-'Operating Model'!E25)+0)*(1-(Assumptions!$C$42+Assumptions!$C$43+Assumptions!$C$44))*(1-Assumptions!$C$75)</f>
        <v>899193.326598828</v>
      </c>
      <c r="G356" s="30" t="n">
        <f aca="false">'Operating Model'!F49-'Operating Model'!F42+'Operating Model'!$B$42*1*(1+Assumptions!$C$18+C$21)^('Operating Model'!F$4-1)+((G355-'Operating Model'!F25)+0)*(1-(Assumptions!$C$42+Assumptions!$C$43+Assumptions!$C$44))*(1-Assumptions!$C$75)</f>
        <v>898035.556439248</v>
      </c>
      <c r="H356" s="30" t="n">
        <f aca="false">'Operating Model'!G49-'Operating Model'!G42+'Operating Model'!$B$42*1*(1+Assumptions!$C$18+C$21)^('Operating Model'!G$4-1)+((H355-'Operating Model'!G25)+0)*(1-(Assumptions!$C$42+Assumptions!$C$43+Assumptions!$C$44))*(1-Assumptions!$C$75)</f>
        <v>897128.003110122</v>
      </c>
      <c r="I356" s="30" t="n">
        <f aca="false">H356-'Operating Model'!$B$42*1*(1+Assumptions!$C$18+C$21)^('Operating Model'!G$4-1)</f>
        <v>1164825.78238993</v>
      </c>
    </row>
    <row r="357" customFormat="false" ht="15" hidden="false" customHeight="false" outlineLevel="0" collapsed="false">
      <c r="A357" s="2" t="s">
        <v>787</v>
      </c>
      <c r="B357" s="30" t="n">
        <f aca="false">Assumptions!$C$7*1</f>
        <v>13800000</v>
      </c>
      <c r="C357" s="30" t="n">
        <f aca="false">MAX(0,(Assumptions!$C$124+Assumptions!$C$127)-Assumptions!$C$132*B357)</f>
        <v>0</v>
      </c>
      <c r="D357" s="30" t="n">
        <f aca="false">Assumptions!$C$124-MAX(0,C357-Assumptions!$C$127)</f>
        <v>5887000</v>
      </c>
      <c r="E357" s="30" t="n">
        <f aca="false">Assumptions!$C$127-MIN(C357,Assumptions!$C$127)</f>
        <v>3563000</v>
      </c>
      <c r="F357" s="30" t="n">
        <f aca="false">B357*(1+Assumptions!$C$10)+'Unit Mix'!$D$18*1+(D357+E357)*Assumptions!$C$131-(D357+E357)</f>
        <v>5095290</v>
      </c>
      <c r="G357" s="30" t="n">
        <f aca="false">IF(Assumptions!$C$130=1,D357+E357,-FV(Assumptions!$C$125,Assumptions!$C$126,PMT(Assumptions!$C$125,Assumptions!$C$111,D357),D357)-FV(Assumptions!$C$128,Assumptions!$C$126,PMT(Assumptions!$C$128,Assumptions!$C$111,E357),E357))</f>
        <v>9450000</v>
      </c>
      <c r="H357" s="30" t="n">
        <f aca="false">MIN(INDEX(C356:H356,Assumptions!$C$126+1)/$A$24*Assumptions!$C$108,INDEX(C356:H356,Assumptions!$C$126+1)/(Assumptions!$C$109*-PMT('Debt (Assumed)'!$B$99,Assumptions!$C$111,1)))</f>
        <v>8495856.41165273</v>
      </c>
      <c r="I357" s="30" t="n">
        <f aca="false">IF(MAX(0,Assumptions!$C$154-Assumptions!$C$126-'Debt (Assumed)'!$B$100)=0,H357,-FV('Debt (Assumed)'!$B$98,MAX(0,Assumptions!$C$154-Assumptions!$C$126-'Debt (Assumed)'!$B$100),PMT('Debt (Assumed)'!$B$98,Assumptions!$C$111,H357),H357))</f>
        <v>8495856.41165273</v>
      </c>
      <c r="J357" s="30" t="n">
        <f aca="false">I357*'Debt (Assumed)'!$B$102</f>
        <v>0</v>
      </c>
      <c r="K357" s="30" t="n">
        <f aca="false">I356/($A$24+Returns!$B$35)*(1-Assumptions!$C$158)-I357-J357</f>
        <v>5233465.39338058</v>
      </c>
      <c r="L357" s="30" t="n">
        <f aca="false">H357*'Debt (Assumed)'!$B$101</f>
        <v>91755.2492458495</v>
      </c>
      <c r="M357" s="30" t="n">
        <f aca="false">(INDEX(C356:H356,Assumptions!$C$126+1)-'Operating Model'!$B$42*1*(1+Assumptions!$C$18+C$21)^Assumptions!$C$126)/($A$24+Returns!$B$35)*(1-Assumptions!$C$158)-G357</f>
        <v>4151627.61009784</v>
      </c>
    </row>
    <row r="358" customFormat="false" ht="15" hidden="false" customHeight="false" outlineLevel="0" collapsed="false">
      <c r="A358" s="2" t="s">
        <v>788</v>
      </c>
      <c r="C358" s="30" t="n">
        <f aca="false">IF('Operating Model'!B$4&lt;=Assumptions!$C$126,IF(Assumptions!$C$130=1,D357*Assumptions!$C$125+E357*Assumptions!$C$128,-PMT(Assumptions!$C$125,Assumptions!$C$111,D357)-PMT(Assumptions!$C$128,Assumptions!$C$111,E357)),IF(Assumptions!$C$136=1,0,IF('Operating Model'!B$4-Assumptions!$C$126&lt;='Debt (Assumed)'!$B$100,H357*'Debt (Assumed)'!$B$98,-PMT('Debt (Assumed)'!$B$98,Assumptions!$C$111,H357))))</f>
        <v>397516</v>
      </c>
      <c r="D358" s="30" t="n">
        <f aca="false">IF('Operating Model'!C$4&lt;=Assumptions!$C$126,IF(Assumptions!$C$130=1,D357*Assumptions!$C$125+E357*Assumptions!$C$128,-PMT(Assumptions!$C$125,Assumptions!$C$111,D357)-PMT(Assumptions!$C$128,Assumptions!$C$111,E357)),IF(Assumptions!$C$136=1,0,IF('Operating Model'!C$4-Assumptions!$C$126&lt;='Debt (Assumed)'!$B$100,H357*'Debt (Assumed)'!$B$98,-PMT('Debt (Assumed)'!$B$98,Assumptions!$C$111,H357))))</f>
        <v>397516</v>
      </c>
      <c r="E358" s="30" t="n">
        <f aca="false">IF('Operating Model'!D$4&lt;=Assumptions!$C$126,IF(Assumptions!$C$130=1,D357*Assumptions!$C$125+E357*Assumptions!$C$128,-PMT(Assumptions!$C$125,Assumptions!$C$111,D357)-PMT(Assumptions!$C$128,Assumptions!$C$111,E357)),IF(Assumptions!$C$136=1,0,IF('Operating Model'!D$4-Assumptions!$C$126&lt;='Debt (Assumed)'!$B$100,H357*'Debt (Assumed)'!$B$98,-PMT('Debt (Assumed)'!$B$98,Assumptions!$C$111,H357))))</f>
        <v>397516</v>
      </c>
      <c r="F358" s="30" t="n">
        <f aca="false">IF('Operating Model'!E$4&lt;=Assumptions!$C$126,IF(Assumptions!$C$130=1,D357*Assumptions!$C$125+E357*Assumptions!$C$128,-PMT(Assumptions!$C$125,Assumptions!$C$111,D357)-PMT(Assumptions!$C$128,Assumptions!$C$111,E357)),IF(Assumptions!$C$136=1,0,IF('Operating Model'!E$4-Assumptions!$C$126&lt;='Debt (Assumed)'!$B$100,H357*'Debt (Assumed)'!$B$98,-PMT('Debt (Assumed)'!$B$98,Assumptions!$C$111,H357))))</f>
        <v>572620.722145394</v>
      </c>
      <c r="G358" s="30" t="n">
        <f aca="false">IF('Operating Model'!F$4&lt;=Assumptions!$C$126,IF(Assumptions!$C$130=1,D357*Assumptions!$C$125+E357*Assumptions!$C$128,-PMT(Assumptions!$C$125,Assumptions!$C$111,D357)-PMT(Assumptions!$C$128,Assumptions!$C$111,E357)),IF(Assumptions!$C$136=1,0,IF('Operating Model'!F$4-Assumptions!$C$126&lt;='Debt (Assumed)'!$B$100,H357*'Debt (Assumed)'!$B$98,-PMT('Debt (Assumed)'!$B$98,Assumptions!$C$111,H357))))</f>
        <v>572620.722145394</v>
      </c>
    </row>
    <row r="359" customFormat="false" ht="15" hidden="false" customHeight="false" outlineLevel="0" collapsed="false">
      <c r="A359" s="2" t="s">
        <v>789</v>
      </c>
      <c r="B359" s="30" t="n">
        <f aca="false">-F357</f>
        <v>-5095290</v>
      </c>
      <c r="C359" s="30" t="n">
        <f aca="false">IF(AND(Assumptions!$C$136=1,'Operating Model'!B$4&gt;Assumptions!$C$126),0,'Operating Model'!B55+(C356-'Operating Model'!B49)-C358-IF('Operating Model'!B$4=Assumptions!$C$126,IF(Assumptions!$C$136=1,-M357,G357-H357+L357),0)+IF(AND(Assumptions!$C$136&lt;&gt;1,'Operating Model'!B$4=Assumptions!$C$154),K357,0))</f>
        <v>448499.206003</v>
      </c>
      <c r="D359" s="30" t="n">
        <f aca="false">IF(AND(Assumptions!$C$136=1,'Operating Model'!C$4&gt;Assumptions!$C$126),0,'Operating Model'!C55+(D356-'Operating Model'!C49)-D358-IF('Operating Model'!C$4=Assumptions!$C$126,IF(Assumptions!$C$136=1,-M357,G357-H357+L357),0)+IF(AND(Assumptions!$C$136&lt;&gt;1,'Operating Model'!C$4=Assumptions!$C$154),K357,0))</f>
        <v>319422.058575587</v>
      </c>
      <c r="E359" s="30" t="n">
        <f aca="false">IF(AND(Assumptions!$C$136=1,'Operating Model'!D$4&gt;Assumptions!$C$126),0,'Operating Model'!D55+(E356-'Operating Model'!D49)-E358-IF('Operating Model'!D$4=Assumptions!$C$126,IF(Assumptions!$C$136=1,-M357,G357-H357+L357),0)+IF(AND(Assumptions!$C$136&lt;&gt;1,'Operating Model'!D$4=Assumptions!$C$154),K357,0))</f>
        <v>-573406.559060077</v>
      </c>
      <c r="F359" s="30" t="n">
        <f aca="false">IF(AND(Assumptions!$C$136=1,'Operating Model'!E$4&gt;Assumptions!$C$126),0,'Operating Model'!E55+(F356-'Operating Model'!E49)-F358-IF('Operating Model'!E$4=Assumptions!$C$126,IF(Assumptions!$C$136=1,-M357,G357-H357+L357),0)+IF(AND(Assumptions!$C$136&lt;&gt;1,'Operating Model'!E$4=Assumptions!$C$154),K357,0))</f>
        <v>294308.914290934</v>
      </c>
      <c r="G359" s="30" t="n">
        <f aca="false">IF(AND(Assumptions!$C$136=1,'Operating Model'!F$4&gt;Assumptions!$C$126),0,'Operating Model'!F55+(G356-'Operating Model'!F49)-G358-IF('Operating Model'!F$4=Assumptions!$C$126,IF(Assumptions!$C$136=1,-M357,G357-H357+L357),0)+IF(AND(Assumptions!$C$136&lt;&gt;1,'Operating Model'!F$4=Assumptions!$C$154),K357,0))</f>
        <v>5525487.30835625</v>
      </c>
      <c r="H359" s="22" t="n">
        <f aca="false">IFERROR(IRR(B359:G359),"N/A")</f>
        <v>0.0362163201525261</v>
      </c>
      <c r="I359" s="24" t="n">
        <f aca="false">SUM(C359:G359)/F357</f>
        <v>1.18036675599734</v>
      </c>
    </row>
    <row r="361" customFormat="false" ht="15" hidden="false" customHeight="false" outlineLevel="0" collapsed="false">
      <c r="A361" s="2" t="s">
        <v>790</v>
      </c>
      <c r="C361" s="30" t="n">
        <f aca="false">'Unit Mix'!$H$6*(1+('Operating Model'!B$6+D$21))</f>
        <v>1565.5</v>
      </c>
      <c r="D361" s="30" t="n">
        <f aca="false">C361*(1+('Operating Model'!C$6+D$21))</f>
        <v>1592.89625</v>
      </c>
      <c r="E361" s="30" t="n">
        <f aca="false">D361*(1+('Operating Model'!D$6+D$21))</f>
        <v>1632.71865625</v>
      </c>
      <c r="F361" s="30" t="n">
        <f aca="false">E361*(1+('Operating Model'!E$6+D$21))</f>
        <v>1681.7002159375</v>
      </c>
      <c r="G361" s="30" t="n">
        <f aca="false">F361*(1+('Operating Model'!F$6+D$21))</f>
        <v>1732.15122241563</v>
      </c>
      <c r="H361" s="30" t="n">
        <f aca="false">G361*(1+('Operating Model'!G$6+D$21))</f>
        <v>1784.11575908809</v>
      </c>
    </row>
    <row r="362" customFormat="false" ht="15" hidden="false" customHeight="false" outlineLevel="0" collapsed="false">
      <c r="A362" s="2" t="s">
        <v>791</v>
      </c>
      <c r="C362" s="30" t="n">
        <f aca="false">'Unit Mix'!$G$6+Assumptions!$C$48*Assumptions!$C$47*(C361-'Unit Mix'!$G$6)</f>
        <v>1484.48125</v>
      </c>
      <c r="D362" s="30" t="n">
        <f aca="false">C362+Assumptions!$C$48*Assumptions!$C$47*(D361-C362)</f>
        <v>1514.295375</v>
      </c>
      <c r="E362" s="30" t="n">
        <f aca="false">D362+Assumptions!$C$48*Assumptions!$C$47*(E361-D362)</f>
        <v>1546.86177734375</v>
      </c>
      <c r="F362" s="30" t="n">
        <f aca="false">E362+Assumptions!$C$48*Assumptions!$C$47*(F361-E362)</f>
        <v>1583.94234795703</v>
      </c>
      <c r="G362" s="30" t="n">
        <f aca="false">F362+Assumptions!$C$48*Assumptions!$C$47*(G361-F362)</f>
        <v>1624.69978843314</v>
      </c>
      <c r="H362" s="30" t="n">
        <f aca="false">G362+Assumptions!$C$48*Assumptions!$C$47*(H361-G362)</f>
        <v>1668.53918036326</v>
      </c>
    </row>
    <row r="363" customFormat="false" ht="15" hidden="false" customHeight="false" outlineLevel="0" collapsed="false">
      <c r="A363" s="2" t="s">
        <v>792</v>
      </c>
      <c r="C363" s="30" t="n">
        <f aca="false">'Unit Mix'!$H$7*(1+('Operating Model'!B$6+D$21))</f>
        <v>1797.8</v>
      </c>
      <c r="D363" s="30" t="n">
        <f aca="false">C363*(1+('Operating Model'!C$6+D$21))</f>
        <v>1829.2615</v>
      </c>
      <c r="E363" s="30" t="n">
        <f aca="false">D363*(1+('Operating Model'!D$6+D$21))</f>
        <v>1874.9930375</v>
      </c>
      <c r="F363" s="30" t="n">
        <f aca="false">E363*(1+('Operating Model'!E$6+D$21))</f>
        <v>1931.242828625</v>
      </c>
      <c r="G363" s="30" t="n">
        <f aca="false">F363*(1+('Operating Model'!F$6+D$21))</f>
        <v>1989.18011348375</v>
      </c>
      <c r="H363" s="30" t="n">
        <f aca="false">G363*(1+('Operating Model'!G$6+D$21))</f>
        <v>2048.85551688826</v>
      </c>
    </row>
    <row r="364" customFormat="false" ht="15" hidden="false" customHeight="false" outlineLevel="0" collapsed="false">
      <c r="A364" s="2" t="s">
        <v>793</v>
      </c>
      <c r="C364" s="30" t="n">
        <f aca="false">'Unit Mix'!$G$7+Assumptions!$C$48*Assumptions!$C$47*(C363-'Unit Mix'!$G$7)</f>
        <v>1707.50125</v>
      </c>
      <c r="D364" s="30" t="n">
        <f aca="false">C364+Assumptions!$C$48*Assumptions!$C$47*(D363-C364)</f>
        <v>1740.98531875</v>
      </c>
      <c r="E364" s="30" t="n">
        <f aca="false">D364+Assumptions!$C$48*Assumptions!$C$47*(E363-D364)</f>
        <v>1777.83744140625</v>
      </c>
      <c r="F364" s="30" t="n">
        <f aca="false">E364+Assumptions!$C$48*Assumptions!$C$47*(F363-E364)</f>
        <v>1820.02392289141</v>
      </c>
      <c r="G364" s="30" t="n">
        <f aca="false">F364+Assumptions!$C$48*Assumptions!$C$47*(G363-F364)</f>
        <v>1866.5418753043</v>
      </c>
      <c r="H364" s="30" t="n">
        <f aca="false">G364+Assumptions!$C$48*Assumptions!$C$47*(H363-G364)</f>
        <v>1916.67812673989</v>
      </c>
    </row>
    <row r="365" customFormat="false" ht="15" hidden="false" customHeight="false" outlineLevel="0" collapsed="false">
      <c r="A365" s="2" t="s">
        <v>794</v>
      </c>
      <c r="C365" s="30" t="n">
        <f aca="false">'Unit Mix'!$H$8*(1+('Operating Model'!B$6+D$21))</f>
        <v>2070.5</v>
      </c>
      <c r="D365" s="30" t="n">
        <f aca="false">C365*(1+('Operating Model'!C$6+D$21))</f>
        <v>2106.73375</v>
      </c>
      <c r="E365" s="30" t="n">
        <f aca="false">D365*(1+('Operating Model'!D$6+D$21))</f>
        <v>2159.40209375</v>
      </c>
      <c r="F365" s="30" t="n">
        <f aca="false">E365*(1+('Operating Model'!E$6+D$21))</f>
        <v>2224.1841565625</v>
      </c>
      <c r="G365" s="30" t="n">
        <f aca="false">F365*(1+('Operating Model'!F$6+D$21))</f>
        <v>2290.90968125938</v>
      </c>
      <c r="H365" s="30" t="n">
        <f aca="false">G365*(1+('Operating Model'!G$6+D$21))</f>
        <v>2359.63697169716</v>
      </c>
    </row>
    <row r="366" customFormat="false" ht="15" hidden="false" customHeight="false" outlineLevel="0" collapsed="false">
      <c r="A366" s="2" t="s">
        <v>795</v>
      </c>
      <c r="C366" s="30" t="n">
        <f aca="false">'Unit Mix'!$G$8+Assumptions!$C$48*Assumptions!$C$47*(C365-'Unit Mix'!$G$8)</f>
        <v>1966.825</v>
      </c>
      <c r="D366" s="30" t="n">
        <f aca="false">C366+Assumptions!$C$48*Assumptions!$C$47*(D365-C366)</f>
        <v>2005.29990625</v>
      </c>
      <c r="E366" s="30" t="n">
        <f aca="false">D366+Assumptions!$C$48*Assumptions!$C$47*(E365-D366)</f>
        <v>2047.6780078125</v>
      </c>
      <c r="F366" s="30" t="n">
        <f aca="false">E366+Assumptions!$C$48*Assumptions!$C$47*(F365-E366)</f>
        <v>2096.21719871875</v>
      </c>
      <c r="G366" s="30" t="n">
        <f aca="false">F366+Assumptions!$C$48*Assumptions!$C$47*(G365-F366)</f>
        <v>2149.75763141742</v>
      </c>
      <c r="H366" s="30" t="n">
        <f aca="false">G366+Assumptions!$C$48*Assumptions!$C$47*(H365-G366)</f>
        <v>2207.47444999435</v>
      </c>
    </row>
    <row r="367" customFormat="false" ht="15" hidden="false" customHeight="false" outlineLevel="0" collapsed="false">
      <c r="A367" s="2" t="s">
        <v>796</v>
      </c>
      <c r="C367" s="30" t="n">
        <f aca="false">'Unit Mix'!$H$9*(1+('Operating Model'!B$6+D$21))</f>
        <v>2222</v>
      </c>
      <c r="D367" s="30" t="n">
        <f aca="false">C367*(1+('Operating Model'!C$6+D$21))</f>
        <v>2260.885</v>
      </c>
      <c r="E367" s="30" t="n">
        <f aca="false">D367*(1+('Operating Model'!D$6+D$21))</f>
        <v>2317.407125</v>
      </c>
      <c r="F367" s="30" t="n">
        <f aca="false">E367*(1+('Operating Model'!E$6+D$21))</f>
        <v>2386.92933875</v>
      </c>
      <c r="G367" s="30" t="n">
        <f aca="false">F367*(1+('Operating Model'!F$6+D$21))</f>
        <v>2458.5372189125</v>
      </c>
      <c r="H367" s="30" t="n">
        <f aca="false">G367*(1+('Operating Model'!G$6+D$21))</f>
        <v>2532.29333547988</v>
      </c>
    </row>
    <row r="368" customFormat="false" ht="15" hidden="false" customHeight="false" outlineLevel="0" collapsed="false">
      <c r="A368" s="2" t="s">
        <v>797</v>
      </c>
      <c r="C368" s="30" t="n">
        <f aca="false">'Unit Mix'!$G$9+Assumptions!$C$48*Assumptions!$C$47*(C367-'Unit Mix'!$G$9)</f>
        <v>2110.89375</v>
      </c>
      <c r="D368" s="30" t="n">
        <f aca="false">C368+Assumptions!$C$48*Assumptions!$C$47*(D367-C368)</f>
        <v>2152.14134375</v>
      </c>
      <c r="E368" s="30" t="n">
        <f aca="false">D368+Assumptions!$C$48*Assumptions!$C$47*(E367-D368)</f>
        <v>2197.58943359375</v>
      </c>
      <c r="F368" s="30" t="n">
        <f aca="false">E368+Assumptions!$C$48*Assumptions!$C$47*(F367-E368)</f>
        <v>2249.65790751172</v>
      </c>
      <c r="G368" s="30" t="n">
        <f aca="false">F368+Assumptions!$C$48*Assumptions!$C$47*(G367-F368)</f>
        <v>2307.09971814693</v>
      </c>
      <c r="H368" s="30" t="n">
        <f aca="false">G368+Assumptions!$C$48*Assumptions!$C$47*(H367-G368)</f>
        <v>2369.02796291349</v>
      </c>
    </row>
    <row r="369" customFormat="false" ht="15" hidden="false" customHeight="false" outlineLevel="0" collapsed="false">
      <c r="A369" s="2" t="s">
        <v>798</v>
      </c>
      <c r="C369" s="30" t="n">
        <f aca="false">('Unit Mix'!$C$6*('Unit Mix'!$F$6*(1-Assumptions!$C$39)+(C361+Assumptions!$C$37)*Assumptions!$C$39)+'Unit Mix'!$D$6*C362+'Unit Mix'!$C$7*('Unit Mix'!$F$7*(1-Assumptions!$C$39)+(C363+Assumptions!$C$37)*Assumptions!$C$39)+'Unit Mix'!$D$7*C364+'Unit Mix'!$C$8*('Unit Mix'!$F$8*(1-Assumptions!$C$39)+(C365+Assumptions!$C$37)*Assumptions!$C$39)+'Unit Mix'!$D$8*C366+'Unit Mix'!$C$9*('Unit Mix'!$F$9*(1-Assumptions!$C$39)+(C367+Assumptions!$C$37)*Assumptions!$C$39)+'Unit Mix'!$D$9*C368)*12</f>
        <v>2017033.32</v>
      </c>
      <c r="D369" s="30" t="n">
        <f aca="false">('Unit Mix'!$C$6*(D361+Assumptions!$C$37)+'Unit Mix'!$D$6*D362+'Unit Mix'!$C$7*(D363+Assumptions!$C$37)+'Unit Mix'!$D$7*D364+'Unit Mix'!$C$8*(D365+Assumptions!$C$37)+'Unit Mix'!$D$8*D366+'Unit Mix'!$C$9*(D367+Assumptions!$C$37)+'Unit Mix'!$D$9*D368)*12</f>
        <v>2104046.311725</v>
      </c>
      <c r="E369" s="30" t="n">
        <f aca="false">('Unit Mix'!$C$6*(E361+Assumptions!$C$37)+'Unit Mix'!$D$6*E362+'Unit Mix'!$C$7*(E363+Assumptions!$C$37)+'Unit Mix'!$D$7*E364+'Unit Mix'!$C$8*(E365+Assumptions!$C$37)+'Unit Mix'!$D$8*E366+'Unit Mix'!$C$9*(E367+Assumptions!$C$37)+'Unit Mix'!$D$9*E368)*12</f>
        <v>2150704.11144375</v>
      </c>
      <c r="F369" s="30" t="n">
        <f aca="false">('Unit Mix'!$C$6*(F361+Assumptions!$C$37)+'Unit Mix'!$D$6*F362+'Unit Mix'!$C$7*(F363+Assumptions!$C$37)+'Unit Mix'!$D$7*F364+'Unit Mix'!$C$8*(F365+Assumptions!$C$37)+'Unit Mix'!$D$8*F366+'Unit Mix'!$C$9*(F367+Assumptions!$C$37)+'Unit Mix'!$D$9*F368)*12</f>
        <v>2205233.30328326</v>
      </c>
      <c r="G369" s="30" t="n">
        <f aca="false">('Unit Mix'!$C$6*(G361+Assumptions!$C$37)+'Unit Mix'!$D$6*G362+'Unit Mix'!$C$7*(G363+Assumptions!$C$37)+'Unit Mix'!$D$7*G364+'Unit Mix'!$C$8*(G365+Assumptions!$C$37)+'Unit Mix'!$D$8*G366+'Unit Mix'!$C$9*(G367+Assumptions!$C$37)+'Unit Mix'!$D$9*G368)*12</f>
        <v>2264146.15204151</v>
      </c>
      <c r="H369" s="30" t="n">
        <f aca="false">('Unit Mix'!$C$6*(H361+Assumptions!$C$37)+'Unit Mix'!$D$6*H362+'Unit Mix'!$C$7*(H363+Assumptions!$C$37)+'Unit Mix'!$D$7*H364+'Unit Mix'!$C$8*(H365+Assumptions!$C$37)+'Unit Mix'!$D$8*H366+'Unit Mix'!$C$9*(H367+Assumptions!$C$37)+'Unit Mix'!$D$9*H368)*12</f>
        <v>2326818.52760607</v>
      </c>
    </row>
    <row r="370" customFormat="false" ht="15" hidden="false" customHeight="false" outlineLevel="0" collapsed="false">
      <c r="A370" s="2" t="s">
        <v>799</v>
      </c>
      <c r="C370" s="30" t="n">
        <f aca="false">'Operating Model'!B49-'Operating Model'!B42+'Operating Model'!$B$42*1*(1+Assumptions!$C$18+D$21)^('Operating Model'!B$4-1)+((C369-'Operating Model'!B25)+0)*(1-(Assumptions!$C$42+Assumptions!$C$43+Assumptions!$C$44))*(1-Assumptions!$C$75)</f>
        <v>878230.438496</v>
      </c>
      <c r="D370" s="30" t="n">
        <f aca="false">'Operating Model'!C49-'Operating Model'!C42+'Operating Model'!$B$42*1*(1+Assumptions!$C$18+D$21)^('Operating Model'!C$4-1)+((D369-'Operating Model'!C25)+0)*(1-(Assumptions!$C$42+Assumptions!$C$43+Assumptions!$C$44))*(1-Assumptions!$C$75)</f>
        <v>915935.541376455</v>
      </c>
      <c r="E370" s="30" t="n">
        <f aca="false">'Operating Model'!D49-'Operating Model'!D42+'Operating Model'!$B$42*1*(1+Assumptions!$C$18+D$21)^('Operating Model'!D$4-1)+((E369-'Operating Model'!D25)+0)*(1-(Assumptions!$C$42+Assumptions!$C$43+Assumptions!$C$44))*(1-Assumptions!$C$75)</f>
        <v>915855.788618126</v>
      </c>
      <c r="F370" s="30" t="n">
        <f aca="false">'Operating Model'!E49-'Operating Model'!E42+'Operating Model'!$B$42*1*(1+Assumptions!$C$18+D$21)^('Operating Model'!E$4-1)+((F369-'Operating Model'!E25)+0)*(1-(Assumptions!$C$42+Assumptions!$C$43+Assumptions!$C$44))*(1-Assumptions!$C$75)</f>
        <v>920697.053811519</v>
      </c>
      <c r="G370" s="30" t="n">
        <f aca="false">'Operating Model'!F49-'Operating Model'!F42+'Operating Model'!$B$42*1*(1+Assumptions!$C$18+D$21)^('Operating Model'!F$4-1)+((G369-'Operating Model'!F25)+0)*(1-(Assumptions!$C$42+Assumptions!$C$43+Assumptions!$C$44))*(1-Assumptions!$C$75)</f>
        <v>927246.497096234</v>
      </c>
      <c r="H370" s="30" t="n">
        <f aca="false">'Operating Model'!G49-'Operating Model'!G42+'Operating Model'!$B$42*1*(1+Assumptions!$C$18+D$21)^('Operating Model'!G$4-1)+((H369-'Operating Model'!G25)+0)*(1-(Assumptions!$C$42+Assumptions!$C$43+Assumptions!$C$44))*(1-Assumptions!$C$75)</f>
        <v>934826.407527038</v>
      </c>
      <c r="I370" s="30" t="n">
        <f aca="false">H370-'Operating Model'!$B$42*1*(1+Assumptions!$C$18+D$21)^('Operating Model'!G$4-1)</f>
        <v>1209117.41207427</v>
      </c>
    </row>
    <row r="371" customFormat="false" ht="15" hidden="false" customHeight="false" outlineLevel="0" collapsed="false">
      <c r="A371" s="2" t="s">
        <v>800</v>
      </c>
      <c r="B371" s="30" t="n">
        <f aca="false">Assumptions!$C$7*1</f>
        <v>13800000</v>
      </c>
      <c r="C371" s="30" t="n">
        <f aca="false">MAX(0,(Assumptions!$C$124+Assumptions!$C$127)-Assumptions!$C$132*B371)</f>
        <v>0</v>
      </c>
      <c r="D371" s="30" t="n">
        <f aca="false">Assumptions!$C$124-MAX(0,C371-Assumptions!$C$127)</f>
        <v>5887000</v>
      </c>
      <c r="E371" s="30" t="n">
        <f aca="false">Assumptions!$C$127-MIN(C371,Assumptions!$C$127)</f>
        <v>3563000</v>
      </c>
      <c r="F371" s="30" t="n">
        <f aca="false">B371*(1+Assumptions!$C$10)+'Unit Mix'!$D$18*1+(D371+E371)*Assumptions!$C$131-(D371+E371)</f>
        <v>5095290</v>
      </c>
      <c r="G371" s="30" t="n">
        <f aca="false">IF(Assumptions!$C$130=1,D371+E371,-FV(Assumptions!$C$125,Assumptions!$C$126,PMT(Assumptions!$C$125,Assumptions!$C$111,D371),D371)-FV(Assumptions!$C$128,Assumptions!$C$126,PMT(Assumptions!$C$128,Assumptions!$C$111,E371),E371))</f>
        <v>9450000</v>
      </c>
      <c r="H371" s="30" t="n">
        <f aca="false">MIN(INDEX(C370:H370,Assumptions!$C$126+1)/$A$24*Assumptions!$C$108,INDEX(C370:H370,Assumptions!$C$126+1)/(Assumptions!$C$109*-PMT('Debt (Assumed)'!$B$99,Assumptions!$C$111,1)))</f>
        <v>8699030.271278</v>
      </c>
      <c r="I371" s="30" t="n">
        <f aca="false">IF(MAX(0,Assumptions!$C$154-Assumptions!$C$126-'Debt (Assumed)'!$B$100)=0,H371,-FV('Debt (Assumed)'!$B$98,MAX(0,Assumptions!$C$154-Assumptions!$C$126-'Debt (Assumed)'!$B$100),PMT('Debt (Assumed)'!$B$98,Assumptions!$C$111,H371),H371))</f>
        <v>8699030.271278</v>
      </c>
      <c r="J371" s="30" t="n">
        <f aca="false">I371*'Debt (Assumed)'!$B$102</f>
        <v>0</v>
      </c>
      <c r="K371" s="30" t="n">
        <f aca="false">I370/($A$24+Returns!$B$35)*(1-Assumptions!$C$158)-I371-J371</f>
        <v>5552338.73291509</v>
      </c>
      <c r="L371" s="30" t="n">
        <f aca="false">H371*'Debt (Assumed)'!$B$101</f>
        <v>93949.5269298024</v>
      </c>
      <c r="M371" s="30" t="n">
        <f aca="false">(INDEX(C370:H370,Assumptions!$C$126+1)-'Operating Model'!$B$42*1*(1+Assumptions!$C$18+D$21)^Assumptions!$C$126)/($A$24+Returns!$B$35)*(1-Assumptions!$C$158)-G371</f>
        <v>4449247.28151039</v>
      </c>
    </row>
    <row r="372" customFormat="false" ht="15" hidden="false" customHeight="false" outlineLevel="0" collapsed="false">
      <c r="A372" s="2" t="s">
        <v>801</v>
      </c>
      <c r="C372" s="30" t="n">
        <f aca="false">IF('Operating Model'!B$4&lt;=Assumptions!$C$126,IF(Assumptions!$C$130=1,D371*Assumptions!$C$125+E371*Assumptions!$C$128,-PMT(Assumptions!$C$125,Assumptions!$C$111,D371)-PMT(Assumptions!$C$128,Assumptions!$C$111,E371)),IF(Assumptions!$C$136=1,0,IF('Operating Model'!B$4-Assumptions!$C$126&lt;='Debt (Assumed)'!$B$100,H371*'Debt (Assumed)'!$B$98,-PMT('Debt (Assumed)'!$B$98,Assumptions!$C$111,H371))))</f>
        <v>397516</v>
      </c>
      <c r="D372" s="30" t="n">
        <f aca="false">IF('Operating Model'!C$4&lt;=Assumptions!$C$126,IF(Assumptions!$C$130=1,D371*Assumptions!$C$125+E371*Assumptions!$C$128,-PMT(Assumptions!$C$125,Assumptions!$C$111,D371)-PMT(Assumptions!$C$128,Assumptions!$C$111,E371)),IF(Assumptions!$C$136=1,0,IF('Operating Model'!C$4-Assumptions!$C$126&lt;='Debt (Assumed)'!$B$100,H371*'Debt (Assumed)'!$B$98,-PMT('Debt (Assumed)'!$B$98,Assumptions!$C$111,H371))))</f>
        <v>397516</v>
      </c>
      <c r="E372" s="30" t="n">
        <f aca="false">IF('Operating Model'!D$4&lt;=Assumptions!$C$126,IF(Assumptions!$C$130=1,D371*Assumptions!$C$125+E371*Assumptions!$C$128,-PMT(Assumptions!$C$125,Assumptions!$C$111,D371)-PMT(Assumptions!$C$128,Assumptions!$C$111,E371)),IF(Assumptions!$C$136=1,0,IF('Operating Model'!D$4-Assumptions!$C$126&lt;='Debt (Assumed)'!$B$100,H371*'Debt (Assumed)'!$B$98,-PMT('Debt (Assumed)'!$B$98,Assumptions!$C$111,H371))))</f>
        <v>397516</v>
      </c>
      <c r="F372" s="30" t="n">
        <f aca="false">IF('Operating Model'!E$4&lt;=Assumptions!$C$126,IF(Assumptions!$C$130=1,D371*Assumptions!$C$125+E371*Assumptions!$C$128,-PMT(Assumptions!$C$125,Assumptions!$C$111,D371)-PMT(Assumptions!$C$128,Assumptions!$C$111,E371)),IF(Assumptions!$C$136=1,0,IF('Operating Model'!E$4-Assumptions!$C$126&lt;='Debt (Assumed)'!$B$100,H371*'Debt (Assumed)'!$B$98,-PMT('Debt (Assumed)'!$B$98,Assumptions!$C$111,H371))))</f>
        <v>586314.640284137</v>
      </c>
      <c r="G372" s="30" t="n">
        <f aca="false">IF('Operating Model'!F$4&lt;=Assumptions!$C$126,IF(Assumptions!$C$130=1,D371*Assumptions!$C$125+E371*Assumptions!$C$128,-PMT(Assumptions!$C$125,Assumptions!$C$111,D371)-PMT(Assumptions!$C$128,Assumptions!$C$111,E371)),IF(Assumptions!$C$136=1,0,IF('Operating Model'!F$4-Assumptions!$C$126&lt;='Debt (Assumed)'!$B$100,H371*'Debt (Assumed)'!$B$98,-PMT('Debt (Assumed)'!$B$98,Assumptions!$C$111,H371))))</f>
        <v>586314.640284137</v>
      </c>
    </row>
    <row r="373" customFormat="false" ht="15" hidden="false" customHeight="false" outlineLevel="0" collapsed="false">
      <c r="A373" s="2" t="s">
        <v>802</v>
      </c>
      <c r="B373" s="30" t="n">
        <f aca="false">-F371</f>
        <v>-5095290</v>
      </c>
      <c r="C373" s="30" t="n">
        <f aca="false">IF(AND(Assumptions!$C$136=1,'Operating Model'!B$4&gt;Assumptions!$C$126),0,'Operating Model'!B55+(C370-'Operating Model'!B49)-C372-IF('Operating Model'!B$4=Assumptions!$C$126,IF(Assumptions!$C$136=1,-M371,G371-H371+L371),0)+IF(AND(Assumptions!$C$136&lt;&gt;1,'Operating Model'!B$4=Assumptions!$C$154),K371,0))</f>
        <v>451614.438496</v>
      </c>
      <c r="D373" s="30" t="n">
        <f aca="false">IF(AND(Assumptions!$C$136=1,'Operating Model'!C$4&gt;Assumptions!$C$126),0,'Operating Model'!C55+(D370-'Operating Model'!C49)-D372-IF('Operating Model'!C$4=Assumptions!$C$126,IF(Assumptions!$C$136=1,-M371,G371-H371+L371),0)+IF(AND(Assumptions!$C$136&lt;&gt;1,'Operating Model'!C$4=Assumptions!$C$154),K371,0))</f>
        <v>328301.041376455</v>
      </c>
      <c r="E373" s="30" t="n">
        <f aca="false">IF(AND(Assumptions!$C$136=1,'Operating Model'!D$4&gt;Assumptions!$C$126),0,'Operating Model'!D55+(E370-'Operating Model'!D49)-E372-IF('Operating Model'!D$4=Assumptions!$C$126,IF(Assumptions!$C$136=1,-M371,G371-H371+L371),0)+IF(AND(Assumptions!$C$136&lt;&gt;1,'Operating Model'!D$4=Assumptions!$C$154),K371,0))</f>
        <v>-357752.114533679</v>
      </c>
      <c r="F373" s="30" t="n">
        <f aca="false">IF(AND(Assumptions!$C$136=1,'Operating Model'!E$4&gt;Assumptions!$C$126),0,'Operating Model'!E55+(F370-'Operating Model'!E49)-F372-IF('Operating Model'!E$4=Assumptions!$C$126,IF(Assumptions!$C$136=1,-M371,G371-H371+L371),0)+IF(AND(Assumptions!$C$136&lt;&gt;1,'Operating Model'!E$4=Assumptions!$C$154),K371,0))</f>
        <v>302118.723364882</v>
      </c>
      <c r="G373" s="30" t="n">
        <f aca="false">IF(AND(Assumptions!$C$136=1,'Operating Model'!F$4&gt;Assumptions!$C$126),0,'Operating Model'!F55+(G370-'Operating Model'!F49)-G372-IF('Operating Model'!F$4=Assumptions!$C$126,IF(Assumptions!$C$136=1,-M371,G371-H371+L371),0)+IF(AND(Assumptions!$C$136&lt;&gt;1,'Operating Model'!F$4=Assumptions!$C$154),K371,0))</f>
        <v>5859877.670409</v>
      </c>
      <c r="H373" s="22" t="n">
        <f aca="false">IFERROR(IRR(B373:G373),"N/A")</f>
        <v>0.0572839138202697</v>
      </c>
      <c r="I373" s="24" t="n">
        <f aca="false">SUM(C373:G373)/F371</f>
        <v>1.29220510689532</v>
      </c>
    </row>
    <row r="375" customFormat="false" ht="15" hidden="false" customHeight="false" outlineLevel="0" collapsed="false">
      <c r="A375" s="2" t="s">
        <v>803</v>
      </c>
      <c r="C375" s="30" t="n">
        <f aca="false">'Unit Mix'!$H$6*(1+('Operating Model'!B$6+E$21))</f>
        <v>1573.25</v>
      </c>
      <c r="D375" s="30" t="n">
        <f aca="false">C375*(1+('Operating Model'!C$6+E$21))</f>
        <v>1608.648125</v>
      </c>
      <c r="E375" s="30" t="n">
        <f aca="false">D375*(1+('Operating Model'!D$6+E$21))</f>
        <v>1656.90756875</v>
      </c>
      <c r="F375" s="30" t="n">
        <f aca="false">E375*(1+('Operating Model'!E$6+E$21))</f>
        <v>1714.89933365625</v>
      </c>
      <c r="G375" s="30" t="n">
        <f aca="false">F375*(1+('Operating Model'!F$6+E$21))</f>
        <v>1774.92081033422</v>
      </c>
      <c r="H375" s="30" t="n">
        <f aca="false">G375*(1+('Operating Model'!G$6+E$21))</f>
        <v>1837.04303869592</v>
      </c>
    </row>
    <row r="376" customFormat="false" ht="15" hidden="false" customHeight="false" outlineLevel="0" collapsed="false">
      <c r="A376" s="2" t="s">
        <v>804</v>
      </c>
      <c r="C376" s="30" t="n">
        <f aca="false">'Unit Mix'!$G$6+Assumptions!$C$48*Assumptions!$C$47*(C375-'Unit Mix'!$G$6)</f>
        <v>1486.6125</v>
      </c>
      <c r="D376" s="30" t="n">
        <f aca="false">C376+Assumptions!$C$48*Assumptions!$C$47*(D375-C376)</f>
        <v>1520.172296875</v>
      </c>
      <c r="E376" s="30" t="n">
        <f aca="false">D376+Assumptions!$C$48*Assumptions!$C$47*(E375-D376)</f>
        <v>1557.77449664062</v>
      </c>
      <c r="F376" s="30" t="n">
        <f aca="false">E376+Assumptions!$C$48*Assumptions!$C$47*(F375-E376)</f>
        <v>1600.98382681992</v>
      </c>
      <c r="G376" s="30" t="n">
        <f aca="false">F376+Assumptions!$C$48*Assumptions!$C$47*(G375-F376)</f>
        <v>1648.81649728635</v>
      </c>
      <c r="H376" s="30" t="n">
        <f aca="false">G376+Assumptions!$C$48*Assumptions!$C$47*(H375-G376)</f>
        <v>1700.57879617398</v>
      </c>
    </row>
    <row r="377" customFormat="false" ht="15" hidden="false" customHeight="false" outlineLevel="0" collapsed="false">
      <c r="A377" s="2" t="s">
        <v>805</v>
      </c>
      <c r="C377" s="30" t="n">
        <f aca="false">'Unit Mix'!$H$7*(1+('Operating Model'!B$6+E$21))</f>
        <v>1806.7</v>
      </c>
      <c r="D377" s="30" t="n">
        <f aca="false">C377*(1+('Operating Model'!C$6+E$21))</f>
        <v>1847.35075</v>
      </c>
      <c r="E377" s="30" t="n">
        <f aca="false">D377*(1+('Operating Model'!D$6+E$21))</f>
        <v>1902.7712725</v>
      </c>
      <c r="F377" s="30" t="n">
        <f aca="false">E377*(1+('Operating Model'!E$6+E$21))</f>
        <v>1969.3682670375</v>
      </c>
      <c r="G377" s="30" t="n">
        <f aca="false">F377*(1+('Operating Model'!F$6+E$21))</f>
        <v>2038.29615638381</v>
      </c>
      <c r="H377" s="30" t="n">
        <f aca="false">G377*(1+('Operating Model'!G$6+E$21))</f>
        <v>2109.63652185725</v>
      </c>
    </row>
    <row r="378" customFormat="false" ht="15" hidden="false" customHeight="false" outlineLevel="0" collapsed="false">
      <c r="A378" s="2" t="s">
        <v>806</v>
      </c>
      <c r="C378" s="30" t="n">
        <f aca="false">'Unit Mix'!$G$7+Assumptions!$C$48*Assumptions!$C$47*(C377-'Unit Mix'!$G$7)</f>
        <v>1709.94875</v>
      </c>
      <c r="D378" s="30" t="n">
        <f aca="false">C378+Assumptions!$C$48*Assumptions!$C$47*(D377-C378)</f>
        <v>1747.7343</v>
      </c>
      <c r="E378" s="30" t="n">
        <f aca="false">D378+Assumptions!$C$48*Assumptions!$C$47*(E377-D378)</f>
        <v>1790.3694674375</v>
      </c>
      <c r="F378" s="30" t="n">
        <f aca="false">E378+Assumptions!$C$48*Assumptions!$C$47*(F377-E378)</f>
        <v>1839.5941373275</v>
      </c>
      <c r="G378" s="30" t="n">
        <f aca="false">F378+Assumptions!$C$48*Assumptions!$C$47*(G377-F378)</f>
        <v>1894.23719256799</v>
      </c>
      <c r="H378" s="30" t="n">
        <f aca="false">G378+Assumptions!$C$48*Assumptions!$C$47*(H377-G378)</f>
        <v>1953.47200812253</v>
      </c>
    </row>
    <row r="379" customFormat="false" ht="15" hidden="false" customHeight="false" outlineLevel="0" collapsed="false">
      <c r="A379" s="2" t="s">
        <v>807</v>
      </c>
      <c r="C379" s="30" t="n">
        <f aca="false">'Unit Mix'!$H$8*(1+('Operating Model'!B$6+E$21))</f>
        <v>2080.75</v>
      </c>
      <c r="D379" s="30" t="n">
        <f aca="false">C379*(1+('Operating Model'!C$6+E$21))</f>
        <v>2127.566875</v>
      </c>
      <c r="E379" s="30" t="n">
        <f aca="false">D379*(1+('Operating Model'!D$6+E$21))</f>
        <v>2191.39388125</v>
      </c>
      <c r="F379" s="30" t="n">
        <f aca="false">E379*(1+('Operating Model'!E$6+E$21))</f>
        <v>2268.09266709375</v>
      </c>
      <c r="G379" s="30" t="n">
        <f aca="false">F379*(1+('Operating Model'!F$6+E$21))</f>
        <v>2347.47591044203</v>
      </c>
      <c r="H379" s="30" t="n">
        <f aca="false">G379*(1+('Operating Model'!G$6+E$21))</f>
        <v>2429.6375673075</v>
      </c>
    </row>
    <row r="380" customFormat="false" ht="15" hidden="false" customHeight="false" outlineLevel="0" collapsed="false">
      <c r="A380" s="2" t="s">
        <v>808</v>
      </c>
      <c r="C380" s="30" t="n">
        <f aca="false">'Unit Mix'!$G$8+Assumptions!$C$48*Assumptions!$C$47*(C379-'Unit Mix'!$G$8)</f>
        <v>1969.64375</v>
      </c>
      <c r="D380" s="30" t="n">
        <f aca="false">C380+Assumptions!$C$48*Assumptions!$C$47*(D379-C380)</f>
        <v>2013.072609375</v>
      </c>
      <c r="E380" s="30" t="n">
        <f aca="false">D380+Assumptions!$C$48*Assumptions!$C$47*(E379-D380)</f>
        <v>2062.11095914063</v>
      </c>
      <c r="F380" s="30" t="n">
        <f aca="false">E380+Assumptions!$C$48*Assumptions!$C$47*(F379-E380)</f>
        <v>2118.75592882773</v>
      </c>
      <c r="G380" s="30" t="n">
        <f aca="false">F380+Assumptions!$C$48*Assumptions!$C$47*(G379-F380)</f>
        <v>2181.65392377167</v>
      </c>
      <c r="H380" s="30" t="n">
        <f aca="false">G380+Assumptions!$C$48*Assumptions!$C$47*(H379-G380)</f>
        <v>2249.84942574402</v>
      </c>
    </row>
    <row r="381" customFormat="false" ht="15" hidden="false" customHeight="false" outlineLevel="0" collapsed="false">
      <c r="A381" s="2" t="s">
        <v>809</v>
      </c>
      <c r="C381" s="30" t="n">
        <f aca="false">'Unit Mix'!$H$9*(1+('Operating Model'!B$6+E$21))</f>
        <v>2233</v>
      </c>
      <c r="D381" s="30" t="n">
        <f aca="false">C381*(1+('Operating Model'!C$6+E$21))</f>
        <v>2283.2425</v>
      </c>
      <c r="E381" s="30" t="n">
        <f aca="false">D381*(1+('Operating Model'!D$6+E$21))</f>
        <v>2351.739775</v>
      </c>
      <c r="F381" s="30" t="n">
        <f aca="false">E381*(1+('Operating Model'!E$6+E$21))</f>
        <v>2434.050667125</v>
      </c>
      <c r="G381" s="30" t="n">
        <f aca="false">F381*(1+('Operating Model'!F$6+E$21))</f>
        <v>2519.24244047437</v>
      </c>
      <c r="H381" s="30" t="n">
        <f aca="false">G381*(1+('Operating Model'!G$6+E$21))</f>
        <v>2607.41592589098</v>
      </c>
    </row>
    <row r="382" customFormat="false" ht="15" hidden="false" customHeight="false" outlineLevel="0" collapsed="false">
      <c r="A382" s="2" t="s">
        <v>810</v>
      </c>
      <c r="C382" s="30" t="n">
        <f aca="false">'Unit Mix'!$G$9+Assumptions!$C$48*Assumptions!$C$47*(C381-'Unit Mix'!$G$9)</f>
        <v>2113.91875</v>
      </c>
      <c r="D382" s="30" t="n">
        <f aca="false">C382+Assumptions!$C$48*Assumptions!$C$47*(D381-C382)</f>
        <v>2160.48278125</v>
      </c>
      <c r="E382" s="30" t="n">
        <f aca="false">D382+Assumptions!$C$48*Assumptions!$C$47*(E381-D382)</f>
        <v>2213.07845453125</v>
      </c>
      <c r="F382" s="30" t="n">
        <f aca="false">E382+Assumptions!$C$48*Assumptions!$C$47*(F381-E382)</f>
        <v>2273.84581299453</v>
      </c>
      <c r="G382" s="30" t="n">
        <f aca="false">F382+Assumptions!$C$48*Assumptions!$C$47*(G381-F382)</f>
        <v>2341.32988555149</v>
      </c>
      <c r="H382" s="30" t="n">
        <f aca="false">G382+Assumptions!$C$48*Assumptions!$C$47*(H381-G382)</f>
        <v>2414.50354664485</v>
      </c>
    </row>
    <row r="383" customFormat="false" ht="15" hidden="false" customHeight="false" outlineLevel="0" collapsed="false">
      <c r="A383" s="2" t="s">
        <v>811</v>
      </c>
      <c r="C383" s="30" t="n">
        <f aca="false">('Unit Mix'!$C$6*('Unit Mix'!$F$6*(1-Assumptions!$C$39)+(C375+Assumptions!$C$37)*Assumptions!$C$39)+'Unit Mix'!$D$6*C376+'Unit Mix'!$C$7*('Unit Mix'!$F$7*(1-Assumptions!$C$39)+(C377+Assumptions!$C$37)*Assumptions!$C$39)+'Unit Mix'!$D$7*C378+'Unit Mix'!$C$8*('Unit Mix'!$F$8*(1-Assumptions!$C$39)+(C379+Assumptions!$C$37)*Assumptions!$C$39)+'Unit Mix'!$D$8*C380+'Unit Mix'!$C$9*('Unit Mix'!$F$9*(1-Assumptions!$C$39)+(C381+Assumptions!$C$37)*Assumptions!$C$39)+'Unit Mix'!$D$9*C382)*12</f>
        <v>2020542.255</v>
      </c>
      <c r="D383" s="30" t="n">
        <f aca="false">('Unit Mix'!$C$6*(D375+Assumptions!$C$37)+'Unit Mix'!$D$6*D376+'Unit Mix'!$C$7*(D377+Assumptions!$C$37)+'Unit Mix'!$D$7*D378+'Unit Mix'!$C$8*(D379+Assumptions!$C$37)+'Unit Mix'!$D$8*D380+'Unit Mix'!$C$9*(D381+Assumptions!$C$37)+'Unit Mix'!$D$9*D382)*12</f>
        <v>2115428.0952375</v>
      </c>
      <c r="E383" s="30" t="n">
        <f aca="false">('Unit Mix'!$C$6*(E375+Assumptions!$C$37)+'Unit Mix'!$D$6*E376+'Unit Mix'!$C$7*(E377+Assumptions!$C$37)+'Unit Mix'!$D$7*E378+'Unit Mix'!$C$8*(E379+Assumptions!$C$37)+'Unit Mix'!$D$8*E380+'Unit Mix'!$C$9*(E381+Assumptions!$C$37)+'Unit Mix'!$D$9*E382)*12</f>
        <v>2170134.86738306</v>
      </c>
      <c r="F383" s="30" t="n">
        <f aca="false">('Unit Mix'!$C$6*(F375+Assumptions!$C$37)+'Unit Mix'!$D$6*F376+'Unit Mix'!$C$7*(F377+Assumptions!$C$37)+'Unit Mix'!$D$7*F378+'Unit Mix'!$C$8*(F379+Assumptions!$C$37)+'Unit Mix'!$D$8*F380+'Unit Mix'!$C$9*(F381+Assumptions!$C$37)+'Unit Mix'!$D$9*F382)*12</f>
        <v>2234036.40618041</v>
      </c>
      <c r="G383" s="30" t="n">
        <f aca="false">('Unit Mix'!$C$6*(G375+Assumptions!$C$37)+'Unit Mix'!$D$6*G376+'Unit Mix'!$C$7*(G377+Assumptions!$C$37)+'Unit Mix'!$D$7*G378+'Unit Mix'!$C$8*(G379+Assumptions!$C$37)+'Unit Mix'!$D$8*G380+'Unit Mix'!$C$9*(G381+Assumptions!$C$37)+'Unit Mix'!$D$9*G382)*12</f>
        <v>2303489.12376496</v>
      </c>
      <c r="H383" s="30" t="n">
        <f aca="false">('Unit Mix'!$C$6*(H375+Assumptions!$C$37)+'Unit Mix'!$D$6*H376+'Unit Mix'!$C$7*(H377+Assumptions!$C$37)+'Unit Mix'!$D$7*H378+'Unit Mix'!$C$8*(H379+Assumptions!$C$37)+'Unit Mix'!$D$8*H380+'Unit Mix'!$C$9*(H381+Assumptions!$C$37)+'Unit Mix'!$D$9*H382)*12</f>
        <v>2377775.78953871</v>
      </c>
    </row>
    <row r="384" customFormat="false" ht="15" hidden="false" customHeight="false" outlineLevel="0" collapsed="false">
      <c r="A384" s="2" t="s">
        <v>812</v>
      </c>
      <c r="C384" s="30" t="n">
        <f aca="false">'Operating Model'!B49-'Operating Model'!B42+'Operating Model'!$B$42*1*(1+Assumptions!$C$18+E$21)^('Operating Model'!B$4-1)+((C383-'Operating Model'!B25)+0)*(1-(Assumptions!$C$42+Assumptions!$C$43+Assumptions!$C$44))*(1-Assumptions!$C$75)</f>
        <v>881345.670989</v>
      </c>
      <c r="D384" s="30" t="n">
        <f aca="false">'Operating Model'!C49-'Operating Model'!C42+'Operating Model'!$B$42*1*(1+Assumptions!$C$18+E$21)^('Operating Model'!C$4-1)+((D383-'Operating Model'!C25)+0)*(1-(Assumptions!$C$42+Assumptions!$C$43+Assumptions!$C$44))*(1-Assumptions!$C$75)</f>
        <v>924857.259628853</v>
      </c>
      <c r="E384" s="30" t="n">
        <f aca="false">'Operating Model'!D49-'Operating Model'!D42+'Operating Model'!$B$42*1*(1+Assumptions!$C$18+E$21)^('Operating Model'!D$4-1)+((E383-'Operating Model'!D25)+0)*(1-(Assumptions!$C$42+Assumptions!$C$43+Assumptions!$C$44))*(1-Assumptions!$C$75)</f>
        <v>930663.458546298</v>
      </c>
      <c r="F384" s="30" t="n">
        <f aca="false">'Operating Model'!E49-'Operating Model'!E42+'Operating Model'!$B$42*1*(1+Assumptions!$C$18+E$21)^('Operating Model'!E$4-1)+((F383-'Operating Model'!E25)+0)*(1-(Assumptions!$C$42+Assumptions!$C$43+Assumptions!$C$44))*(1-Assumptions!$C$75)</f>
        <v>942484.914311808</v>
      </c>
      <c r="G384" s="30" t="n">
        <f aca="false">'Operating Model'!F49-'Operating Model'!F42+'Operating Model'!$B$42*1*(1+Assumptions!$C$18+E$21)^('Operating Model'!F$4-1)+((G383-'Operating Model'!F25)+0)*(1-(Assumptions!$C$42+Assumptions!$C$43+Assumptions!$C$44))*(1-Assumptions!$C$75)</f>
        <v>956966.501547713</v>
      </c>
      <c r="H384" s="30" t="n">
        <f aca="false">'Operating Model'!G49-'Operating Model'!G42+'Operating Model'!$B$42*1*(1+Assumptions!$C$18+E$21)^('Operating Model'!G$4-1)+((H383-'Operating Model'!G25)+0)*(1-(Assumptions!$C$42+Assumptions!$C$43+Assumptions!$C$44))*(1-Assumptions!$C$75)</f>
        <v>973343.765090856</v>
      </c>
      <c r="I384" s="30" t="n">
        <f aca="false">H384-'Operating Model'!$B$42*1*(1+Assumptions!$C$18+E$21)^('Operating Model'!G$4-1)</f>
        <v>1254357.26921807</v>
      </c>
    </row>
    <row r="385" customFormat="false" ht="15" hidden="false" customHeight="false" outlineLevel="0" collapsed="false">
      <c r="A385" s="2" t="s">
        <v>813</v>
      </c>
      <c r="B385" s="30" t="n">
        <f aca="false">Assumptions!$C$7*1</f>
        <v>13800000</v>
      </c>
      <c r="C385" s="30" t="n">
        <f aca="false">MAX(0,(Assumptions!$C$124+Assumptions!$C$127)-Assumptions!$C$132*B385)</f>
        <v>0</v>
      </c>
      <c r="D385" s="30" t="n">
        <f aca="false">Assumptions!$C$124-MAX(0,C385-Assumptions!$C$127)</f>
        <v>5887000</v>
      </c>
      <c r="E385" s="30" t="n">
        <f aca="false">Assumptions!$C$127-MIN(C385,Assumptions!$C$127)</f>
        <v>3563000</v>
      </c>
      <c r="F385" s="30" t="n">
        <f aca="false">B385*(1+Assumptions!$C$10)+'Unit Mix'!$D$18*1+(D385+E385)*Assumptions!$C$131-(D385+E385)</f>
        <v>5095290</v>
      </c>
      <c r="G385" s="30" t="n">
        <f aca="false">IF(Assumptions!$C$130=1,D385+E385,-FV(Assumptions!$C$125,Assumptions!$C$126,PMT(Assumptions!$C$125,Assumptions!$C$111,D385),D385)-FV(Assumptions!$C$128,Assumptions!$C$126,PMT(Assumptions!$C$128,Assumptions!$C$111,E385),E385))</f>
        <v>9450000</v>
      </c>
      <c r="H385" s="30" t="n">
        <f aca="false">MIN(INDEX(C384:H384,Assumptions!$C$126+1)/$A$24*Assumptions!$C$108,INDEX(C384:H384,Assumptions!$C$126+1)/(Assumptions!$C$109*-PMT('Debt (Assumed)'!$B$99,Assumptions!$C$111,1)))</f>
        <v>8904888.71000523</v>
      </c>
      <c r="I385" s="30" t="n">
        <f aca="false">IF(MAX(0,Assumptions!$C$154-Assumptions!$C$126-'Debt (Assumed)'!$B$100)=0,H385,-FV('Debt (Assumed)'!$B$98,MAX(0,Assumptions!$C$154-Assumptions!$C$126-'Debt (Assumed)'!$B$100),PMT('Debt (Assumed)'!$B$98,Assumptions!$C$111,H385),H385))</f>
        <v>8904888.71000523</v>
      </c>
      <c r="J385" s="30" t="n">
        <f aca="false">I385*'Debt (Assumed)'!$B$102</f>
        <v>0</v>
      </c>
      <c r="K385" s="30" t="n">
        <f aca="false">I384/($A$24+Returns!$B$35)*(1-Assumptions!$C$158)-I385-J385</f>
        <v>5879703.85991849</v>
      </c>
      <c r="L385" s="30" t="n">
        <f aca="false">H385*'Debt (Assumed)'!$B$101</f>
        <v>96172.7980680565</v>
      </c>
      <c r="M385" s="30" t="n">
        <f aca="false">(INDEX(C384:H384,Assumptions!$C$126+1)-'Operating Model'!$B$42*1*(1+Assumptions!$C$18+E$21)^Assumptions!$C$126)/($A$24+Returns!$B$35)*(1-Assumptions!$C$158)-G385</f>
        <v>4750646.78078544</v>
      </c>
    </row>
    <row r="386" customFormat="false" ht="15" hidden="false" customHeight="false" outlineLevel="0" collapsed="false">
      <c r="A386" s="2" t="s">
        <v>814</v>
      </c>
      <c r="C386" s="30" t="n">
        <f aca="false">IF('Operating Model'!B$4&lt;=Assumptions!$C$126,IF(Assumptions!$C$130=1,D385*Assumptions!$C$125+E385*Assumptions!$C$128,-PMT(Assumptions!$C$125,Assumptions!$C$111,D385)-PMT(Assumptions!$C$128,Assumptions!$C$111,E385)),IF(Assumptions!$C$136=1,0,IF('Operating Model'!B$4-Assumptions!$C$126&lt;='Debt (Assumed)'!$B$100,H385*'Debt (Assumed)'!$B$98,-PMT('Debt (Assumed)'!$B$98,Assumptions!$C$111,H385))))</f>
        <v>397516</v>
      </c>
      <c r="D386" s="30" t="n">
        <f aca="false">IF('Operating Model'!C$4&lt;=Assumptions!$C$126,IF(Assumptions!$C$130=1,D385*Assumptions!$C$125+E385*Assumptions!$C$128,-PMT(Assumptions!$C$125,Assumptions!$C$111,D385)-PMT(Assumptions!$C$128,Assumptions!$C$111,E385)),IF(Assumptions!$C$136=1,0,IF('Operating Model'!C$4-Assumptions!$C$126&lt;='Debt (Assumed)'!$B$100,H385*'Debt (Assumed)'!$B$98,-PMT('Debt (Assumed)'!$B$98,Assumptions!$C$111,H385))))</f>
        <v>397516</v>
      </c>
      <c r="E386" s="30" t="n">
        <f aca="false">IF('Operating Model'!D$4&lt;=Assumptions!$C$126,IF(Assumptions!$C$130=1,D385*Assumptions!$C$125+E385*Assumptions!$C$128,-PMT(Assumptions!$C$125,Assumptions!$C$111,D385)-PMT(Assumptions!$C$128,Assumptions!$C$111,E385)),IF(Assumptions!$C$136=1,0,IF('Operating Model'!D$4-Assumptions!$C$126&lt;='Debt (Assumed)'!$B$100,H385*'Debt (Assumed)'!$B$98,-PMT('Debt (Assumed)'!$B$98,Assumptions!$C$111,H385))))</f>
        <v>397516</v>
      </c>
      <c r="F386" s="30" t="n">
        <f aca="false">IF('Operating Model'!E$4&lt;=Assumptions!$C$126,IF(Assumptions!$C$130=1,D385*Assumptions!$C$125+E385*Assumptions!$C$128,-PMT(Assumptions!$C$125,Assumptions!$C$111,D385)-PMT(Assumptions!$C$128,Assumptions!$C$111,E385)),IF(Assumptions!$C$136=1,0,IF('Operating Model'!E$4-Assumptions!$C$126&lt;='Debt (Assumed)'!$B$100,H385*'Debt (Assumed)'!$B$98,-PMT('Debt (Assumed)'!$B$98,Assumptions!$C$111,H385))))</f>
        <v>600189.499054352</v>
      </c>
      <c r="G386" s="30" t="n">
        <f aca="false">IF('Operating Model'!F$4&lt;=Assumptions!$C$126,IF(Assumptions!$C$130=1,D385*Assumptions!$C$125+E385*Assumptions!$C$128,-PMT(Assumptions!$C$125,Assumptions!$C$111,D385)-PMT(Assumptions!$C$128,Assumptions!$C$111,E385)),IF(Assumptions!$C$136=1,0,IF('Operating Model'!F$4-Assumptions!$C$126&lt;='Debt (Assumed)'!$B$100,H385*'Debt (Assumed)'!$B$98,-PMT('Debt (Assumed)'!$B$98,Assumptions!$C$111,H385))))</f>
        <v>600189.499054352</v>
      </c>
    </row>
    <row r="387" customFormat="false" ht="15" hidden="false" customHeight="false" outlineLevel="0" collapsed="false">
      <c r="A387" s="2" t="s">
        <v>815</v>
      </c>
      <c r="B387" s="30" t="n">
        <f aca="false">-F385</f>
        <v>-5095290</v>
      </c>
      <c r="C387" s="30" t="n">
        <f aca="false">IF(AND(Assumptions!$C$136=1,'Operating Model'!B$4&gt;Assumptions!$C$126),0,'Operating Model'!B55+(C384-'Operating Model'!B49)-C386-IF('Operating Model'!B$4=Assumptions!$C$126,IF(Assumptions!$C$136=1,-M385,G385-H385+L385),0)+IF(AND(Assumptions!$C$136&lt;&gt;1,'Operating Model'!B$4=Assumptions!$C$154),K385,0))</f>
        <v>454729.670989</v>
      </c>
      <c r="D387" s="30" t="n">
        <f aca="false">IF(AND(Assumptions!$C$136=1,'Operating Model'!C$4&gt;Assumptions!$C$126),0,'Operating Model'!C55+(D384-'Operating Model'!C49)-D386-IF('Operating Model'!C$4=Assumptions!$C$126,IF(Assumptions!$C$136=1,-M385,G385-H385+L385),0)+IF(AND(Assumptions!$C$136&lt;&gt;1,'Operating Model'!C$4=Assumptions!$C$154),K385,0))</f>
        <v>337222.759628853</v>
      </c>
      <c r="E387" s="30" t="n">
        <f aca="false">IF(AND(Assumptions!$C$136=1,'Operating Model'!D$4&gt;Assumptions!$C$126),0,'Operating Model'!D55+(E384-'Operating Model'!D49)-E386-IF('Operating Model'!D$4=Assumptions!$C$126,IF(Assumptions!$C$136=1,-M385,G385-H385+L385),0)+IF(AND(Assumptions!$C$136&lt;&gt;1,'Operating Model'!D$4=Assumptions!$C$154),K385,0))</f>
        <v>-139309.277016531</v>
      </c>
      <c r="F387" s="30" t="n">
        <f aca="false">IF(AND(Assumptions!$C$136=1,'Operating Model'!E$4&gt;Assumptions!$C$126),0,'Operating Model'!E55+(F384-'Operating Model'!E49)-F386-IF('Operating Model'!E$4=Assumptions!$C$126,IF(Assumptions!$C$136=1,-M385,G385-H385+L385),0)+IF(AND(Assumptions!$C$136&lt;&gt;1,'Operating Model'!E$4=Assumptions!$C$154),K385,0))</f>
        <v>310031.725094956</v>
      </c>
      <c r="G387" s="30" t="n">
        <f aca="false">IF(AND(Assumptions!$C$136=1,'Operating Model'!F$4&gt;Assumptions!$C$126),0,'Operating Model'!F55+(G384-'Operating Model'!F49)-G386-IF('Operating Model'!F$4=Assumptions!$C$126,IF(Assumptions!$C$136=1,-M385,G385-H385+L385),0)+IF(AND(Assumptions!$C$136&lt;&gt;1,'Operating Model'!F$4=Assumptions!$C$154),K385,0))</f>
        <v>6203087.94309367</v>
      </c>
      <c r="H387" s="22" t="n">
        <f aca="false">IFERROR(IRR(B387:G387),"N/A")</f>
        <v>0.0778175753123653</v>
      </c>
      <c r="I387" s="24" t="n">
        <f aca="false">SUM(C387:G387)/F385</f>
        <v>1.40635033958616</v>
      </c>
    </row>
    <row r="389" customFormat="false" ht="15" hidden="false" customHeight="false" outlineLevel="0" collapsed="false">
      <c r="A389" s="2" t="s">
        <v>816</v>
      </c>
      <c r="C389" s="30" t="n">
        <f aca="false">'Unit Mix'!$H$6*(1+('Operating Model'!B$6+F$21))</f>
        <v>1581</v>
      </c>
      <c r="D389" s="30" t="n">
        <f aca="false">C389*(1+('Operating Model'!C$6+F$21))</f>
        <v>1624.4775</v>
      </c>
      <c r="E389" s="30" t="n">
        <f aca="false">D389*(1+('Operating Model'!D$6+F$21))</f>
        <v>1681.3342125</v>
      </c>
      <c r="F389" s="30" t="n">
        <f aca="false">E389*(1+('Operating Model'!E$6+F$21))</f>
        <v>1748.587581</v>
      </c>
      <c r="G389" s="30" t="n">
        <f aca="false">F389*(1+('Operating Model'!F$6+F$21))</f>
        <v>1818.53108424</v>
      </c>
      <c r="H389" s="30" t="n">
        <f aca="false">G389*(1+('Operating Model'!G$6+F$21))</f>
        <v>1891.2723276096</v>
      </c>
    </row>
    <row r="390" customFormat="false" ht="15" hidden="false" customHeight="false" outlineLevel="0" collapsed="false">
      <c r="A390" s="2" t="s">
        <v>817</v>
      </c>
      <c r="C390" s="30" t="n">
        <f aca="false">'Unit Mix'!$G$6+Assumptions!$C$48*Assumptions!$C$47*(C389-'Unit Mix'!$G$6)</f>
        <v>1488.74375</v>
      </c>
      <c r="D390" s="30" t="n">
        <f aca="false">C390+Assumptions!$C$48*Assumptions!$C$47*(D389-C390)</f>
        <v>1526.07053125</v>
      </c>
      <c r="E390" s="30" t="n">
        <f aca="false">D390+Assumptions!$C$48*Assumptions!$C$47*(E389-D390)</f>
        <v>1568.76804359375</v>
      </c>
      <c r="F390" s="30" t="n">
        <f aca="false">E390+Assumptions!$C$48*Assumptions!$C$47*(F389-E390)</f>
        <v>1618.21841638047</v>
      </c>
      <c r="G390" s="30" t="n">
        <f aca="false">F390+Assumptions!$C$48*Assumptions!$C$47*(G389-F390)</f>
        <v>1673.30440004184</v>
      </c>
      <c r="H390" s="30" t="n">
        <f aca="false">G390+Assumptions!$C$48*Assumptions!$C$47*(H389-G390)</f>
        <v>1733.24558012297</v>
      </c>
    </row>
    <row r="391" customFormat="false" ht="15" hidden="false" customHeight="false" outlineLevel="0" collapsed="false">
      <c r="A391" s="2" t="s">
        <v>818</v>
      </c>
      <c r="C391" s="30" t="n">
        <f aca="false">'Unit Mix'!$H$7*(1+('Operating Model'!B$6+F$21))</f>
        <v>1815.6</v>
      </c>
      <c r="D391" s="30" t="n">
        <f aca="false">C391*(1+('Operating Model'!C$6+F$21))</f>
        <v>1865.529</v>
      </c>
      <c r="E391" s="30" t="n">
        <f aca="false">D391*(1+('Operating Model'!D$6+F$21))</f>
        <v>1930.822515</v>
      </c>
      <c r="F391" s="30" t="n">
        <f aca="false">E391*(1+('Operating Model'!E$6+F$21))</f>
        <v>2008.0554156</v>
      </c>
      <c r="G391" s="30" t="n">
        <f aca="false">F391*(1+('Operating Model'!F$6+F$21))</f>
        <v>2088.377632224</v>
      </c>
      <c r="H391" s="30" t="n">
        <f aca="false">G391*(1+('Operating Model'!G$6+F$21))</f>
        <v>2171.91273751296</v>
      </c>
    </row>
    <row r="392" customFormat="false" ht="15" hidden="false" customHeight="false" outlineLevel="0" collapsed="false">
      <c r="A392" s="2" t="s">
        <v>819</v>
      </c>
      <c r="C392" s="30" t="n">
        <f aca="false">'Unit Mix'!$G$7+Assumptions!$C$48*Assumptions!$C$47*(C391-'Unit Mix'!$G$7)</f>
        <v>1712.39625</v>
      </c>
      <c r="D392" s="30" t="n">
        <f aca="false">C392+Assumptions!$C$48*Assumptions!$C$47*(D391-C392)</f>
        <v>1754.50775625</v>
      </c>
      <c r="E392" s="30" t="n">
        <f aca="false">D392+Assumptions!$C$48*Assumptions!$C$47*(E391-D392)</f>
        <v>1802.99431490625</v>
      </c>
      <c r="F392" s="30" t="n">
        <f aca="false">E392+Assumptions!$C$48*Assumptions!$C$47*(F391-E392)</f>
        <v>1859.38611759703</v>
      </c>
      <c r="G392" s="30" t="n">
        <f aca="false">F392+Assumptions!$C$48*Assumptions!$C$47*(G391-F392)</f>
        <v>1922.35878411945</v>
      </c>
      <c r="H392" s="30" t="n">
        <f aca="false">G392+Assumptions!$C$48*Assumptions!$C$47*(H391-G392)</f>
        <v>1990.98612130266</v>
      </c>
    </row>
    <row r="393" customFormat="false" ht="15" hidden="false" customHeight="false" outlineLevel="0" collapsed="false">
      <c r="A393" s="2" t="s">
        <v>820</v>
      </c>
      <c r="C393" s="30" t="n">
        <f aca="false">'Unit Mix'!$H$8*(1+('Operating Model'!B$6+F$21))</f>
        <v>2091</v>
      </c>
      <c r="D393" s="30" t="n">
        <f aca="false">C393*(1+('Operating Model'!C$6+F$21))</f>
        <v>2148.5025</v>
      </c>
      <c r="E393" s="30" t="n">
        <f aca="false">D393*(1+('Operating Model'!D$6+F$21))</f>
        <v>2223.7000875</v>
      </c>
      <c r="F393" s="30" t="n">
        <f aca="false">E393*(1+('Operating Model'!E$6+F$21))</f>
        <v>2312.648091</v>
      </c>
      <c r="G393" s="30" t="n">
        <f aca="false">F393*(1+('Operating Model'!F$6+F$21))</f>
        <v>2405.15401464</v>
      </c>
      <c r="H393" s="30" t="n">
        <f aca="false">G393*(1+('Operating Model'!G$6+F$21))</f>
        <v>2501.3601752256</v>
      </c>
    </row>
    <row r="394" customFormat="false" ht="15" hidden="false" customHeight="false" outlineLevel="0" collapsed="false">
      <c r="A394" s="2" t="s">
        <v>821</v>
      </c>
      <c r="C394" s="30" t="n">
        <f aca="false">'Unit Mix'!$G$8+Assumptions!$C$48*Assumptions!$C$47*(C393-'Unit Mix'!$G$8)</f>
        <v>1972.4625</v>
      </c>
      <c r="D394" s="30" t="n">
        <f aca="false">C394+Assumptions!$C$48*Assumptions!$C$47*(D393-C394)</f>
        <v>2020.8735</v>
      </c>
      <c r="E394" s="30" t="n">
        <f aca="false">D394+Assumptions!$C$48*Assumptions!$C$47*(E393-D394)</f>
        <v>2076.6508115625</v>
      </c>
      <c r="F394" s="30" t="n">
        <f aca="false">E394+Assumptions!$C$48*Assumptions!$C$47*(F393-E394)</f>
        <v>2141.55006340781</v>
      </c>
      <c r="G394" s="30" t="n">
        <f aca="false">F394+Assumptions!$C$48*Assumptions!$C$47*(G393-F394)</f>
        <v>2214.04114999666</v>
      </c>
      <c r="H394" s="30" t="n">
        <f aca="false">G394+Assumptions!$C$48*Assumptions!$C$47*(H393-G394)</f>
        <v>2293.05388193462</v>
      </c>
    </row>
    <row r="395" customFormat="false" ht="15" hidden="false" customHeight="false" outlineLevel="0" collapsed="false">
      <c r="A395" s="2" t="s">
        <v>822</v>
      </c>
      <c r="C395" s="30" t="n">
        <f aca="false">'Unit Mix'!$H$9*(1+('Operating Model'!B$6+F$21))</f>
        <v>2244</v>
      </c>
      <c r="D395" s="30" t="n">
        <f aca="false">C395*(1+('Operating Model'!C$6+F$21))</f>
        <v>2305.71</v>
      </c>
      <c r="E395" s="30" t="n">
        <f aca="false">D395*(1+('Operating Model'!D$6+F$21))</f>
        <v>2386.40985</v>
      </c>
      <c r="F395" s="30" t="n">
        <f aca="false">E395*(1+('Operating Model'!E$6+F$21))</f>
        <v>2481.866244</v>
      </c>
      <c r="G395" s="30" t="n">
        <f aca="false">F395*(1+('Operating Model'!F$6+F$21))</f>
        <v>2581.14089376</v>
      </c>
      <c r="H395" s="30" t="n">
        <f aca="false">G395*(1+('Operating Model'!G$6+F$21))</f>
        <v>2684.3865295104</v>
      </c>
    </row>
    <row r="396" customFormat="false" ht="15" hidden="false" customHeight="false" outlineLevel="0" collapsed="false">
      <c r="A396" s="2" t="s">
        <v>823</v>
      </c>
      <c r="C396" s="30" t="n">
        <f aca="false">'Unit Mix'!$G$9+Assumptions!$C$48*Assumptions!$C$47*(C395-'Unit Mix'!$G$9)</f>
        <v>2116.94375</v>
      </c>
      <c r="D396" s="30" t="n">
        <f aca="false">C396+Assumptions!$C$48*Assumptions!$C$47*(D395-C396)</f>
        <v>2168.85446875</v>
      </c>
      <c r="E396" s="30" t="n">
        <f aca="false">D396+Assumptions!$C$48*Assumptions!$C$47*(E395-D396)</f>
        <v>2228.68219859375</v>
      </c>
      <c r="F396" s="30" t="n">
        <f aca="false">E396+Assumptions!$C$48*Assumptions!$C$47*(F395-E396)</f>
        <v>2298.30781108047</v>
      </c>
      <c r="G396" s="30" t="n">
        <f aca="false">F396+Assumptions!$C$48*Assumptions!$C$47*(G395-F396)</f>
        <v>2376.08690881734</v>
      </c>
      <c r="H396" s="30" t="n">
        <f aca="false">G396+Assumptions!$C$48*Assumptions!$C$47*(H395-G396)</f>
        <v>2460.86930450793</v>
      </c>
    </row>
    <row r="397" customFormat="false" ht="15" hidden="false" customHeight="false" outlineLevel="0" collapsed="false">
      <c r="A397" s="2" t="s">
        <v>824</v>
      </c>
      <c r="C397" s="30" t="n">
        <f aca="false">('Unit Mix'!$C$6*('Unit Mix'!$F$6*(1-Assumptions!$C$39)+(C389+Assumptions!$C$37)*Assumptions!$C$39)+'Unit Mix'!$D$6*C390+'Unit Mix'!$C$7*('Unit Mix'!$F$7*(1-Assumptions!$C$39)+(C391+Assumptions!$C$37)*Assumptions!$C$39)+'Unit Mix'!$D$7*C392+'Unit Mix'!$C$8*('Unit Mix'!$F$8*(1-Assumptions!$C$39)+(C393+Assumptions!$C$37)*Assumptions!$C$39)+'Unit Mix'!$D$8*C394+'Unit Mix'!$C$9*('Unit Mix'!$F$9*(1-Assumptions!$C$39)+(C395+Assumptions!$C$37)*Assumptions!$C$39)+'Unit Mix'!$D$9*C396)*12</f>
        <v>2024051.19</v>
      </c>
      <c r="D397" s="30" t="n">
        <f aca="false">('Unit Mix'!$C$6*(D389+Assumptions!$C$37)+'Unit Mix'!$D$6*D390+'Unit Mix'!$C$7*(D391+Assumptions!$C$37)+'Unit Mix'!$D$7*D392+'Unit Mix'!$C$8*(D393+Assumptions!$C$37)+'Unit Mix'!$D$8*D394+'Unit Mix'!$C$9*(D395+Assumptions!$C$37)+'Unit Mix'!$D$9*D396)*12</f>
        <v>2126858.0151</v>
      </c>
      <c r="E397" s="30" t="n">
        <f aca="false">('Unit Mix'!$C$6*(E389+Assumptions!$C$37)+'Unit Mix'!$D$6*E390+'Unit Mix'!$C$7*(E391+Assumptions!$C$37)+'Unit Mix'!$D$7*E392+'Unit Mix'!$C$8*(E393+Assumptions!$C$37)+'Unit Mix'!$D$8*E394+'Unit Mix'!$C$9*(E395+Assumptions!$C$37)+'Unit Mix'!$D$9*E396)*12</f>
        <v>2189729.26227975</v>
      </c>
      <c r="F397" s="30" t="n">
        <f aca="false">('Unit Mix'!$C$6*(F389+Assumptions!$C$37)+'Unit Mix'!$D$6*F390+'Unit Mix'!$C$7*(F391+Assumptions!$C$37)+'Unit Mix'!$D$7*F392+'Unit Mix'!$C$8*(F393+Assumptions!$C$37)+'Unit Mix'!$D$8*F394+'Unit Mix'!$C$9*(F395+Assumptions!$C$37)+'Unit Mix'!$D$9*F396)*12</f>
        <v>2263203.92124911</v>
      </c>
      <c r="G397" s="30" t="n">
        <f aca="false">('Unit Mix'!$C$6*(G389+Assumptions!$C$37)+'Unit Mix'!$D$6*G390+'Unit Mix'!$C$7*(G391+Assumptions!$C$37)+'Unit Mix'!$D$7*G392+'Unit Mix'!$C$8*(G393+Assumptions!$C$37)+'Unit Mix'!$D$8*G394+'Unit Mix'!$C$9*(G395+Assumptions!$C$37)+'Unit Mix'!$D$9*G396)*12</f>
        <v>2343499.05724575</v>
      </c>
      <c r="H397" s="30" t="n">
        <f aca="false">('Unit Mix'!$C$6*(H389+Assumptions!$C$37)+'Unit Mix'!$D$6*H390+'Unit Mix'!$C$7*(H391+Assumptions!$C$37)+'Unit Mix'!$D$7*H392+'Unit Mix'!$C$8*(H393+Assumptions!$C$37)+'Unit Mix'!$D$8*H394+'Unit Mix'!$C$9*(H395+Assumptions!$C$37)+'Unit Mix'!$D$9*H396)*12</f>
        <v>2429820.07941691</v>
      </c>
    </row>
    <row r="398" customFormat="false" ht="15" hidden="false" customHeight="false" outlineLevel="0" collapsed="false">
      <c r="A398" s="2" t="s">
        <v>825</v>
      </c>
      <c r="C398" s="30" t="n">
        <f aca="false">'Operating Model'!B49-'Operating Model'!B42+'Operating Model'!$B$42*1*(1+Assumptions!$C$18+F$21)^('Operating Model'!B$4-1)+((C397-'Operating Model'!B25)+0)*(1-(Assumptions!$C$42+Assumptions!$C$43+Assumptions!$C$44))*(1-Assumptions!$C$75)</f>
        <v>884460.903482</v>
      </c>
      <c r="D398" s="30" t="n">
        <f aca="false">'Operating Model'!C49-'Operating Model'!C42+'Operating Model'!$B$42*1*(1+Assumptions!$C$18+F$21)^('Operating Model'!C$4-1)+((D397-'Operating Model'!C25)+0)*(1-(Assumptions!$C$42+Assumptions!$C$43+Assumptions!$C$44))*(1-Assumptions!$C$75)</f>
        <v>933821.71333278</v>
      </c>
      <c r="E398" s="30" t="n">
        <f aca="false">'Operating Model'!D49-'Operating Model'!D42+'Operating Model'!$B$42*1*(1+Assumptions!$C$18+F$21)^('Operating Model'!D$4-1)+((E397-'Operating Model'!D25)+0)*(1-(Assumptions!$C$42+Assumptions!$C$43+Assumptions!$C$44))*(1-Assumptions!$C$75)</f>
        <v>945604.576849327</v>
      </c>
      <c r="F398" s="30" t="n">
        <f aca="false">'Operating Model'!E49-'Operating Model'!E42+'Operating Model'!$B$42*1*(1+Assumptions!$C$18+F$21)^('Operating Model'!E$4-1)+((F397-'Operating Model'!E25)+0)*(1-(Assumptions!$C$42+Assumptions!$C$43+Assumptions!$C$44))*(1-Assumptions!$C$75)</f>
        <v>964559.566882887</v>
      </c>
      <c r="G398" s="30" t="n">
        <f aca="false">'Operating Model'!F49-'Operating Model'!F42+'Operating Model'!$B$42*1*(1+Assumptions!$C$18+F$21)^('Operating Model'!F$4-1)+((G397-'Operating Model'!F25)+0)*(1-(Assumptions!$C$42+Assumptions!$C$43+Assumptions!$C$44))*(1-Assumptions!$C$75)</f>
        <v>987202.596927516</v>
      </c>
      <c r="H398" s="30" t="n">
        <f aca="false">'Operating Model'!G49-'Operating Model'!G42+'Operating Model'!$B$42*1*(1+Assumptions!$C$18+F$21)^('Operating Model'!G$4-1)+((H397-'Operating Model'!G25)+0)*(1-(Assumptions!$C$42+Assumptions!$C$43+Assumptions!$C$44))*(1-Assumptions!$C$75)</f>
        <v>1012695.01997768</v>
      </c>
      <c r="I398" s="30" t="n">
        <f aca="false">H398-'Operating Model'!$B$42*1*(1+Assumptions!$C$18+F$21)^('Operating Model'!G$4-1)</f>
        <v>1300562.18977194</v>
      </c>
    </row>
    <row r="399" customFormat="false" ht="15" hidden="false" customHeight="false" outlineLevel="0" collapsed="false">
      <c r="A399" s="2" t="s">
        <v>826</v>
      </c>
      <c r="B399" s="30" t="n">
        <f aca="false">Assumptions!$C$7*1</f>
        <v>13800000</v>
      </c>
      <c r="C399" s="30" t="n">
        <f aca="false">MAX(0,(Assumptions!$C$124+Assumptions!$C$127)-Assumptions!$C$132*B399)</f>
        <v>0</v>
      </c>
      <c r="D399" s="30" t="n">
        <f aca="false">Assumptions!$C$124-MAX(0,C399-Assumptions!$C$127)</f>
        <v>5887000</v>
      </c>
      <c r="E399" s="30" t="n">
        <f aca="false">Assumptions!$C$127-MIN(C399,Assumptions!$C$127)</f>
        <v>3563000</v>
      </c>
      <c r="F399" s="30" t="n">
        <f aca="false">B399*(1+Assumptions!$C$10)+'Unit Mix'!$D$18*1+(D399+E399)*Assumptions!$C$131-(D399+E399)</f>
        <v>5095290</v>
      </c>
      <c r="G399" s="30" t="n">
        <f aca="false">IF(Assumptions!$C$130=1,D399+E399,-FV(Assumptions!$C$125,Assumptions!$C$126,PMT(Assumptions!$C$125,Assumptions!$C$111,D399),D399)-FV(Assumptions!$C$128,Assumptions!$C$126,PMT(Assumptions!$C$128,Assumptions!$C$111,E399),E399))</f>
        <v>9450000</v>
      </c>
      <c r="H399" s="30" t="n">
        <f aca="false">MIN(INDEX(C398:H398,Assumptions!$C$126+1)/$A$24*Assumptions!$C$108,INDEX(C398:H398,Assumptions!$C$126+1)/(Assumptions!$C$109*-PMT('Debt (Assumed)'!$B$99,Assumptions!$C$111,1)))</f>
        <v>9113456.8488396</v>
      </c>
      <c r="I399" s="30" t="n">
        <f aca="false">IF(MAX(0,Assumptions!$C$154-Assumptions!$C$126-'Debt (Assumed)'!$B$100)=0,H399,-FV('Debt (Assumed)'!$B$98,MAX(0,Assumptions!$C$154-Assumptions!$C$126-'Debt (Assumed)'!$B$100),PMT('Debt (Assumed)'!$B$98,Assumptions!$C$111,H399),H399))</f>
        <v>9113456.8488396</v>
      </c>
      <c r="J399" s="30" t="n">
        <f aca="false">I399*'Debt (Assumed)'!$B$102</f>
        <v>0</v>
      </c>
      <c r="K399" s="30" t="n">
        <f aca="false">I398/($A$24+Returns!$B$35)*(1-Assumptions!$C$158)-I399-J399</f>
        <v>6215734.09180233</v>
      </c>
      <c r="L399" s="30" t="n">
        <f aca="false">H399*'Debt (Assumed)'!$B$101</f>
        <v>98425.3339674677</v>
      </c>
      <c r="M399" s="30" t="n">
        <f aca="false">(INDEX(C398:H398,Assumptions!$C$126+1)-'Operating Model'!$B$42*1*(1+Assumptions!$C$18+F$21)^Assumptions!$C$126)/($A$24+Returns!$B$35)*(1-Assumptions!$C$158)-G399</f>
        <v>5055859.53748715</v>
      </c>
    </row>
    <row r="400" customFormat="false" ht="15" hidden="false" customHeight="false" outlineLevel="0" collapsed="false">
      <c r="A400" s="2" t="s">
        <v>827</v>
      </c>
      <c r="C400" s="30" t="n">
        <f aca="false">IF('Operating Model'!B$4&lt;=Assumptions!$C$126,IF(Assumptions!$C$130=1,D399*Assumptions!$C$125+E399*Assumptions!$C$128,-PMT(Assumptions!$C$125,Assumptions!$C$111,D399)-PMT(Assumptions!$C$128,Assumptions!$C$111,E399)),IF(Assumptions!$C$136=1,0,IF('Operating Model'!B$4-Assumptions!$C$126&lt;='Debt (Assumed)'!$B$100,H399*'Debt (Assumed)'!$B$98,-PMT('Debt (Assumed)'!$B$98,Assumptions!$C$111,H399))))</f>
        <v>397516</v>
      </c>
      <c r="D400" s="30" t="n">
        <f aca="false">IF('Operating Model'!C$4&lt;=Assumptions!$C$126,IF(Assumptions!$C$130=1,D399*Assumptions!$C$125+E399*Assumptions!$C$128,-PMT(Assumptions!$C$125,Assumptions!$C$111,D399)-PMT(Assumptions!$C$128,Assumptions!$C$111,E399)),IF(Assumptions!$C$136=1,0,IF('Operating Model'!C$4-Assumptions!$C$126&lt;='Debt (Assumed)'!$B$100,H399*'Debt (Assumed)'!$B$98,-PMT('Debt (Assumed)'!$B$98,Assumptions!$C$111,H399))))</f>
        <v>397516</v>
      </c>
      <c r="E400" s="30" t="n">
        <f aca="false">IF('Operating Model'!D$4&lt;=Assumptions!$C$126,IF(Assumptions!$C$130=1,D399*Assumptions!$C$125+E399*Assumptions!$C$128,-PMT(Assumptions!$C$125,Assumptions!$C$111,D399)-PMT(Assumptions!$C$128,Assumptions!$C$111,E399)),IF(Assumptions!$C$136=1,0,IF('Operating Model'!D$4-Assumptions!$C$126&lt;='Debt (Assumed)'!$B$100,H399*'Debt (Assumed)'!$B$98,-PMT('Debt (Assumed)'!$B$98,Assumptions!$C$111,H399))))</f>
        <v>397516</v>
      </c>
      <c r="F400" s="30" t="n">
        <f aca="false">IF('Operating Model'!E$4&lt;=Assumptions!$C$126,IF(Assumptions!$C$130=1,D399*Assumptions!$C$125+E399*Assumptions!$C$128,-PMT(Assumptions!$C$125,Assumptions!$C$111,D399)-PMT(Assumptions!$C$128,Assumptions!$C$111,E399)),IF(Assumptions!$C$136=1,0,IF('Operating Model'!E$4-Assumptions!$C$126&lt;='Debt (Assumed)'!$B$100,H399*'Debt (Assumed)'!$B$98,-PMT('Debt (Assumed)'!$B$98,Assumptions!$C$111,H399))))</f>
        <v>614246.991611789</v>
      </c>
      <c r="G400" s="30" t="n">
        <f aca="false">IF('Operating Model'!F$4&lt;=Assumptions!$C$126,IF(Assumptions!$C$130=1,D399*Assumptions!$C$125+E399*Assumptions!$C$128,-PMT(Assumptions!$C$125,Assumptions!$C$111,D399)-PMT(Assumptions!$C$128,Assumptions!$C$111,E399)),IF(Assumptions!$C$136=1,0,IF('Operating Model'!F$4-Assumptions!$C$126&lt;='Debt (Assumed)'!$B$100,H399*'Debt (Assumed)'!$B$98,-PMT('Debt (Assumed)'!$B$98,Assumptions!$C$111,H399))))</f>
        <v>614246.991611789</v>
      </c>
    </row>
    <row r="401" customFormat="false" ht="15" hidden="false" customHeight="false" outlineLevel="0" collapsed="false">
      <c r="A401" s="2" t="s">
        <v>828</v>
      </c>
      <c r="B401" s="30" t="n">
        <f aca="false">-F399</f>
        <v>-5095290</v>
      </c>
      <c r="C401" s="30" t="n">
        <f aca="false">IF(AND(Assumptions!$C$136=1,'Operating Model'!B$4&gt;Assumptions!$C$126),0,'Operating Model'!B55+(C398-'Operating Model'!B49)-C400-IF('Operating Model'!B$4=Assumptions!$C$126,IF(Assumptions!$C$136=1,-M399,G399-H399+L399),0)+IF(AND(Assumptions!$C$136&lt;&gt;1,'Operating Model'!B$4=Assumptions!$C$154),K399,0))</f>
        <v>457844.903482</v>
      </c>
      <c r="D401" s="30" t="n">
        <f aca="false">IF(AND(Assumptions!$C$136=1,'Operating Model'!C$4&gt;Assumptions!$C$126),0,'Operating Model'!C55+(D398-'Operating Model'!C49)-D400-IF('Operating Model'!C$4=Assumptions!$C$126,IF(Assumptions!$C$136=1,-M399,G399-H399+L399),0)+IF(AND(Assumptions!$C$136&lt;&gt;1,'Operating Model'!C$4=Assumptions!$C$154),K399,0))</f>
        <v>346187.21333278</v>
      </c>
      <c r="E401" s="30" t="n">
        <f aca="false">IF(AND(Assumptions!$C$136=1,'Operating Model'!D$4&gt;Assumptions!$C$126),0,'Operating Model'!D55+(E398-'Operating Model'!D49)-E400-IF('Operating Model'!D$4=Assumptions!$C$126,IF(Assumptions!$C$136=1,-M399,G399-H399+L399),0)+IF(AND(Assumptions!$C$136&lt;&gt;1,'Operating Model'!D$4=Assumptions!$C$154),K399,0))</f>
        <v>81947.4442214627</v>
      </c>
      <c r="F401" s="30" t="n">
        <f aca="false">IF(AND(Assumptions!$C$136=1,'Operating Model'!E$4&gt;Assumptions!$C$126),0,'Operating Model'!E55+(F398-'Operating Model'!E49)-F400-IF('Operating Model'!E$4=Assumptions!$C$126,IF(Assumptions!$C$136=1,-M399,G399-H399+L399),0)+IF(AND(Assumptions!$C$136&lt;&gt;1,'Operating Model'!E$4=Assumptions!$C$154),K399,0))</f>
        <v>318048.885108598</v>
      </c>
      <c r="G401" s="30" t="n">
        <f aca="false">IF(AND(Assumptions!$C$136=1,'Operating Model'!F$4&gt;Assumptions!$C$126),0,'Operating Model'!F55+(G398-'Operating Model'!F49)-G400-IF('Operating Model'!F$4=Assumptions!$C$126,IF(Assumptions!$C$136=1,-M399,G399-H399+L399),0)+IF(AND(Assumptions!$C$136&lt;&gt;1,'Operating Model'!F$4=Assumptions!$C$154),K399,0))</f>
        <v>6555296.77779987</v>
      </c>
      <c r="H401" s="22" t="n">
        <f aca="false">IFERROR(IRR(B401:G401),"N/A")</f>
        <v>0.0978587291543323</v>
      </c>
      <c r="I401" s="24" t="n">
        <f aca="false">SUM(C401:G401)/F399</f>
        <v>1.52284270845128</v>
      </c>
    </row>
    <row r="403" customFormat="false" ht="15" hidden="false" customHeight="false" outlineLevel="0" collapsed="false">
      <c r="A403" s="2" t="s">
        <v>829</v>
      </c>
      <c r="C403" s="30" t="n">
        <f aca="false">'Unit Mix'!$H$6*(1+('Operating Model'!B$6+B$21))</f>
        <v>1550</v>
      </c>
      <c r="D403" s="30" t="n">
        <f aca="false">C403*(1+('Operating Model'!C$6+B$21))</f>
        <v>1561.625</v>
      </c>
      <c r="E403" s="30" t="n">
        <f aca="false">D403*(1+('Operating Model'!D$6+B$21))</f>
        <v>1585.049375</v>
      </c>
      <c r="F403" s="30" t="n">
        <f aca="false">E403*(1+('Operating Model'!E$6+B$21))</f>
        <v>1616.7503625</v>
      </c>
      <c r="G403" s="30" t="n">
        <f aca="false">F403*(1+('Operating Model'!F$6+B$21))</f>
        <v>1649.08536975</v>
      </c>
      <c r="H403" s="30" t="n">
        <f aca="false">G403*(1+('Operating Model'!G$6+B$21))</f>
        <v>1682.067077145</v>
      </c>
    </row>
    <row r="404" customFormat="false" ht="15" hidden="false" customHeight="false" outlineLevel="0" collapsed="false">
      <c r="A404" s="2" t="s">
        <v>830</v>
      </c>
      <c r="C404" s="30" t="n">
        <f aca="false">'Unit Mix'!$G$6+Assumptions!$C$48*Assumptions!$C$47*(C403-'Unit Mix'!$G$6)</f>
        <v>1480.21875</v>
      </c>
      <c r="D404" s="30" t="n">
        <f aca="false">C404+Assumptions!$C$48*Assumptions!$C$47*(D403-C404)</f>
        <v>1502.60546875</v>
      </c>
      <c r="E404" s="30" t="n">
        <f aca="false">D404+Assumptions!$C$48*Assumptions!$C$47*(E403-D404)</f>
        <v>1525.27754296875</v>
      </c>
      <c r="F404" s="30" t="n">
        <f aca="false">E404+Assumptions!$C$48*Assumptions!$C$47*(F403-E404)</f>
        <v>1550.43256833984</v>
      </c>
      <c r="G404" s="30" t="n">
        <f aca="false">F404+Assumptions!$C$48*Assumptions!$C$47*(G403-F404)</f>
        <v>1577.56208872764</v>
      </c>
      <c r="H404" s="30" t="n">
        <f aca="false">G404+Assumptions!$C$48*Assumptions!$C$47*(H403-G404)</f>
        <v>1606.30096054241</v>
      </c>
    </row>
    <row r="405" customFormat="false" ht="15" hidden="false" customHeight="false" outlineLevel="0" collapsed="false">
      <c r="A405" s="2" t="s">
        <v>831</v>
      </c>
      <c r="C405" s="30" t="n">
        <f aca="false">'Unit Mix'!$H$7*(1+('Operating Model'!B$6+B$21))</f>
        <v>1780</v>
      </c>
      <c r="D405" s="30" t="n">
        <f aca="false">C405*(1+('Operating Model'!C$6+B$21))</f>
        <v>1793.35</v>
      </c>
      <c r="E405" s="30" t="n">
        <f aca="false">D405*(1+('Operating Model'!D$6+B$21))</f>
        <v>1820.25025</v>
      </c>
      <c r="F405" s="30" t="n">
        <f aca="false">E405*(1+('Operating Model'!E$6+B$21))</f>
        <v>1856.655255</v>
      </c>
      <c r="G405" s="30" t="n">
        <f aca="false">F405*(1+('Operating Model'!F$6+B$21))</f>
        <v>1893.7883601</v>
      </c>
      <c r="H405" s="30" t="n">
        <f aca="false">G405*(1+('Operating Model'!G$6+B$21))</f>
        <v>1931.664127302</v>
      </c>
    </row>
    <row r="406" customFormat="false" ht="15" hidden="false" customHeight="false" outlineLevel="0" collapsed="false">
      <c r="A406" s="2" t="s">
        <v>832</v>
      </c>
      <c r="C406" s="30" t="n">
        <f aca="false">'Unit Mix'!$G$7+Assumptions!$C$48*Assumptions!$C$47*(C405-'Unit Mix'!$G$7)</f>
        <v>1702.60625</v>
      </c>
      <c r="D406" s="30" t="n">
        <f aca="false">C406+Assumptions!$C$48*Assumptions!$C$47*(D405-C406)</f>
        <v>1727.56078125</v>
      </c>
      <c r="E406" s="30" t="n">
        <f aca="false">D406+Assumptions!$C$48*Assumptions!$C$47*(E405-D406)</f>
        <v>1753.05038515625</v>
      </c>
      <c r="F406" s="30" t="n">
        <f aca="false">E406+Assumptions!$C$48*Assumptions!$C$47*(F405-E406)</f>
        <v>1781.54172436328</v>
      </c>
      <c r="G406" s="30" t="n">
        <f aca="false">F406+Assumptions!$C$48*Assumptions!$C$47*(G405-F406)</f>
        <v>1812.40954919088</v>
      </c>
      <c r="H406" s="30" t="n">
        <f aca="false">G406+Assumptions!$C$48*Assumptions!$C$47*(H405-G406)</f>
        <v>1845.20455817144</v>
      </c>
    </row>
    <row r="407" customFormat="false" ht="15" hidden="false" customHeight="false" outlineLevel="0" collapsed="false">
      <c r="A407" s="2" t="s">
        <v>833</v>
      </c>
      <c r="C407" s="30" t="n">
        <f aca="false">'Unit Mix'!$H$8*(1+('Operating Model'!B$6+B$21))</f>
        <v>2050</v>
      </c>
      <c r="D407" s="30" t="n">
        <f aca="false">C407*(1+('Operating Model'!C$6+B$21))</f>
        <v>2065.375</v>
      </c>
      <c r="E407" s="30" t="n">
        <f aca="false">D407*(1+('Operating Model'!D$6+B$21))</f>
        <v>2096.355625</v>
      </c>
      <c r="F407" s="30" t="n">
        <f aca="false">E407*(1+('Operating Model'!E$6+B$21))</f>
        <v>2138.2827375</v>
      </c>
      <c r="G407" s="30" t="n">
        <f aca="false">F407*(1+('Operating Model'!F$6+B$21))</f>
        <v>2181.04839225</v>
      </c>
      <c r="H407" s="30" t="n">
        <f aca="false">G407*(1+('Operating Model'!G$6+B$21))</f>
        <v>2224.669360095</v>
      </c>
    </row>
    <row r="408" customFormat="false" ht="15" hidden="false" customHeight="false" outlineLevel="0" collapsed="false">
      <c r="A408" s="2" t="s">
        <v>834</v>
      </c>
      <c r="C408" s="30" t="n">
        <f aca="false">'Unit Mix'!$G$8+Assumptions!$C$48*Assumptions!$C$47*(C407-'Unit Mix'!$G$8)</f>
        <v>1961.1875</v>
      </c>
      <c r="D408" s="30" t="n">
        <f aca="false">C408+Assumptions!$C$48*Assumptions!$C$47*(D407-C408)</f>
        <v>1989.8390625</v>
      </c>
      <c r="E408" s="30" t="n">
        <f aca="false">D408+Assumptions!$C$48*Assumptions!$C$47*(E407-D408)</f>
        <v>2019.1311171875</v>
      </c>
      <c r="F408" s="30" t="n">
        <f aca="false">E408+Assumptions!$C$48*Assumptions!$C$47*(F407-E408)</f>
        <v>2051.89781277344</v>
      </c>
      <c r="G408" s="30" t="n">
        <f aca="false">F408+Assumptions!$C$48*Assumptions!$C$47*(G407-F408)</f>
        <v>2087.41422212949</v>
      </c>
      <c r="H408" s="30" t="n">
        <f aca="false">G408+Assumptions!$C$48*Assumptions!$C$47*(H407-G408)</f>
        <v>2125.15938507001</v>
      </c>
    </row>
    <row r="409" customFormat="false" ht="15" hidden="false" customHeight="false" outlineLevel="0" collapsed="false">
      <c r="A409" s="2" t="s">
        <v>835</v>
      </c>
      <c r="C409" s="30" t="n">
        <f aca="false">'Unit Mix'!$H$9*(1+('Operating Model'!B$6+B$21))</f>
        <v>2200</v>
      </c>
      <c r="D409" s="30" t="n">
        <f aca="false">C409*(1+('Operating Model'!C$6+B$21))</f>
        <v>2216.5</v>
      </c>
      <c r="E409" s="30" t="n">
        <f aca="false">D409*(1+('Operating Model'!D$6+B$21))</f>
        <v>2249.7475</v>
      </c>
      <c r="F409" s="30" t="n">
        <f aca="false">E409*(1+('Operating Model'!E$6+B$21))</f>
        <v>2294.74245</v>
      </c>
      <c r="G409" s="30" t="n">
        <f aca="false">F409*(1+('Operating Model'!F$6+B$21))</f>
        <v>2340.637299</v>
      </c>
      <c r="H409" s="30" t="n">
        <f aca="false">G409*(1+('Operating Model'!G$6+B$21))</f>
        <v>2387.45004498</v>
      </c>
    </row>
    <row r="410" customFormat="false" ht="15" hidden="false" customHeight="false" outlineLevel="0" collapsed="false">
      <c r="A410" s="2" t="s">
        <v>836</v>
      </c>
      <c r="C410" s="30" t="n">
        <f aca="false">'Unit Mix'!$G$9+Assumptions!$C$48*Assumptions!$C$47*(C409-'Unit Mix'!$G$9)</f>
        <v>2104.84375</v>
      </c>
      <c r="D410" s="30" t="n">
        <f aca="false">C410+Assumptions!$C$48*Assumptions!$C$47*(D409-C410)</f>
        <v>2135.54921875</v>
      </c>
      <c r="E410" s="30" t="n">
        <f aca="false">D410+Assumptions!$C$48*Assumptions!$C$47*(E409-D410)</f>
        <v>2166.95374609375</v>
      </c>
      <c r="F410" s="30" t="n">
        <f aca="false">E410+Assumptions!$C$48*Assumptions!$C$47*(F409-E410)</f>
        <v>2202.09563966797</v>
      </c>
      <c r="G410" s="30" t="n">
        <f aca="false">F410+Assumptions!$C$48*Assumptions!$C$47*(G409-F410)</f>
        <v>2240.19459598428</v>
      </c>
      <c r="H410" s="30" t="n">
        <f aca="false">G410+Assumptions!$C$48*Assumptions!$C$47*(H409-G410)</f>
        <v>2280.6898444581</v>
      </c>
    </row>
    <row r="411" customFormat="false" ht="15" hidden="false" customHeight="false" outlineLevel="0" collapsed="false">
      <c r="A411" s="2" t="s">
        <v>837</v>
      </c>
      <c r="C411" s="30" t="n">
        <f aca="false">('Unit Mix'!$C$6*('Unit Mix'!$F$6*(1-Assumptions!$C$39)+(C403+Assumptions!$C$37)*Assumptions!$C$39)+'Unit Mix'!$D$6*C404+'Unit Mix'!$C$7*('Unit Mix'!$F$7*(1-Assumptions!$C$39)+(C405+Assumptions!$C$37)*Assumptions!$C$39)+'Unit Mix'!$D$7*C406+'Unit Mix'!$C$8*('Unit Mix'!$F$8*(1-Assumptions!$C$39)+(C407+Assumptions!$C$37)*Assumptions!$C$39)+'Unit Mix'!$D$8*C408+'Unit Mix'!$C$9*('Unit Mix'!$F$9*(1-Assumptions!$C$39)+(C409+Assumptions!$C$37)*Assumptions!$C$39)+'Unit Mix'!$D$9*C410)*12</f>
        <v>2010015.45</v>
      </c>
      <c r="D411" s="30" t="n">
        <f aca="false">('Unit Mix'!$C$6*(D403+Assumptions!$C$37)+'Unit Mix'!$D$6*D404+'Unit Mix'!$C$7*(D405+Assumptions!$C$37)+'Unit Mix'!$D$7*D406+'Unit Mix'!$C$8*(D407+Assumptions!$C$37)+'Unit Mix'!$D$8*D408+'Unit Mix'!$C$9*(D409+Assumptions!$C$37)+'Unit Mix'!$D$9*D410)*12</f>
        <v>2081427.15375</v>
      </c>
      <c r="E411" s="30" t="n">
        <f aca="false">('Unit Mix'!$C$6*(E403+Assumptions!$C$37)+'Unit Mix'!$D$6*E404+'Unit Mix'!$C$7*(E405+Assumptions!$C$37)+'Unit Mix'!$D$7*E406+'Unit Mix'!$C$8*(E407+Assumptions!$C$37)+'Unit Mix'!$D$8*E408+'Unit Mix'!$C$9*(E409+Assumptions!$C$37)+'Unit Mix'!$D$9*E410)*12</f>
        <v>2112330.62825625</v>
      </c>
      <c r="F411" s="30" t="n">
        <f aca="false">('Unit Mix'!$C$6*(F403+Assumptions!$C$37)+'Unit Mix'!$D$6*F404+'Unit Mix'!$C$7*(F405+Assumptions!$C$37)+'Unit Mix'!$D$7*F406+'Unit Mix'!$C$8*(F407+Assumptions!$C$37)+'Unit Mix'!$D$8*F408+'Unit Mix'!$C$9*(F409+Assumptions!$C$37)+'Unit Mix'!$D$9*F410)*12</f>
        <v>2148707.56972153</v>
      </c>
      <c r="G411" s="30" t="n">
        <f aca="false">('Unit Mix'!$C$6*(G403+Assumptions!$C$37)+'Unit Mix'!$D$6*G404+'Unit Mix'!$C$7*(G405+Assumptions!$C$37)+'Unit Mix'!$D$7*G406+'Unit Mix'!$C$8*(G407+Assumptions!$C$37)+'Unit Mix'!$D$8*G408+'Unit Mix'!$C$9*(G409+Assumptions!$C$37)+'Unit Mix'!$D$9*G410)*12</f>
        <v>2187426.20956858</v>
      </c>
      <c r="H411" s="30" t="n">
        <f aca="false">('Unit Mix'!$C$6*(H403+Assumptions!$C$37)+'Unit Mix'!$D$6*H404+'Unit Mix'!$C$7*(H405+Assumptions!$C$37)+'Unit Mix'!$D$7*H406+'Unit Mix'!$C$8*(H407+Assumptions!$C$37)+'Unit Mix'!$D$8*H408+'Unit Mix'!$C$9*(H409+Assumptions!$C$37)+'Unit Mix'!$D$9*H410)*12</f>
        <v>2228089.48788809</v>
      </c>
    </row>
    <row r="412" customFormat="false" ht="15" hidden="false" customHeight="false" outlineLevel="0" collapsed="false">
      <c r="A412" s="2" t="s">
        <v>838</v>
      </c>
      <c r="C412" s="30" t="n">
        <f aca="false">'Operating Model'!B49-'Operating Model'!B42+'Operating Model'!$B$42*1*(1+Assumptions!$C$18+B$21)^('Operating Model'!B$4-1)+((C411-'Operating Model'!B25)+0)*(1-(Assumptions!$C$42+Assumptions!$C$43+Assumptions!$C$44))*(1-Assumptions!$C$75)</f>
        <v>871999.97351</v>
      </c>
      <c r="D412" s="30" t="n">
        <f aca="false">'Operating Model'!C49-'Operating Model'!C42+'Operating Model'!$B$42*1*(1+Assumptions!$C$18+B$21)^('Operating Model'!C$4-1)+((D411-'Operating Model'!C25)+0)*(1-(Assumptions!$C$42+Assumptions!$C$43+Assumptions!$C$44))*(1-Assumptions!$C$75)</f>
        <v>898220.31122625</v>
      </c>
      <c r="E412" s="30" t="n">
        <f aca="false">'Operating Model'!D49-'Operating Model'!D42+'Operating Model'!$B$42*1*(1+Assumptions!$C$18+B$21)^('Operating Model'!D$4-1)+((E411-'Operating Model'!D25)+0)*(1-(Assumptions!$C$42+Assumptions!$C$43+Assumptions!$C$44))*(1-Assumptions!$C$75)</f>
        <v>886638.229759264</v>
      </c>
      <c r="F412" s="30" t="n">
        <f aca="false">'Operating Model'!E49-'Operating Model'!E42+'Operating Model'!$B$42*1*(1+Assumptions!$C$18+B$21)^('Operating Model'!E$4-1)+((F411-'Operating Model'!E25)+0)*(1-(Assumptions!$C$42+Assumptions!$C$43+Assumptions!$C$44))*(1-Assumptions!$C$75)</f>
        <v>877971.086711183</v>
      </c>
      <c r="G412" s="30" t="n">
        <f aca="false">'Operating Model'!F49-'Operating Model'!F42+'Operating Model'!$B$42*1*(1+Assumptions!$C$18+B$21)^('Operating Model'!F$4-1)+((G411-'Operating Model'!F25)+0)*(1-(Assumptions!$C$42+Assumptions!$C$43+Assumptions!$C$44))*(1-Assumptions!$C$75)</f>
        <v>869326.718695636</v>
      </c>
      <c r="H412" s="30" t="n">
        <f aca="false">'Operating Model'!G49-'Operating Model'!G42+'Operating Model'!$B$42*1*(1+Assumptions!$C$18+B$21)^('Operating Model'!G$4-1)+((H411-'Operating Model'!G25)+0)*(1-(Assumptions!$C$42+Assumptions!$C$43+Assumptions!$C$44))*(1-Assumptions!$C$75)</f>
        <v>860233.815784451</v>
      </c>
      <c r="I412" s="30" t="n">
        <f aca="false">H412-'Operating Model'!$B$42*1*(1+Assumptions!$C$18+B$21)^('Operating Model'!G$4-1)</f>
        <v>1121465.77061265</v>
      </c>
    </row>
    <row r="413" customFormat="false" ht="15" hidden="false" customHeight="false" outlineLevel="0" collapsed="false">
      <c r="A413" s="2" t="s">
        <v>839</v>
      </c>
      <c r="B413" s="30" t="n">
        <f aca="false">Assumptions!$C$7*1</f>
        <v>13800000</v>
      </c>
      <c r="C413" s="30" t="n">
        <f aca="false">MAX(0,(Assumptions!$C$124+Assumptions!$C$127)-Assumptions!$C$132*B413)</f>
        <v>0</v>
      </c>
      <c r="D413" s="30" t="n">
        <f aca="false">Assumptions!$C$124-MAX(0,C413-Assumptions!$C$127)</f>
        <v>5887000</v>
      </c>
      <c r="E413" s="30" t="n">
        <f aca="false">Assumptions!$C$127-MIN(C413,Assumptions!$C$127)</f>
        <v>3563000</v>
      </c>
      <c r="F413" s="30" t="n">
        <f aca="false">B413*(1+Assumptions!$C$10)+'Unit Mix'!$D$18*1+(D413+E413)*Assumptions!$C$131-(D413+E413)</f>
        <v>5095290</v>
      </c>
      <c r="G413" s="30" t="n">
        <f aca="false">IF(Assumptions!$C$130=1,D413+E413,-FV(Assumptions!$C$125,Assumptions!$C$126,PMT(Assumptions!$C$125,Assumptions!$C$111,D413),D413)-FV(Assumptions!$C$128,Assumptions!$C$126,PMT(Assumptions!$C$128,Assumptions!$C$111,E413),E413))</f>
        <v>9450000</v>
      </c>
      <c r="H413" s="30" t="n">
        <f aca="false">MIN(INDEX(C412:H412,Assumptions!$C$126+1)/$A$25*Assumptions!$C$108,INDEX(C412:H412,Assumptions!$C$126+1)/(Assumptions!$C$109*-PMT('Debt (Assumed)'!$B$99,Assumptions!$C$111,1)))</f>
        <v>8295342.13125759</v>
      </c>
      <c r="I413" s="30" t="n">
        <f aca="false">IF(MAX(0,Assumptions!$C$154-Assumptions!$C$126-'Debt (Assumed)'!$B$100)=0,H413,-FV('Debt (Assumed)'!$B$98,MAX(0,Assumptions!$C$154-Assumptions!$C$126-'Debt (Assumed)'!$B$100),PMT('Debt (Assumed)'!$B$98,Assumptions!$C$111,H413),H413))</f>
        <v>8295342.13125759</v>
      </c>
      <c r="J413" s="30" t="n">
        <f aca="false">I413*'Debt (Assumed)'!$B$102</f>
        <v>0</v>
      </c>
      <c r="K413" s="30" t="n">
        <f aca="false">I412/($A$25+Returns!$B$35)*(1-Assumptions!$C$158)-I413-J413</f>
        <v>4173114.28987411</v>
      </c>
      <c r="L413" s="30" t="n">
        <f aca="false">H413*'Debt (Assumed)'!$B$101</f>
        <v>89589.695017582</v>
      </c>
      <c r="M413" s="30" t="n">
        <f aca="false">(INDEX(C412:H412,Assumptions!$C$126+1)-'Operating Model'!$B$42*1*(1+Assumptions!$C$18+B$21)^Assumptions!$C$126)/($A$25+Returns!$B$35)*(1-Assumptions!$C$158)-G413</f>
        <v>3102878.90543003</v>
      </c>
    </row>
    <row r="414" customFormat="false" ht="15" hidden="false" customHeight="false" outlineLevel="0" collapsed="false">
      <c r="A414" s="2" t="s">
        <v>840</v>
      </c>
      <c r="C414" s="30" t="n">
        <f aca="false">IF('Operating Model'!B$4&lt;=Assumptions!$C$126,IF(Assumptions!$C$130=1,D413*Assumptions!$C$125+E413*Assumptions!$C$128,-PMT(Assumptions!$C$125,Assumptions!$C$111,D413)-PMT(Assumptions!$C$128,Assumptions!$C$111,E413)),IF(Assumptions!$C$136=1,0,IF('Operating Model'!B$4-Assumptions!$C$126&lt;='Debt (Assumed)'!$B$100,H413*'Debt (Assumed)'!$B$98,-PMT('Debt (Assumed)'!$B$98,Assumptions!$C$111,H413))))</f>
        <v>397516</v>
      </c>
      <c r="D414" s="30" t="n">
        <f aca="false">IF('Operating Model'!C$4&lt;=Assumptions!$C$126,IF(Assumptions!$C$130=1,D413*Assumptions!$C$125+E413*Assumptions!$C$128,-PMT(Assumptions!$C$125,Assumptions!$C$111,D413)-PMT(Assumptions!$C$128,Assumptions!$C$111,E413)),IF(Assumptions!$C$136=1,0,IF('Operating Model'!C$4-Assumptions!$C$126&lt;='Debt (Assumed)'!$B$100,H413*'Debt (Assumed)'!$B$98,-PMT('Debt (Assumed)'!$B$98,Assumptions!$C$111,H413))))</f>
        <v>397516</v>
      </c>
      <c r="E414" s="30" t="n">
        <f aca="false">IF('Operating Model'!D$4&lt;=Assumptions!$C$126,IF(Assumptions!$C$130=1,D413*Assumptions!$C$125+E413*Assumptions!$C$128,-PMT(Assumptions!$C$125,Assumptions!$C$111,D413)-PMT(Assumptions!$C$128,Assumptions!$C$111,E413)),IF(Assumptions!$C$136=1,0,IF('Operating Model'!D$4-Assumptions!$C$126&lt;='Debt (Assumed)'!$B$100,H413*'Debt (Assumed)'!$B$98,-PMT('Debt (Assumed)'!$B$98,Assumptions!$C$111,H413))))</f>
        <v>397516</v>
      </c>
      <c r="F414" s="30" t="n">
        <f aca="false">IF('Operating Model'!E$4&lt;=Assumptions!$C$126,IF(Assumptions!$C$130=1,D413*Assumptions!$C$125+E413*Assumptions!$C$128,-PMT(Assumptions!$C$125,Assumptions!$C$111,D413)-PMT(Assumptions!$C$128,Assumptions!$C$111,E413)),IF(Assumptions!$C$136=1,0,IF('Operating Model'!E$4-Assumptions!$C$126&lt;='Debt (Assumed)'!$B$100,H413*'Debt (Assumed)'!$B$98,-PMT('Debt (Assumed)'!$B$98,Assumptions!$C$111,H413))))</f>
        <v>559106.059646761</v>
      </c>
      <c r="G414" s="30" t="n">
        <f aca="false">IF('Operating Model'!F$4&lt;=Assumptions!$C$126,IF(Assumptions!$C$130=1,D413*Assumptions!$C$125+E413*Assumptions!$C$128,-PMT(Assumptions!$C$125,Assumptions!$C$111,D413)-PMT(Assumptions!$C$128,Assumptions!$C$111,E413)),IF(Assumptions!$C$136=1,0,IF('Operating Model'!F$4-Assumptions!$C$126&lt;='Debt (Assumed)'!$B$100,H413*'Debt (Assumed)'!$B$98,-PMT('Debt (Assumed)'!$B$98,Assumptions!$C$111,H413))))</f>
        <v>559106.059646761</v>
      </c>
    </row>
    <row r="415" customFormat="false" ht="15" hidden="false" customHeight="false" outlineLevel="0" collapsed="false">
      <c r="A415" s="2" t="s">
        <v>841</v>
      </c>
      <c r="B415" s="30" t="n">
        <f aca="false">-F413</f>
        <v>-5095290</v>
      </c>
      <c r="C415" s="30" t="n">
        <f aca="false">IF(AND(Assumptions!$C$136=1,'Operating Model'!B$4&gt;Assumptions!$C$126),0,'Operating Model'!B55+(C412-'Operating Model'!B49)-C414-IF('Operating Model'!B$4=Assumptions!$C$126,IF(Assumptions!$C$136=1,-M413,G413-H413+L413),0)+IF(AND(Assumptions!$C$136&lt;&gt;1,'Operating Model'!B$4=Assumptions!$C$154),K413,0))</f>
        <v>445383.97351</v>
      </c>
      <c r="D415" s="30" t="n">
        <f aca="false">IF(AND(Assumptions!$C$136=1,'Operating Model'!C$4&gt;Assumptions!$C$126),0,'Operating Model'!C55+(D412-'Operating Model'!C49)-D414-IF('Operating Model'!C$4=Assumptions!$C$126,IF(Assumptions!$C$136=1,-M413,G413-H413+L413),0)+IF(AND(Assumptions!$C$136&lt;&gt;1,'Operating Model'!C$4=Assumptions!$C$154),K413,0))</f>
        <v>310585.81122625</v>
      </c>
      <c r="E415" s="30" t="n">
        <f aca="false">IF(AND(Assumptions!$C$136=1,'Operating Model'!D$4&gt;Assumptions!$C$126),0,'Operating Model'!D55+(E412-'Operating Model'!D49)-E414-IF('Operating Model'!D$4=Assumptions!$C$126,IF(Assumptions!$C$136=1,-M413,G413-H413+L413),0)+IF(AND(Assumptions!$C$136&lt;&gt;1,'Operating Model'!D$4=Assumptions!$C$154),K413,0))</f>
        <v>-786297.981500731</v>
      </c>
      <c r="F415" s="30" t="n">
        <f aca="false">IF(AND(Assumptions!$C$136=1,'Operating Model'!E$4&gt;Assumptions!$C$126),0,'Operating Model'!E55+(F412-'Operating Model'!E49)-F414-IF('Operating Model'!E$4=Assumptions!$C$126,IF(Assumptions!$C$136=1,-M413,G413-H413+L413),0)+IF(AND(Assumptions!$C$136&lt;&gt;1,'Operating Model'!E$4=Assumptions!$C$154),K413,0))</f>
        <v>286601.336901922</v>
      </c>
      <c r="G415" s="30" t="n">
        <f aca="false">IF(AND(Assumptions!$C$136=1,'Operating Model'!F$4&gt;Assumptions!$C$126),0,'Operating Model'!F55+(G412-'Operating Model'!F49)-G414-IF('Operating Model'!F$4=Assumptions!$C$126,IF(Assumptions!$C$136=1,-M413,G413-H413+L413),0)+IF(AND(Assumptions!$C$136&lt;&gt;1,'Operating Model'!F$4=Assumptions!$C$154),K413,0))</f>
        <v>4449942.0296048</v>
      </c>
      <c r="H415" s="22" t="n">
        <f aca="false">IFERROR(IRR(B415:G415),"N/A")</f>
        <v>-0.0167290377936638</v>
      </c>
      <c r="I415" s="24" t="n">
        <f aca="false">SUM(C415:G415)/F413</f>
        <v>0.923640297165076</v>
      </c>
    </row>
    <row r="417" customFormat="false" ht="15" hidden="false" customHeight="false" outlineLevel="0" collapsed="false">
      <c r="A417" s="2" t="s">
        <v>842</v>
      </c>
      <c r="C417" s="30" t="n">
        <f aca="false">'Unit Mix'!$H$6*(1+('Operating Model'!B$6+C$21))</f>
        <v>1557.75</v>
      </c>
      <c r="D417" s="30" t="n">
        <f aca="false">C417*(1+('Operating Model'!C$6+C$21))</f>
        <v>1577.221875</v>
      </c>
      <c r="E417" s="30" t="n">
        <f aca="false">D417*(1+('Operating Model'!D$6+C$21))</f>
        <v>1608.7663125</v>
      </c>
      <c r="F417" s="30" t="n">
        <f aca="false">E417*(1+('Operating Model'!E$6+C$21))</f>
        <v>1648.9854703125</v>
      </c>
      <c r="G417" s="30" t="n">
        <f aca="false">F417*(1+('Operating Model'!F$6+C$21))</f>
        <v>1690.21010707031</v>
      </c>
      <c r="H417" s="30" t="n">
        <f aca="false">G417*(1+('Operating Model'!G$6+C$21))</f>
        <v>1732.46535974707</v>
      </c>
    </row>
    <row r="418" customFormat="false" ht="15" hidden="false" customHeight="false" outlineLevel="0" collapsed="false">
      <c r="A418" s="2" t="s">
        <v>843</v>
      </c>
      <c r="C418" s="30" t="n">
        <f aca="false">'Unit Mix'!$G$6+Assumptions!$C$48*Assumptions!$C$47*(C417-'Unit Mix'!$G$6)</f>
        <v>1482.35</v>
      </c>
      <c r="D418" s="30" t="n">
        <f aca="false">C418+Assumptions!$C$48*Assumptions!$C$47*(D417-C418)</f>
        <v>1508.439765625</v>
      </c>
      <c r="E418" s="30" t="n">
        <f aca="false">D418+Assumptions!$C$48*Assumptions!$C$47*(E417-D418)</f>
        <v>1536.02956601562</v>
      </c>
      <c r="F418" s="30" t="n">
        <f aca="false">E418+Assumptions!$C$48*Assumptions!$C$47*(F417-E418)</f>
        <v>1567.09243969727</v>
      </c>
      <c r="G418" s="30" t="n">
        <f aca="false">F418+Assumptions!$C$48*Assumptions!$C$47*(G417-F418)</f>
        <v>1600.94979822485</v>
      </c>
      <c r="H418" s="30" t="n">
        <f aca="false">G418+Assumptions!$C$48*Assumptions!$C$47*(H417-G418)</f>
        <v>1637.11657764346</v>
      </c>
    </row>
    <row r="419" customFormat="false" ht="15" hidden="false" customHeight="false" outlineLevel="0" collapsed="false">
      <c r="A419" s="2" t="s">
        <v>844</v>
      </c>
      <c r="C419" s="30" t="n">
        <f aca="false">'Unit Mix'!$H$7*(1+('Operating Model'!B$6+C$21))</f>
        <v>1788.9</v>
      </c>
      <c r="D419" s="30" t="n">
        <f aca="false">C419*(1+('Operating Model'!C$6+C$21))</f>
        <v>1811.26125</v>
      </c>
      <c r="E419" s="30" t="n">
        <f aca="false">D419*(1+('Operating Model'!D$6+C$21))</f>
        <v>1847.486475</v>
      </c>
      <c r="F419" s="30" t="n">
        <f aca="false">E419*(1+('Operating Model'!E$6+C$21))</f>
        <v>1893.673636875</v>
      </c>
      <c r="G419" s="30" t="n">
        <f aca="false">F419*(1+('Operating Model'!F$6+C$21))</f>
        <v>1941.01547779687</v>
      </c>
      <c r="H419" s="30" t="n">
        <f aca="false">G419*(1+('Operating Model'!G$6+C$21))</f>
        <v>1989.5408647418</v>
      </c>
    </row>
    <row r="420" customFormat="false" ht="15" hidden="false" customHeight="false" outlineLevel="0" collapsed="false">
      <c r="A420" s="2" t="s">
        <v>845</v>
      </c>
      <c r="C420" s="30" t="n">
        <f aca="false">'Unit Mix'!$G$7+Assumptions!$C$48*Assumptions!$C$47*(C419-'Unit Mix'!$G$7)</f>
        <v>1705.05375</v>
      </c>
      <c r="D420" s="30" t="n">
        <f aca="false">C420+Assumptions!$C$48*Assumptions!$C$47*(D419-C420)</f>
        <v>1734.2608125</v>
      </c>
      <c r="E420" s="30" t="n">
        <f aca="false">D420+Assumptions!$C$48*Assumptions!$C$47*(E419-D420)</f>
        <v>1765.3978696875</v>
      </c>
      <c r="F420" s="30" t="n">
        <f aca="false">E420+Assumptions!$C$48*Assumptions!$C$47*(F419-E420)</f>
        <v>1800.67370566406</v>
      </c>
      <c r="G420" s="30" t="n">
        <f aca="false">F420+Assumptions!$C$48*Assumptions!$C$47*(G419-F420)</f>
        <v>1839.26769300059</v>
      </c>
      <c r="H420" s="30" t="n">
        <f aca="false">G420+Assumptions!$C$48*Assumptions!$C$47*(H419-G420)</f>
        <v>1880.59281522942</v>
      </c>
    </row>
    <row r="421" customFormat="false" ht="15" hidden="false" customHeight="false" outlineLevel="0" collapsed="false">
      <c r="A421" s="2" t="s">
        <v>846</v>
      </c>
      <c r="C421" s="30" t="n">
        <f aca="false">'Unit Mix'!$H$8*(1+('Operating Model'!B$6+C$21))</f>
        <v>2060.25</v>
      </c>
      <c r="D421" s="30" t="n">
        <f aca="false">C421*(1+('Operating Model'!C$6+C$21))</f>
        <v>2086.003125</v>
      </c>
      <c r="E421" s="30" t="n">
        <f aca="false">D421*(1+('Operating Model'!D$6+C$21))</f>
        <v>2127.7231875</v>
      </c>
      <c r="F421" s="30" t="n">
        <f aca="false">E421*(1+('Operating Model'!E$6+C$21))</f>
        <v>2180.9162671875</v>
      </c>
      <c r="G421" s="30" t="n">
        <f aca="false">F421*(1+('Operating Model'!F$6+C$21))</f>
        <v>2235.43917386719</v>
      </c>
      <c r="H421" s="30" t="n">
        <f aca="false">G421*(1+('Operating Model'!G$6+C$21))</f>
        <v>2291.32515321387</v>
      </c>
    </row>
    <row r="422" customFormat="false" ht="15" hidden="false" customHeight="false" outlineLevel="0" collapsed="false">
      <c r="A422" s="2" t="s">
        <v>847</v>
      </c>
      <c r="C422" s="30" t="n">
        <f aca="false">'Unit Mix'!$G$8+Assumptions!$C$48*Assumptions!$C$47*(C421-'Unit Mix'!$G$8)</f>
        <v>1964.00625</v>
      </c>
      <c r="D422" s="30" t="n">
        <f aca="false">C422+Assumptions!$C$48*Assumptions!$C$47*(D421-C422)</f>
        <v>1997.555390625</v>
      </c>
      <c r="E422" s="30" t="n">
        <f aca="false">D422+Assumptions!$C$48*Assumptions!$C$47*(E421-D422)</f>
        <v>2033.35153476562</v>
      </c>
      <c r="F422" s="30" t="n">
        <f aca="false">E422+Assumptions!$C$48*Assumptions!$C$47*(F421-E422)</f>
        <v>2073.93183618164</v>
      </c>
      <c r="G422" s="30" t="n">
        <f aca="false">F422+Assumptions!$C$48*Assumptions!$C$47*(G421-F422)</f>
        <v>2118.34635404517</v>
      </c>
      <c r="H422" s="30" t="n">
        <f aca="false">G422+Assumptions!$C$48*Assumptions!$C$47*(H421-G422)</f>
        <v>2165.91552381656</v>
      </c>
    </row>
    <row r="423" customFormat="false" ht="15" hidden="false" customHeight="false" outlineLevel="0" collapsed="false">
      <c r="A423" s="2" t="s">
        <v>848</v>
      </c>
      <c r="C423" s="30" t="n">
        <f aca="false">'Unit Mix'!$H$9*(1+('Operating Model'!B$6+C$21))</f>
        <v>2211</v>
      </c>
      <c r="D423" s="30" t="n">
        <f aca="false">C423*(1+('Operating Model'!C$6+C$21))</f>
        <v>2238.6375</v>
      </c>
      <c r="E423" s="30" t="n">
        <f aca="false">D423*(1+('Operating Model'!D$6+C$21))</f>
        <v>2283.41025</v>
      </c>
      <c r="F423" s="30" t="n">
        <f aca="false">E423*(1+('Operating Model'!E$6+C$21))</f>
        <v>2340.49550625</v>
      </c>
      <c r="G423" s="30" t="n">
        <f aca="false">F423*(1+('Operating Model'!F$6+C$21))</f>
        <v>2399.00789390625</v>
      </c>
      <c r="H423" s="30" t="n">
        <f aca="false">G423*(1+('Operating Model'!G$6+C$21))</f>
        <v>2458.98309125391</v>
      </c>
    </row>
    <row r="424" customFormat="false" ht="15" hidden="false" customHeight="false" outlineLevel="0" collapsed="false">
      <c r="A424" s="2" t="s">
        <v>849</v>
      </c>
      <c r="C424" s="30" t="n">
        <f aca="false">'Unit Mix'!$G$9+Assumptions!$C$48*Assumptions!$C$47*(C423-'Unit Mix'!$G$9)</f>
        <v>2107.86875</v>
      </c>
      <c r="D424" s="30" t="n">
        <f aca="false">C424+Assumptions!$C$48*Assumptions!$C$47*(D423-C424)</f>
        <v>2143.83015625</v>
      </c>
      <c r="E424" s="30" t="n">
        <f aca="false">D424+Assumptions!$C$48*Assumptions!$C$47*(E423-D424)</f>
        <v>2182.21468203125</v>
      </c>
      <c r="F424" s="30" t="n">
        <f aca="false">E424+Assumptions!$C$48*Assumptions!$C$47*(F423-E424)</f>
        <v>2225.74190869141</v>
      </c>
      <c r="G424" s="30" t="n">
        <f aca="false">F424+Assumptions!$C$48*Assumptions!$C$47*(G423-F424)</f>
        <v>2273.39005462549</v>
      </c>
      <c r="H424" s="30" t="n">
        <f aca="false">G424+Assumptions!$C$48*Assumptions!$C$47*(H423-G424)</f>
        <v>2324.4281396983</v>
      </c>
    </row>
    <row r="425" customFormat="false" ht="15" hidden="false" customHeight="false" outlineLevel="0" collapsed="false">
      <c r="A425" s="2" t="s">
        <v>850</v>
      </c>
      <c r="C425" s="30" t="n">
        <f aca="false">('Unit Mix'!$C$6*('Unit Mix'!$F$6*(1-Assumptions!$C$39)+(C417+Assumptions!$C$37)*Assumptions!$C$39)+'Unit Mix'!$D$6*C418+'Unit Mix'!$C$7*('Unit Mix'!$F$7*(1-Assumptions!$C$39)+(C419+Assumptions!$C$37)*Assumptions!$C$39)+'Unit Mix'!$D$7*C420+'Unit Mix'!$C$8*('Unit Mix'!$F$8*(1-Assumptions!$C$39)+(C421+Assumptions!$C$37)*Assumptions!$C$39)+'Unit Mix'!$D$8*C422+'Unit Mix'!$C$9*('Unit Mix'!$F$9*(1-Assumptions!$C$39)+(C423+Assumptions!$C$37)*Assumptions!$C$39)+'Unit Mix'!$D$9*C424)*12</f>
        <v>2013524.385</v>
      </c>
      <c r="D425" s="30" t="n">
        <f aca="false">('Unit Mix'!$C$6*(D417+Assumptions!$C$37)+'Unit Mix'!$D$6*D418+'Unit Mix'!$C$7*(D419+Assumptions!$C$37)+'Unit Mix'!$D$7*D420+'Unit Mix'!$C$8*(D421+Assumptions!$C$37)+'Unit Mix'!$D$8*D422+'Unit Mix'!$C$9*(D423+Assumptions!$C$37)+'Unit Mix'!$D$9*D424)*12</f>
        <v>2092712.6645625</v>
      </c>
      <c r="E425" s="30" t="n">
        <f aca="false">('Unit Mix'!$C$6*(E417+Assumptions!$C$37)+'Unit Mix'!$D$6*E418+'Unit Mix'!$C$7*(E419+Assumptions!$C$37)+'Unit Mix'!$D$7*E420+'Unit Mix'!$C$8*(E421+Assumptions!$C$37)+'Unit Mix'!$D$8*E422+'Unit Mix'!$C$9*(E423+Assumptions!$C$37)+'Unit Mix'!$D$9*E424)*12</f>
        <v>2131436.27241656</v>
      </c>
      <c r="F425" s="30" t="n">
        <f aca="false">('Unit Mix'!$C$6*(F417+Assumptions!$C$37)+'Unit Mix'!$D$6*F418+'Unit Mix'!$C$7*(F419+Assumptions!$C$37)+'Unit Mix'!$D$7*F420+'Unit Mix'!$C$8*(F421+Assumptions!$C$37)+'Unit Mix'!$D$8*F422+'Unit Mix'!$C$9*(F423+Assumptions!$C$37)+'Unit Mix'!$D$9*F424)*12</f>
        <v>2176791.41787691</v>
      </c>
      <c r="G425" s="30" t="n">
        <f aca="false">('Unit Mix'!$C$6*(G417+Assumptions!$C$37)+'Unit Mix'!$D$6*G418+'Unit Mix'!$C$7*(G419+Assumptions!$C$37)+'Unit Mix'!$D$7*G420+'Unit Mix'!$C$8*(G421+Assumptions!$C$37)+'Unit Mix'!$D$8*G422+'Unit Mix'!$C$9*(G423+Assumptions!$C$37)+'Unit Mix'!$D$9*G424)*12</f>
        <v>2225461.40134504</v>
      </c>
      <c r="H425" s="30" t="n">
        <f aca="false">('Unit Mix'!$C$6*(H417+Assumptions!$C$37)+'Unit Mix'!$D$6*H418+'Unit Mix'!$C$7*(H419+Assumptions!$C$37)+'Unit Mix'!$D$7*H420+'Unit Mix'!$C$8*(H421+Assumptions!$C$37)+'Unit Mix'!$D$8*H422+'Unit Mix'!$C$9*(H423+Assumptions!$C$37)+'Unit Mix'!$D$9*H424)*12</f>
        <v>2276929.32994404</v>
      </c>
    </row>
    <row r="426" customFormat="false" ht="15" hidden="false" customHeight="false" outlineLevel="0" collapsed="false">
      <c r="A426" s="2" t="s">
        <v>851</v>
      </c>
      <c r="C426" s="30" t="n">
        <f aca="false">'Operating Model'!B49-'Operating Model'!B42+'Operating Model'!$B$42*1*(1+Assumptions!$C$18+C$21)^('Operating Model'!B$4-1)+((C425-'Operating Model'!B25)+0)*(1-(Assumptions!$C$42+Assumptions!$C$43+Assumptions!$C$44))*(1-Assumptions!$C$75)</f>
        <v>875115.206003</v>
      </c>
      <c r="D426" s="30" t="n">
        <f aca="false">'Operating Model'!C49-'Operating Model'!C42+'Operating Model'!$B$42*1*(1+Assumptions!$C$18+C$21)^('Operating Model'!C$4-1)+((D425-'Operating Model'!C25)+0)*(1-(Assumptions!$C$42+Assumptions!$C$43+Assumptions!$C$44))*(1-Assumptions!$C$75)</f>
        <v>907056.558575587</v>
      </c>
      <c r="E426" s="30" t="n">
        <f aca="false">'Operating Model'!D49-'Operating Model'!D42+'Operating Model'!$B$42*1*(1+Assumptions!$C$18+C$21)^('Operating Model'!D$4-1)+((E425-'Operating Model'!D25)+0)*(1-(Assumptions!$C$42+Assumptions!$C$43+Assumptions!$C$44))*(1-Assumptions!$C$75)</f>
        <v>901180.92603304</v>
      </c>
      <c r="F426" s="30" t="n">
        <f aca="false">'Operating Model'!E49-'Operating Model'!E42+'Operating Model'!$B$42*1*(1+Assumptions!$C$18+C$21)^('Operating Model'!E$4-1)+((F425-'Operating Model'!E25)+0)*(1-(Assumptions!$C$42+Assumptions!$C$43+Assumptions!$C$44))*(1-Assumptions!$C$75)</f>
        <v>899193.326598828</v>
      </c>
      <c r="G426" s="30" t="n">
        <f aca="false">'Operating Model'!F49-'Operating Model'!F42+'Operating Model'!$B$42*1*(1+Assumptions!$C$18+C$21)^('Operating Model'!F$4-1)+((G425-'Operating Model'!F25)+0)*(1-(Assumptions!$C$42+Assumptions!$C$43+Assumptions!$C$44))*(1-Assumptions!$C$75)</f>
        <v>898035.556439248</v>
      </c>
      <c r="H426" s="30" t="n">
        <f aca="false">'Operating Model'!G49-'Operating Model'!G42+'Operating Model'!$B$42*1*(1+Assumptions!$C$18+C$21)^('Operating Model'!G$4-1)+((H425-'Operating Model'!G25)+0)*(1-(Assumptions!$C$42+Assumptions!$C$43+Assumptions!$C$44))*(1-Assumptions!$C$75)</f>
        <v>897128.003110122</v>
      </c>
      <c r="I426" s="30" t="n">
        <f aca="false">H426-'Operating Model'!$B$42*1*(1+Assumptions!$C$18+C$21)^('Operating Model'!G$4-1)</f>
        <v>1164825.78238993</v>
      </c>
    </row>
    <row r="427" customFormat="false" ht="15" hidden="false" customHeight="false" outlineLevel="0" collapsed="false">
      <c r="A427" s="2" t="s">
        <v>852</v>
      </c>
      <c r="B427" s="30" t="n">
        <f aca="false">Assumptions!$C$7*1</f>
        <v>13800000</v>
      </c>
      <c r="C427" s="30" t="n">
        <f aca="false">MAX(0,(Assumptions!$C$124+Assumptions!$C$127)-Assumptions!$C$132*B427)</f>
        <v>0</v>
      </c>
      <c r="D427" s="30" t="n">
        <f aca="false">Assumptions!$C$124-MAX(0,C427-Assumptions!$C$127)</f>
        <v>5887000</v>
      </c>
      <c r="E427" s="30" t="n">
        <f aca="false">Assumptions!$C$127-MIN(C427,Assumptions!$C$127)</f>
        <v>3563000</v>
      </c>
      <c r="F427" s="30" t="n">
        <f aca="false">B427*(1+Assumptions!$C$10)+'Unit Mix'!$D$18*1+(D427+E427)*Assumptions!$C$131-(D427+E427)</f>
        <v>5095290</v>
      </c>
      <c r="G427" s="30" t="n">
        <f aca="false">IF(Assumptions!$C$130=1,D427+E427,-FV(Assumptions!$C$125,Assumptions!$C$126,PMT(Assumptions!$C$125,Assumptions!$C$111,D427),D427)-FV(Assumptions!$C$128,Assumptions!$C$126,PMT(Assumptions!$C$128,Assumptions!$C$111,E427),E427))</f>
        <v>9450000</v>
      </c>
      <c r="H427" s="30" t="n">
        <f aca="false">MIN(INDEX(C426:H426,Assumptions!$C$126+1)/$A$25*Assumptions!$C$108,INDEX(C426:H426,Assumptions!$C$126+1)/(Assumptions!$C$109*-PMT('Debt (Assumed)'!$B$99,Assumptions!$C$111,1)))</f>
        <v>8495856.41165273</v>
      </c>
      <c r="I427" s="30" t="n">
        <f aca="false">IF(MAX(0,Assumptions!$C$154-Assumptions!$C$126-'Debt (Assumed)'!$B$100)=0,H427,-FV('Debt (Assumed)'!$B$98,MAX(0,Assumptions!$C$154-Assumptions!$C$126-'Debt (Assumed)'!$B$100),PMT('Debt (Assumed)'!$B$98,Assumptions!$C$111,H427),H427))</f>
        <v>8495856.41165273</v>
      </c>
      <c r="J427" s="30" t="n">
        <f aca="false">I427*'Debt (Assumed)'!$B$102</f>
        <v>0</v>
      </c>
      <c r="K427" s="30" t="n">
        <f aca="false">I426/($A$25+Returns!$B$35)*(1-Assumptions!$C$158)-I427-J427</f>
        <v>4454676.61977918</v>
      </c>
      <c r="L427" s="30" t="n">
        <f aca="false">H427*'Debt (Assumed)'!$B$101</f>
        <v>91755.2492458495</v>
      </c>
      <c r="M427" s="30" t="n">
        <f aca="false">(INDEX(C426:H426,Assumptions!$C$126+1)-'Operating Model'!$B$42*1*(1+Assumptions!$C$18+C$21)^Assumptions!$C$126)/($A$25+Returns!$B$35)*(1-Assumptions!$C$158)-G427</f>
        <v>3380082.22454445</v>
      </c>
    </row>
    <row r="428" customFormat="false" ht="15" hidden="false" customHeight="false" outlineLevel="0" collapsed="false">
      <c r="A428" s="2" t="s">
        <v>853</v>
      </c>
      <c r="C428" s="30" t="n">
        <f aca="false">IF('Operating Model'!B$4&lt;=Assumptions!$C$126,IF(Assumptions!$C$130=1,D427*Assumptions!$C$125+E427*Assumptions!$C$128,-PMT(Assumptions!$C$125,Assumptions!$C$111,D427)-PMT(Assumptions!$C$128,Assumptions!$C$111,E427)),IF(Assumptions!$C$136=1,0,IF('Operating Model'!B$4-Assumptions!$C$126&lt;='Debt (Assumed)'!$B$100,H427*'Debt (Assumed)'!$B$98,-PMT('Debt (Assumed)'!$B$98,Assumptions!$C$111,H427))))</f>
        <v>397516</v>
      </c>
      <c r="D428" s="30" t="n">
        <f aca="false">IF('Operating Model'!C$4&lt;=Assumptions!$C$126,IF(Assumptions!$C$130=1,D427*Assumptions!$C$125+E427*Assumptions!$C$128,-PMT(Assumptions!$C$125,Assumptions!$C$111,D427)-PMT(Assumptions!$C$128,Assumptions!$C$111,E427)),IF(Assumptions!$C$136=1,0,IF('Operating Model'!C$4-Assumptions!$C$126&lt;='Debt (Assumed)'!$B$100,H427*'Debt (Assumed)'!$B$98,-PMT('Debt (Assumed)'!$B$98,Assumptions!$C$111,H427))))</f>
        <v>397516</v>
      </c>
      <c r="E428" s="30" t="n">
        <f aca="false">IF('Operating Model'!D$4&lt;=Assumptions!$C$126,IF(Assumptions!$C$130=1,D427*Assumptions!$C$125+E427*Assumptions!$C$128,-PMT(Assumptions!$C$125,Assumptions!$C$111,D427)-PMT(Assumptions!$C$128,Assumptions!$C$111,E427)),IF(Assumptions!$C$136=1,0,IF('Operating Model'!D$4-Assumptions!$C$126&lt;='Debt (Assumed)'!$B$100,H427*'Debt (Assumed)'!$B$98,-PMT('Debt (Assumed)'!$B$98,Assumptions!$C$111,H427))))</f>
        <v>397516</v>
      </c>
      <c r="F428" s="30" t="n">
        <f aca="false">IF('Operating Model'!E$4&lt;=Assumptions!$C$126,IF(Assumptions!$C$130=1,D427*Assumptions!$C$125+E427*Assumptions!$C$128,-PMT(Assumptions!$C$125,Assumptions!$C$111,D427)-PMT(Assumptions!$C$128,Assumptions!$C$111,E427)),IF(Assumptions!$C$136=1,0,IF('Operating Model'!E$4-Assumptions!$C$126&lt;='Debt (Assumed)'!$B$100,H427*'Debt (Assumed)'!$B$98,-PMT('Debt (Assumed)'!$B$98,Assumptions!$C$111,H427))))</f>
        <v>572620.722145394</v>
      </c>
      <c r="G428" s="30" t="n">
        <f aca="false">IF('Operating Model'!F$4&lt;=Assumptions!$C$126,IF(Assumptions!$C$130=1,D427*Assumptions!$C$125+E427*Assumptions!$C$128,-PMT(Assumptions!$C$125,Assumptions!$C$111,D427)-PMT(Assumptions!$C$128,Assumptions!$C$111,E427)),IF(Assumptions!$C$136=1,0,IF('Operating Model'!F$4-Assumptions!$C$126&lt;='Debt (Assumed)'!$B$100,H427*'Debt (Assumed)'!$B$98,-PMT('Debt (Assumed)'!$B$98,Assumptions!$C$111,H427))))</f>
        <v>572620.722145394</v>
      </c>
    </row>
    <row r="429" customFormat="false" ht="15" hidden="false" customHeight="false" outlineLevel="0" collapsed="false">
      <c r="A429" s="2" t="s">
        <v>854</v>
      </c>
      <c r="B429" s="30" t="n">
        <f aca="false">-F427</f>
        <v>-5095290</v>
      </c>
      <c r="C429" s="30" t="n">
        <f aca="false">IF(AND(Assumptions!$C$136=1,'Operating Model'!B$4&gt;Assumptions!$C$126),0,'Operating Model'!B55+(C426-'Operating Model'!B49)-C428-IF('Operating Model'!B$4=Assumptions!$C$126,IF(Assumptions!$C$136=1,-M427,G427-H427+L427),0)+IF(AND(Assumptions!$C$136&lt;&gt;1,'Operating Model'!B$4=Assumptions!$C$154),K427,0))</f>
        <v>448499.206003</v>
      </c>
      <c r="D429" s="30" t="n">
        <f aca="false">IF(AND(Assumptions!$C$136=1,'Operating Model'!C$4&gt;Assumptions!$C$126),0,'Operating Model'!C55+(D426-'Operating Model'!C49)-D428-IF('Operating Model'!C$4=Assumptions!$C$126,IF(Assumptions!$C$136=1,-M427,G427-H427+L427),0)+IF(AND(Assumptions!$C$136&lt;&gt;1,'Operating Model'!C$4=Assumptions!$C$154),K427,0))</f>
        <v>319422.058575587</v>
      </c>
      <c r="E429" s="30" t="n">
        <f aca="false">IF(AND(Assumptions!$C$136=1,'Operating Model'!D$4&gt;Assumptions!$C$126),0,'Operating Model'!D55+(E426-'Operating Model'!D49)-E428-IF('Operating Model'!D$4=Assumptions!$C$126,IF(Assumptions!$C$136=1,-M427,G427-H427+L427),0)+IF(AND(Assumptions!$C$136&lt;&gt;1,'Operating Model'!D$4=Assumptions!$C$154),K427,0))</f>
        <v>-573406.559060077</v>
      </c>
      <c r="F429" s="30" t="n">
        <f aca="false">IF(AND(Assumptions!$C$136=1,'Operating Model'!E$4&gt;Assumptions!$C$126),0,'Operating Model'!E55+(F426-'Operating Model'!E49)-F428-IF('Operating Model'!E$4=Assumptions!$C$126,IF(Assumptions!$C$136=1,-M427,G427-H427+L427),0)+IF(AND(Assumptions!$C$136&lt;&gt;1,'Operating Model'!E$4=Assumptions!$C$154),K427,0))</f>
        <v>294308.914290934</v>
      </c>
      <c r="G429" s="30" t="n">
        <f aca="false">IF(AND(Assumptions!$C$136=1,'Operating Model'!F$4&gt;Assumptions!$C$126),0,'Operating Model'!F55+(G426-'Operating Model'!F49)-G428-IF('Operating Model'!F$4=Assumptions!$C$126,IF(Assumptions!$C$136=1,-M427,G427-H427+L427),0)+IF(AND(Assumptions!$C$136&lt;&gt;1,'Operating Model'!F$4=Assumptions!$C$154),K427,0))</f>
        <v>4746698.53475485</v>
      </c>
      <c r="H429" s="22" t="n">
        <f aca="false">IFERROR(IRR(B429:G429),"N/A")</f>
        <v>0.00587734646651042</v>
      </c>
      <c r="I429" s="24" t="n">
        <f aca="false">SUM(C429:G429)/F427</f>
        <v>1.02752191819588</v>
      </c>
    </row>
    <row r="431" customFormat="false" ht="15" hidden="false" customHeight="false" outlineLevel="0" collapsed="false">
      <c r="A431" s="2" t="s">
        <v>855</v>
      </c>
      <c r="C431" s="30" t="n">
        <f aca="false">'Unit Mix'!$H$6*(1+('Operating Model'!B$6+D$21))</f>
        <v>1565.5</v>
      </c>
      <c r="D431" s="30" t="n">
        <f aca="false">C431*(1+('Operating Model'!C$6+D$21))</f>
        <v>1592.89625</v>
      </c>
      <c r="E431" s="30" t="n">
        <f aca="false">D431*(1+('Operating Model'!D$6+D$21))</f>
        <v>1632.71865625</v>
      </c>
      <c r="F431" s="30" t="n">
        <f aca="false">E431*(1+('Operating Model'!E$6+D$21))</f>
        <v>1681.7002159375</v>
      </c>
      <c r="G431" s="30" t="n">
        <f aca="false">F431*(1+('Operating Model'!F$6+D$21))</f>
        <v>1732.15122241563</v>
      </c>
      <c r="H431" s="30" t="n">
        <f aca="false">G431*(1+('Operating Model'!G$6+D$21))</f>
        <v>1784.11575908809</v>
      </c>
    </row>
    <row r="432" customFormat="false" ht="15" hidden="false" customHeight="false" outlineLevel="0" collapsed="false">
      <c r="A432" s="2" t="s">
        <v>856</v>
      </c>
      <c r="C432" s="30" t="n">
        <f aca="false">'Unit Mix'!$G$6+Assumptions!$C$48*Assumptions!$C$47*(C431-'Unit Mix'!$G$6)</f>
        <v>1484.48125</v>
      </c>
      <c r="D432" s="30" t="n">
        <f aca="false">C432+Assumptions!$C$48*Assumptions!$C$47*(D431-C432)</f>
        <v>1514.295375</v>
      </c>
      <c r="E432" s="30" t="n">
        <f aca="false">D432+Assumptions!$C$48*Assumptions!$C$47*(E431-D432)</f>
        <v>1546.86177734375</v>
      </c>
      <c r="F432" s="30" t="n">
        <f aca="false">E432+Assumptions!$C$48*Assumptions!$C$47*(F431-E432)</f>
        <v>1583.94234795703</v>
      </c>
      <c r="G432" s="30" t="n">
        <f aca="false">F432+Assumptions!$C$48*Assumptions!$C$47*(G431-F432)</f>
        <v>1624.69978843314</v>
      </c>
      <c r="H432" s="30" t="n">
        <f aca="false">G432+Assumptions!$C$48*Assumptions!$C$47*(H431-G432)</f>
        <v>1668.53918036326</v>
      </c>
    </row>
    <row r="433" customFormat="false" ht="15" hidden="false" customHeight="false" outlineLevel="0" collapsed="false">
      <c r="A433" s="2" t="s">
        <v>857</v>
      </c>
      <c r="C433" s="30" t="n">
        <f aca="false">'Unit Mix'!$H$7*(1+('Operating Model'!B$6+D$21))</f>
        <v>1797.8</v>
      </c>
      <c r="D433" s="30" t="n">
        <f aca="false">C433*(1+('Operating Model'!C$6+D$21))</f>
        <v>1829.2615</v>
      </c>
      <c r="E433" s="30" t="n">
        <f aca="false">D433*(1+('Operating Model'!D$6+D$21))</f>
        <v>1874.9930375</v>
      </c>
      <c r="F433" s="30" t="n">
        <f aca="false">E433*(1+('Operating Model'!E$6+D$21))</f>
        <v>1931.242828625</v>
      </c>
      <c r="G433" s="30" t="n">
        <f aca="false">F433*(1+('Operating Model'!F$6+D$21))</f>
        <v>1989.18011348375</v>
      </c>
      <c r="H433" s="30" t="n">
        <f aca="false">G433*(1+('Operating Model'!G$6+D$21))</f>
        <v>2048.85551688826</v>
      </c>
    </row>
    <row r="434" customFormat="false" ht="15" hidden="false" customHeight="false" outlineLevel="0" collapsed="false">
      <c r="A434" s="2" t="s">
        <v>858</v>
      </c>
      <c r="C434" s="30" t="n">
        <f aca="false">'Unit Mix'!$G$7+Assumptions!$C$48*Assumptions!$C$47*(C433-'Unit Mix'!$G$7)</f>
        <v>1707.50125</v>
      </c>
      <c r="D434" s="30" t="n">
        <f aca="false">C434+Assumptions!$C$48*Assumptions!$C$47*(D433-C434)</f>
        <v>1740.98531875</v>
      </c>
      <c r="E434" s="30" t="n">
        <f aca="false">D434+Assumptions!$C$48*Assumptions!$C$47*(E433-D434)</f>
        <v>1777.83744140625</v>
      </c>
      <c r="F434" s="30" t="n">
        <f aca="false">E434+Assumptions!$C$48*Assumptions!$C$47*(F433-E434)</f>
        <v>1820.02392289141</v>
      </c>
      <c r="G434" s="30" t="n">
        <f aca="false">F434+Assumptions!$C$48*Assumptions!$C$47*(G433-F434)</f>
        <v>1866.5418753043</v>
      </c>
      <c r="H434" s="30" t="n">
        <f aca="false">G434+Assumptions!$C$48*Assumptions!$C$47*(H433-G434)</f>
        <v>1916.67812673989</v>
      </c>
    </row>
    <row r="435" customFormat="false" ht="15" hidden="false" customHeight="false" outlineLevel="0" collapsed="false">
      <c r="A435" s="2" t="s">
        <v>859</v>
      </c>
      <c r="C435" s="30" t="n">
        <f aca="false">'Unit Mix'!$H$8*(1+('Operating Model'!B$6+D$21))</f>
        <v>2070.5</v>
      </c>
      <c r="D435" s="30" t="n">
        <f aca="false">C435*(1+('Operating Model'!C$6+D$21))</f>
        <v>2106.73375</v>
      </c>
      <c r="E435" s="30" t="n">
        <f aca="false">D435*(1+('Operating Model'!D$6+D$21))</f>
        <v>2159.40209375</v>
      </c>
      <c r="F435" s="30" t="n">
        <f aca="false">E435*(1+('Operating Model'!E$6+D$21))</f>
        <v>2224.1841565625</v>
      </c>
      <c r="G435" s="30" t="n">
        <f aca="false">F435*(1+('Operating Model'!F$6+D$21))</f>
        <v>2290.90968125938</v>
      </c>
      <c r="H435" s="30" t="n">
        <f aca="false">G435*(1+('Operating Model'!G$6+D$21))</f>
        <v>2359.63697169716</v>
      </c>
    </row>
    <row r="436" customFormat="false" ht="15" hidden="false" customHeight="false" outlineLevel="0" collapsed="false">
      <c r="A436" s="2" t="s">
        <v>860</v>
      </c>
      <c r="C436" s="30" t="n">
        <f aca="false">'Unit Mix'!$G$8+Assumptions!$C$48*Assumptions!$C$47*(C435-'Unit Mix'!$G$8)</f>
        <v>1966.825</v>
      </c>
      <c r="D436" s="30" t="n">
        <f aca="false">C436+Assumptions!$C$48*Assumptions!$C$47*(D435-C436)</f>
        <v>2005.29990625</v>
      </c>
      <c r="E436" s="30" t="n">
        <f aca="false">D436+Assumptions!$C$48*Assumptions!$C$47*(E435-D436)</f>
        <v>2047.6780078125</v>
      </c>
      <c r="F436" s="30" t="n">
        <f aca="false">E436+Assumptions!$C$48*Assumptions!$C$47*(F435-E436)</f>
        <v>2096.21719871875</v>
      </c>
      <c r="G436" s="30" t="n">
        <f aca="false">F436+Assumptions!$C$48*Assumptions!$C$47*(G435-F436)</f>
        <v>2149.75763141742</v>
      </c>
      <c r="H436" s="30" t="n">
        <f aca="false">G436+Assumptions!$C$48*Assumptions!$C$47*(H435-G436)</f>
        <v>2207.47444999435</v>
      </c>
    </row>
    <row r="437" customFormat="false" ht="15" hidden="false" customHeight="false" outlineLevel="0" collapsed="false">
      <c r="A437" s="2" t="s">
        <v>861</v>
      </c>
      <c r="C437" s="30" t="n">
        <f aca="false">'Unit Mix'!$H$9*(1+('Operating Model'!B$6+D$21))</f>
        <v>2222</v>
      </c>
      <c r="D437" s="30" t="n">
        <f aca="false">C437*(1+('Operating Model'!C$6+D$21))</f>
        <v>2260.885</v>
      </c>
      <c r="E437" s="30" t="n">
        <f aca="false">D437*(1+('Operating Model'!D$6+D$21))</f>
        <v>2317.407125</v>
      </c>
      <c r="F437" s="30" t="n">
        <f aca="false">E437*(1+('Operating Model'!E$6+D$21))</f>
        <v>2386.92933875</v>
      </c>
      <c r="G437" s="30" t="n">
        <f aca="false">F437*(1+('Operating Model'!F$6+D$21))</f>
        <v>2458.5372189125</v>
      </c>
      <c r="H437" s="30" t="n">
        <f aca="false">G437*(1+('Operating Model'!G$6+D$21))</f>
        <v>2532.29333547988</v>
      </c>
    </row>
    <row r="438" customFormat="false" ht="15" hidden="false" customHeight="false" outlineLevel="0" collapsed="false">
      <c r="A438" s="2" t="s">
        <v>862</v>
      </c>
      <c r="C438" s="30" t="n">
        <f aca="false">'Unit Mix'!$G$9+Assumptions!$C$48*Assumptions!$C$47*(C437-'Unit Mix'!$G$9)</f>
        <v>2110.89375</v>
      </c>
      <c r="D438" s="30" t="n">
        <f aca="false">C438+Assumptions!$C$48*Assumptions!$C$47*(D437-C438)</f>
        <v>2152.14134375</v>
      </c>
      <c r="E438" s="30" t="n">
        <f aca="false">D438+Assumptions!$C$48*Assumptions!$C$47*(E437-D438)</f>
        <v>2197.58943359375</v>
      </c>
      <c r="F438" s="30" t="n">
        <f aca="false">E438+Assumptions!$C$48*Assumptions!$C$47*(F437-E438)</f>
        <v>2249.65790751172</v>
      </c>
      <c r="G438" s="30" t="n">
        <f aca="false">F438+Assumptions!$C$48*Assumptions!$C$47*(G437-F438)</f>
        <v>2307.09971814693</v>
      </c>
      <c r="H438" s="30" t="n">
        <f aca="false">G438+Assumptions!$C$48*Assumptions!$C$47*(H437-G438)</f>
        <v>2369.02796291349</v>
      </c>
    </row>
    <row r="439" customFormat="false" ht="15" hidden="false" customHeight="false" outlineLevel="0" collapsed="false">
      <c r="A439" s="2" t="s">
        <v>863</v>
      </c>
      <c r="C439" s="30" t="n">
        <f aca="false">('Unit Mix'!$C$6*('Unit Mix'!$F$6*(1-Assumptions!$C$39)+(C431+Assumptions!$C$37)*Assumptions!$C$39)+'Unit Mix'!$D$6*C432+'Unit Mix'!$C$7*('Unit Mix'!$F$7*(1-Assumptions!$C$39)+(C433+Assumptions!$C$37)*Assumptions!$C$39)+'Unit Mix'!$D$7*C434+'Unit Mix'!$C$8*('Unit Mix'!$F$8*(1-Assumptions!$C$39)+(C435+Assumptions!$C$37)*Assumptions!$C$39)+'Unit Mix'!$D$8*C436+'Unit Mix'!$C$9*('Unit Mix'!$F$9*(1-Assumptions!$C$39)+(C437+Assumptions!$C$37)*Assumptions!$C$39)+'Unit Mix'!$D$9*C438)*12</f>
        <v>2017033.32</v>
      </c>
      <c r="D439" s="30" t="n">
        <f aca="false">('Unit Mix'!$C$6*(D431+Assumptions!$C$37)+'Unit Mix'!$D$6*D432+'Unit Mix'!$C$7*(D433+Assumptions!$C$37)+'Unit Mix'!$D$7*D434+'Unit Mix'!$C$8*(D435+Assumptions!$C$37)+'Unit Mix'!$D$8*D436+'Unit Mix'!$C$9*(D437+Assumptions!$C$37)+'Unit Mix'!$D$9*D438)*12</f>
        <v>2104046.311725</v>
      </c>
      <c r="E439" s="30" t="n">
        <f aca="false">('Unit Mix'!$C$6*(E431+Assumptions!$C$37)+'Unit Mix'!$D$6*E432+'Unit Mix'!$C$7*(E433+Assumptions!$C$37)+'Unit Mix'!$D$7*E434+'Unit Mix'!$C$8*(E435+Assumptions!$C$37)+'Unit Mix'!$D$8*E436+'Unit Mix'!$C$9*(E437+Assumptions!$C$37)+'Unit Mix'!$D$9*E438)*12</f>
        <v>2150704.11144375</v>
      </c>
      <c r="F439" s="30" t="n">
        <f aca="false">('Unit Mix'!$C$6*(F431+Assumptions!$C$37)+'Unit Mix'!$D$6*F432+'Unit Mix'!$C$7*(F433+Assumptions!$C$37)+'Unit Mix'!$D$7*F434+'Unit Mix'!$C$8*(F435+Assumptions!$C$37)+'Unit Mix'!$D$8*F436+'Unit Mix'!$C$9*(F437+Assumptions!$C$37)+'Unit Mix'!$D$9*F438)*12</f>
        <v>2205233.30328326</v>
      </c>
      <c r="G439" s="30" t="n">
        <f aca="false">('Unit Mix'!$C$6*(G431+Assumptions!$C$37)+'Unit Mix'!$D$6*G432+'Unit Mix'!$C$7*(G433+Assumptions!$C$37)+'Unit Mix'!$D$7*G434+'Unit Mix'!$C$8*(G435+Assumptions!$C$37)+'Unit Mix'!$D$8*G436+'Unit Mix'!$C$9*(G437+Assumptions!$C$37)+'Unit Mix'!$D$9*G438)*12</f>
        <v>2264146.15204151</v>
      </c>
      <c r="H439" s="30" t="n">
        <f aca="false">('Unit Mix'!$C$6*(H431+Assumptions!$C$37)+'Unit Mix'!$D$6*H432+'Unit Mix'!$C$7*(H433+Assumptions!$C$37)+'Unit Mix'!$D$7*H434+'Unit Mix'!$C$8*(H435+Assumptions!$C$37)+'Unit Mix'!$D$8*H436+'Unit Mix'!$C$9*(H437+Assumptions!$C$37)+'Unit Mix'!$D$9*H438)*12</f>
        <v>2326818.52760607</v>
      </c>
    </row>
    <row r="440" customFormat="false" ht="15" hidden="false" customHeight="false" outlineLevel="0" collapsed="false">
      <c r="A440" s="2" t="s">
        <v>864</v>
      </c>
      <c r="C440" s="30" t="n">
        <f aca="false">'Operating Model'!B49-'Operating Model'!B42+'Operating Model'!$B$42*1*(1+Assumptions!$C$18+D$21)^('Operating Model'!B$4-1)+((C439-'Operating Model'!B25)+0)*(1-(Assumptions!$C$42+Assumptions!$C$43+Assumptions!$C$44))*(1-Assumptions!$C$75)</f>
        <v>878230.438496</v>
      </c>
      <c r="D440" s="30" t="n">
        <f aca="false">'Operating Model'!C49-'Operating Model'!C42+'Operating Model'!$B$42*1*(1+Assumptions!$C$18+D$21)^('Operating Model'!C$4-1)+((D439-'Operating Model'!C25)+0)*(1-(Assumptions!$C$42+Assumptions!$C$43+Assumptions!$C$44))*(1-Assumptions!$C$75)</f>
        <v>915935.541376455</v>
      </c>
      <c r="E440" s="30" t="n">
        <f aca="false">'Operating Model'!D49-'Operating Model'!D42+'Operating Model'!$B$42*1*(1+Assumptions!$C$18+D$21)^('Operating Model'!D$4-1)+((E439-'Operating Model'!D25)+0)*(1-(Assumptions!$C$42+Assumptions!$C$43+Assumptions!$C$44))*(1-Assumptions!$C$75)</f>
        <v>915855.788618126</v>
      </c>
      <c r="F440" s="30" t="n">
        <f aca="false">'Operating Model'!E49-'Operating Model'!E42+'Operating Model'!$B$42*1*(1+Assumptions!$C$18+D$21)^('Operating Model'!E$4-1)+((F439-'Operating Model'!E25)+0)*(1-(Assumptions!$C$42+Assumptions!$C$43+Assumptions!$C$44))*(1-Assumptions!$C$75)</f>
        <v>920697.053811519</v>
      </c>
      <c r="G440" s="30" t="n">
        <f aca="false">'Operating Model'!F49-'Operating Model'!F42+'Operating Model'!$B$42*1*(1+Assumptions!$C$18+D$21)^('Operating Model'!F$4-1)+((G439-'Operating Model'!F25)+0)*(1-(Assumptions!$C$42+Assumptions!$C$43+Assumptions!$C$44))*(1-Assumptions!$C$75)</f>
        <v>927246.497096234</v>
      </c>
      <c r="H440" s="30" t="n">
        <f aca="false">'Operating Model'!G49-'Operating Model'!G42+'Operating Model'!$B$42*1*(1+Assumptions!$C$18+D$21)^('Operating Model'!G$4-1)+((H439-'Operating Model'!G25)+0)*(1-(Assumptions!$C$42+Assumptions!$C$43+Assumptions!$C$44))*(1-Assumptions!$C$75)</f>
        <v>934826.407527038</v>
      </c>
      <c r="I440" s="30" t="n">
        <f aca="false">H440-'Operating Model'!$B$42*1*(1+Assumptions!$C$18+D$21)^('Operating Model'!G$4-1)</f>
        <v>1209117.41207427</v>
      </c>
    </row>
    <row r="441" customFormat="false" ht="15" hidden="false" customHeight="false" outlineLevel="0" collapsed="false">
      <c r="A441" s="2" t="s">
        <v>865</v>
      </c>
      <c r="B441" s="30" t="n">
        <f aca="false">Assumptions!$C$7*1</f>
        <v>13800000</v>
      </c>
      <c r="C441" s="30" t="n">
        <f aca="false">MAX(0,(Assumptions!$C$124+Assumptions!$C$127)-Assumptions!$C$132*B441)</f>
        <v>0</v>
      </c>
      <c r="D441" s="30" t="n">
        <f aca="false">Assumptions!$C$124-MAX(0,C441-Assumptions!$C$127)</f>
        <v>5887000</v>
      </c>
      <c r="E441" s="30" t="n">
        <f aca="false">Assumptions!$C$127-MIN(C441,Assumptions!$C$127)</f>
        <v>3563000</v>
      </c>
      <c r="F441" s="30" t="n">
        <f aca="false">B441*(1+Assumptions!$C$10)+'Unit Mix'!$D$18*1+(D441+E441)*Assumptions!$C$131-(D441+E441)</f>
        <v>5095290</v>
      </c>
      <c r="G441" s="30" t="n">
        <f aca="false">IF(Assumptions!$C$130=1,D441+E441,-FV(Assumptions!$C$125,Assumptions!$C$126,PMT(Assumptions!$C$125,Assumptions!$C$111,D441),D441)-FV(Assumptions!$C$128,Assumptions!$C$126,PMT(Assumptions!$C$128,Assumptions!$C$111,E441),E441))</f>
        <v>9450000</v>
      </c>
      <c r="H441" s="30" t="n">
        <f aca="false">MIN(INDEX(C440:H440,Assumptions!$C$126+1)/$A$25*Assumptions!$C$108,INDEX(C440:H440,Assumptions!$C$126+1)/(Assumptions!$C$109*-PMT('Debt (Assumed)'!$B$99,Assumptions!$C$111,1)))</f>
        <v>8699030.271278</v>
      </c>
      <c r="I441" s="30" t="n">
        <f aca="false">IF(MAX(0,Assumptions!$C$154-Assumptions!$C$126-'Debt (Assumed)'!$B$100)=0,H441,-FV('Debt (Assumed)'!$B$98,MAX(0,Assumptions!$C$154-Assumptions!$C$126-'Debt (Assumed)'!$B$100),PMT('Debt (Assumed)'!$B$98,Assumptions!$C$111,H441),H441))</f>
        <v>8699030.271278</v>
      </c>
      <c r="J441" s="30" t="n">
        <f aca="false">I441*'Debt (Assumed)'!$B$102</f>
        <v>0</v>
      </c>
      <c r="K441" s="30" t="n">
        <f aca="false">I440/($A$25+Returns!$B$35)*(1-Assumptions!$C$158)-I441-J441</f>
        <v>4743937.09833124</v>
      </c>
      <c r="L441" s="30" t="n">
        <f aca="false">H441*'Debt (Assumed)'!$B$101</f>
        <v>93949.5269298024</v>
      </c>
      <c r="M441" s="30" t="n">
        <f aca="false">(INDEX(C440:H440,Assumptions!$C$126+1)-'Operating Model'!$B$42*1*(1+Assumptions!$C$18+D$21)^Assumptions!$C$126)/($A$25+Returns!$B$35)*(1-Assumptions!$C$158)-G441</f>
        <v>3660819.57196528</v>
      </c>
    </row>
    <row r="442" customFormat="false" ht="15" hidden="false" customHeight="false" outlineLevel="0" collapsed="false">
      <c r="A442" s="2" t="s">
        <v>866</v>
      </c>
      <c r="C442" s="30" t="n">
        <f aca="false">IF('Operating Model'!B$4&lt;=Assumptions!$C$126,IF(Assumptions!$C$130=1,D441*Assumptions!$C$125+E441*Assumptions!$C$128,-PMT(Assumptions!$C$125,Assumptions!$C$111,D441)-PMT(Assumptions!$C$128,Assumptions!$C$111,E441)),IF(Assumptions!$C$136=1,0,IF('Operating Model'!B$4-Assumptions!$C$126&lt;='Debt (Assumed)'!$B$100,H441*'Debt (Assumed)'!$B$98,-PMT('Debt (Assumed)'!$B$98,Assumptions!$C$111,H441))))</f>
        <v>397516</v>
      </c>
      <c r="D442" s="30" t="n">
        <f aca="false">IF('Operating Model'!C$4&lt;=Assumptions!$C$126,IF(Assumptions!$C$130=1,D441*Assumptions!$C$125+E441*Assumptions!$C$128,-PMT(Assumptions!$C$125,Assumptions!$C$111,D441)-PMT(Assumptions!$C$128,Assumptions!$C$111,E441)),IF(Assumptions!$C$136=1,0,IF('Operating Model'!C$4-Assumptions!$C$126&lt;='Debt (Assumed)'!$B$100,H441*'Debt (Assumed)'!$B$98,-PMT('Debt (Assumed)'!$B$98,Assumptions!$C$111,H441))))</f>
        <v>397516</v>
      </c>
      <c r="E442" s="30" t="n">
        <f aca="false">IF('Operating Model'!D$4&lt;=Assumptions!$C$126,IF(Assumptions!$C$130=1,D441*Assumptions!$C$125+E441*Assumptions!$C$128,-PMT(Assumptions!$C$125,Assumptions!$C$111,D441)-PMT(Assumptions!$C$128,Assumptions!$C$111,E441)),IF(Assumptions!$C$136=1,0,IF('Operating Model'!D$4-Assumptions!$C$126&lt;='Debt (Assumed)'!$B$100,H441*'Debt (Assumed)'!$B$98,-PMT('Debt (Assumed)'!$B$98,Assumptions!$C$111,H441))))</f>
        <v>397516</v>
      </c>
      <c r="F442" s="30" t="n">
        <f aca="false">IF('Operating Model'!E$4&lt;=Assumptions!$C$126,IF(Assumptions!$C$130=1,D441*Assumptions!$C$125+E441*Assumptions!$C$128,-PMT(Assumptions!$C$125,Assumptions!$C$111,D441)-PMT(Assumptions!$C$128,Assumptions!$C$111,E441)),IF(Assumptions!$C$136=1,0,IF('Operating Model'!E$4-Assumptions!$C$126&lt;='Debt (Assumed)'!$B$100,H441*'Debt (Assumed)'!$B$98,-PMT('Debt (Assumed)'!$B$98,Assumptions!$C$111,H441))))</f>
        <v>586314.640284137</v>
      </c>
      <c r="G442" s="30" t="n">
        <f aca="false">IF('Operating Model'!F$4&lt;=Assumptions!$C$126,IF(Assumptions!$C$130=1,D441*Assumptions!$C$125+E441*Assumptions!$C$128,-PMT(Assumptions!$C$125,Assumptions!$C$111,D441)-PMT(Assumptions!$C$128,Assumptions!$C$111,E441)),IF(Assumptions!$C$136=1,0,IF('Operating Model'!F$4-Assumptions!$C$126&lt;='Debt (Assumed)'!$B$100,H441*'Debt (Assumed)'!$B$98,-PMT('Debt (Assumed)'!$B$98,Assumptions!$C$111,H441))))</f>
        <v>586314.640284137</v>
      </c>
    </row>
    <row r="443" customFormat="false" ht="15" hidden="false" customHeight="false" outlineLevel="0" collapsed="false">
      <c r="A443" s="2" t="s">
        <v>867</v>
      </c>
      <c r="B443" s="30" t="n">
        <f aca="false">-F441</f>
        <v>-5095290</v>
      </c>
      <c r="C443" s="30" t="n">
        <f aca="false">IF(AND(Assumptions!$C$136=1,'Operating Model'!B$4&gt;Assumptions!$C$126),0,'Operating Model'!B55+(C440-'Operating Model'!B49)-C442-IF('Operating Model'!B$4=Assumptions!$C$126,IF(Assumptions!$C$136=1,-M441,G441-H441+L441),0)+IF(AND(Assumptions!$C$136&lt;&gt;1,'Operating Model'!B$4=Assumptions!$C$154),K441,0))</f>
        <v>451614.438496</v>
      </c>
      <c r="D443" s="30" t="n">
        <f aca="false">IF(AND(Assumptions!$C$136=1,'Operating Model'!C$4&gt;Assumptions!$C$126),0,'Operating Model'!C55+(D440-'Operating Model'!C49)-D442-IF('Operating Model'!C$4=Assumptions!$C$126,IF(Assumptions!$C$136=1,-M441,G441-H441+L441),0)+IF(AND(Assumptions!$C$136&lt;&gt;1,'Operating Model'!C$4=Assumptions!$C$154),K441,0))</f>
        <v>328301.041376455</v>
      </c>
      <c r="E443" s="30" t="n">
        <f aca="false">IF(AND(Assumptions!$C$136=1,'Operating Model'!D$4&gt;Assumptions!$C$126),0,'Operating Model'!D55+(E440-'Operating Model'!D49)-E442-IF('Operating Model'!D$4=Assumptions!$C$126,IF(Assumptions!$C$136=1,-M441,G441-H441+L441),0)+IF(AND(Assumptions!$C$136&lt;&gt;1,'Operating Model'!D$4=Assumptions!$C$154),K441,0))</f>
        <v>-357752.114533679</v>
      </c>
      <c r="F443" s="30" t="n">
        <f aca="false">IF(AND(Assumptions!$C$136=1,'Operating Model'!E$4&gt;Assumptions!$C$126),0,'Operating Model'!E55+(F440-'Operating Model'!E49)-F442-IF('Operating Model'!E$4=Assumptions!$C$126,IF(Assumptions!$C$136=1,-M441,G441-H441+L441),0)+IF(AND(Assumptions!$C$136&lt;&gt;1,'Operating Model'!E$4=Assumptions!$C$154),K441,0))</f>
        <v>302118.723364882</v>
      </c>
      <c r="G443" s="30" t="n">
        <f aca="false">IF(AND(Assumptions!$C$136=1,'Operating Model'!F$4&gt;Assumptions!$C$126),0,'Operating Model'!F55+(G440-'Operating Model'!F49)-G442-IF('Operating Model'!F$4=Assumptions!$C$126,IF(Assumptions!$C$136=1,-M441,G441-H441+L441),0)+IF(AND(Assumptions!$C$136&lt;&gt;1,'Operating Model'!F$4=Assumptions!$C$154),K441,0))</f>
        <v>5051476.03582515</v>
      </c>
      <c r="H443" s="22" t="n">
        <f aca="false">IFERROR(IRR(B443:G443),"N/A")</f>
        <v>0.0278180589848475</v>
      </c>
      <c r="I443" s="24" t="n">
        <f aca="false">SUM(C443:G443)/F441</f>
        <v>1.13354845838584</v>
      </c>
    </row>
    <row r="445" customFormat="false" ht="15" hidden="false" customHeight="false" outlineLevel="0" collapsed="false">
      <c r="A445" s="2" t="s">
        <v>868</v>
      </c>
      <c r="C445" s="30" t="n">
        <f aca="false">'Unit Mix'!$H$6*(1+('Operating Model'!B$6+E$21))</f>
        <v>1573.25</v>
      </c>
      <c r="D445" s="30" t="n">
        <f aca="false">C445*(1+('Operating Model'!C$6+E$21))</f>
        <v>1608.648125</v>
      </c>
      <c r="E445" s="30" t="n">
        <f aca="false">D445*(1+('Operating Model'!D$6+E$21))</f>
        <v>1656.90756875</v>
      </c>
      <c r="F445" s="30" t="n">
        <f aca="false">E445*(1+('Operating Model'!E$6+E$21))</f>
        <v>1714.89933365625</v>
      </c>
      <c r="G445" s="30" t="n">
        <f aca="false">F445*(1+('Operating Model'!F$6+E$21))</f>
        <v>1774.92081033422</v>
      </c>
      <c r="H445" s="30" t="n">
        <f aca="false">G445*(1+('Operating Model'!G$6+E$21))</f>
        <v>1837.04303869592</v>
      </c>
    </row>
    <row r="446" customFormat="false" ht="15" hidden="false" customHeight="false" outlineLevel="0" collapsed="false">
      <c r="A446" s="2" t="s">
        <v>869</v>
      </c>
      <c r="C446" s="30" t="n">
        <f aca="false">'Unit Mix'!$G$6+Assumptions!$C$48*Assumptions!$C$47*(C445-'Unit Mix'!$G$6)</f>
        <v>1486.6125</v>
      </c>
      <c r="D446" s="30" t="n">
        <f aca="false">C446+Assumptions!$C$48*Assumptions!$C$47*(D445-C446)</f>
        <v>1520.172296875</v>
      </c>
      <c r="E446" s="30" t="n">
        <f aca="false">D446+Assumptions!$C$48*Assumptions!$C$47*(E445-D446)</f>
        <v>1557.77449664062</v>
      </c>
      <c r="F446" s="30" t="n">
        <f aca="false">E446+Assumptions!$C$48*Assumptions!$C$47*(F445-E446)</f>
        <v>1600.98382681992</v>
      </c>
      <c r="G446" s="30" t="n">
        <f aca="false">F446+Assumptions!$C$48*Assumptions!$C$47*(G445-F446)</f>
        <v>1648.81649728635</v>
      </c>
      <c r="H446" s="30" t="n">
        <f aca="false">G446+Assumptions!$C$48*Assumptions!$C$47*(H445-G446)</f>
        <v>1700.57879617398</v>
      </c>
    </row>
    <row r="447" customFormat="false" ht="15" hidden="false" customHeight="false" outlineLevel="0" collapsed="false">
      <c r="A447" s="2" t="s">
        <v>870</v>
      </c>
      <c r="C447" s="30" t="n">
        <f aca="false">'Unit Mix'!$H$7*(1+('Operating Model'!B$6+E$21))</f>
        <v>1806.7</v>
      </c>
      <c r="D447" s="30" t="n">
        <f aca="false">C447*(1+('Operating Model'!C$6+E$21))</f>
        <v>1847.35075</v>
      </c>
      <c r="E447" s="30" t="n">
        <f aca="false">D447*(1+('Operating Model'!D$6+E$21))</f>
        <v>1902.7712725</v>
      </c>
      <c r="F447" s="30" t="n">
        <f aca="false">E447*(1+('Operating Model'!E$6+E$21))</f>
        <v>1969.3682670375</v>
      </c>
      <c r="G447" s="30" t="n">
        <f aca="false">F447*(1+('Operating Model'!F$6+E$21))</f>
        <v>2038.29615638381</v>
      </c>
      <c r="H447" s="30" t="n">
        <f aca="false">G447*(1+('Operating Model'!G$6+E$21))</f>
        <v>2109.63652185725</v>
      </c>
    </row>
    <row r="448" customFormat="false" ht="15" hidden="false" customHeight="false" outlineLevel="0" collapsed="false">
      <c r="A448" s="2" t="s">
        <v>871</v>
      </c>
      <c r="C448" s="30" t="n">
        <f aca="false">'Unit Mix'!$G$7+Assumptions!$C$48*Assumptions!$C$47*(C447-'Unit Mix'!$G$7)</f>
        <v>1709.94875</v>
      </c>
      <c r="D448" s="30" t="n">
        <f aca="false">C448+Assumptions!$C$48*Assumptions!$C$47*(D447-C448)</f>
        <v>1747.7343</v>
      </c>
      <c r="E448" s="30" t="n">
        <f aca="false">D448+Assumptions!$C$48*Assumptions!$C$47*(E447-D448)</f>
        <v>1790.3694674375</v>
      </c>
      <c r="F448" s="30" t="n">
        <f aca="false">E448+Assumptions!$C$48*Assumptions!$C$47*(F447-E448)</f>
        <v>1839.5941373275</v>
      </c>
      <c r="G448" s="30" t="n">
        <f aca="false">F448+Assumptions!$C$48*Assumptions!$C$47*(G447-F448)</f>
        <v>1894.23719256799</v>
      </c>
      <c r="H448" s="30" t="n">
        <f aca="false">G448+Assumptions!$C$48*Assumptions!$C$47*(H447-G448)</f>
        <v>1953.47200812253</v>
      </c>
    </row>
    <row r="449" customFormat="false" ht="15" hidden="false" customHeight="false" outlineLevel="0" collapsed="false">
      <c r="A449" s="2" t="s">
        <v>872</v>
      </c>
      <c r="C449" s="30" t="n">
        <f aca="false">'Unit Mix'!$H$8*(1+('Operating Model'!B$6+E$21))</f>
        <v>2080.75</v>
      </c>
      <c r="D449" s="30" t="n">
        <f aca="false">C449*(1+('Operating Model'!C$6+E$21))</f>
        <v>2127.566875</v>
      </c>
      <c r="E449" s="30" t="n">
        <f aca="false">D449*(1+('Operating Model'!D$6+E$21))</f>
        <v>2191.39388125</v>
      </c>
      <c r="F449" s="30" t="n">
        <f aca="false">E449*(1+('Operating Model'!E$6+E$21))</f>
        <v>2268.09266709375</v>
      </c>
      <c r="G449" s="30" t="n">
        <f aca="false">F449*(1+('Operating Model'!F$6+E$21))</f>
        <v>2347.47591044203</v>
      </c>
      <c r="H449" s="30" t="n">
        <f aca="false">G449*(1+('Operating Model'!G$6+E$21))</f>
        <v>2429.6375673075</v>
      </c>
    </row>
    <row r="450" customFormat="false" ht="15" hidden="false" customHeight="false" outlineLevel="0" collapsed="false">
      <c r="A450" s="2" t="s">
        <v>873</v>
      </c>
      <c r="C450" s="30" t="n">
        <f aca="false">'Unit Mix'!$G$8+Assumptions!$C$48*Assumptions!$C$47*(C449-'Unit Mix'!$G$8)</f>
        <v>1969.64375</v>
      </c>
      <c r="D450" s="30" t="n">
        <f aca="false">C450+Assumptions!$C$48*Assumptions!$C$47*(D449-C450)</f>
        <v>2013.072609375</v>
      </c>
      <c r="E450" s="30" t="n">
        <f aca="false">D450+Assumptions!$C$48*Assumptions!$C$47*(E449-D450)</f>
        <v>2062.11095914063</v>
      </c>
      <c r="F450" s="30" t="n">
        <f aca="false">E450+Assumptions!$C$48*Assumptions!$C$47*(F449-E450)</f>
        <v>2118.75592882773</v>
      </c>
      <c r="G450" s="30" t="n">
        <f aca="false">F450+Assumptions!$C$48*Assumptions!$C$47*(G449-F450)</f>
        <v>2181.65392377167</v>
      </c>
      <c r="H450" s="30" t="n">
        <f aca="false">G450+Assumptions!$C$48*Assumptions!$C$47*(H449-G450)</f>
        <v>2249.84942574402</v>
      </c>
    </row>
    <row r="451" customFormat="false" ht="15" hidden="false" customHeight="false" outlineLevel="0" collapsed="false">
      <c r="A451" s="2" t="s">
        <v>874</v>
      </c>
      <c r="C451" s="30" t="n">
        <f aca="false">'Unit Mix'!$H$9*(1+('Operating Model'!B$6+E$21))</f>
        <v>2233</v>
      </c>
      <c r="D451" s="30" t="n">
        <f aca="false">C451*(1+('Operating Model'!C$6+E$21))</f>
        <v>2283.2425</v>
      </c>
      <c r="E451" s="30" t="n">
        <f aca="false">D451*(1+('Operating Model'!D$6+E$21))</f>
        <v>2351.739775</v>
      </c>
      <c r="F451" s="30" t="n">
        <f aca="false">E451*(1+('Operating Model'!E$6+E$21))</f>
        <v>2434.050667125</v>
      </c>
      <c r="G451" s="30" t="n">
        <f aca="false">F451*(1+('Operating Model'!F$6+E$21))</f>
        <v>2519.24244047437</v>
      </c>
      <c r="H451" s="30" t="n">
        <f aca="false">G451*(1+('Operating Model'!G$6+E$21))</f>
        <v>2607.41592589098</v>
      </c>
    </row>
    <row r="452" customFormat="false" ht="15" hidden="false" customHeight="false" outlineLevel="0" collapsed="false">
      <c r="A452" s="2" t="s">
        <v>875</v>
      </c>
      <c r="C452" s="30" t="n">
        <f aca="false">'Unit Mix'!$G$9+Assumptions!$C$48*Assumptions!$C$47*(C451-'Unit Mix'!$G$9)</f>
        <v>2113.91875</v>
      </c>
      <c r="D452" s="30" t="n">
        <f aca="false">C452+Assumptions!$C$48*Assumptions!$C$47*(D451-C452)</f>
        <v>2160.48278125</v>
      </c>
      <c r="E452" s="30" t="n">
        <f aca="false">D452+Assumptions!$C$48*Assumptions!$C$47*(E451-D452)</f>
        <v>2213.07845453125</v>
      </c>
      <c r="F452" s="30" t="n">
        <f aca="false">E452+Assumptions!$C$48*Assumptions!$C$47*(F451-E452)</f>
        <v>2273.84581299453</v>
      </c>
      <c r="G452" s="30" t="n">
        <f aca="false">F452+Assumptions!$C$48*Assumptions!$C$47*(G451-F452)</f>
        <v>2341.32988555149</v>
      </c>
      <c r="H452" s="30" t="n">
        <f aca="false">G452+Assumptions!$C$48*Assumptions!$C$47*(H451-G452)</f>
        <v>2414.50354664485</v>
      </c>
    </row>
    <row r="453" customFormat="false" ht="15" hidden="false" customHeight="false" outlineLevel="0" collapsed="false">
      <c r="A453" s="2" t="s">
        <v>876</v>
      </c>
      <c r="C453" s="30" t="n">
        <f aca="false">('Unit Mix'!$C$6*('Unit Mix'!$F$6*(1-Assumptions!$C$39)+(C445+Assumptions!$C$37)*Assumptions!$C$39)+'Unit Mix'!$D$6*C446+'Unit Mix'!$C$7*('Unit Mix'!$F$7*(1-Assumptions!$C$39)+(C447+Assumptions!$C$37)*Assumptions!$C$39)+'Unit Mix'!$D$7*C448+'Unit Mix'!$C$8*('Unit Mix'!$F$8*(1-Assumptions!$C$39)+(C449+Assumptions!$C$37)*Assumptions!$C$39)+'Unit Mix'!$D$8*C450+'Unit Mix'!$C$9*('Unit Mix'!$F$9*(1-Assumptions!$C$39)+(C451+Assumptions!$C$37)*Assumptions!$C$39)+'Unit Mix'!$D$9*C452)*12</f>
        <v>2020542.255</v>
      </c>
      <c r="D453" s="30" t="n">
        <f aca="false">('Unit Mix'!$C$6*(D445+Assumptions!$C$37)+'Unit Mix'!$D$6*D446+'Unit Mix'!$C$7*(D447+Assumptions!$C$37)+'Unit Mix'!$D$7*D448+'Unit Mix'!$C$8*(D449+Assumptions!$C$37)+'Unit Mix'!$D$8*D450+'Unit Mix'!$C$9*(D451+Assumptions!$C$37)+'Unit Mix'!$D$9*D452)*12</f>
        <v>2115428.0952375</v>
      </c>
      <c r="E453" s="30" t="n">
        <f aca="false">('Unit Mix'!$C$6*(E445+Assumptions!$C$37)+'Unit Mix'!$D$6*E446+'Unit Mix'!$C$7*(E447+Assumptions!$C$37)+'Unit Mix'!$D$7*E448+'Unit Mix'!$C$8*(E449+Assumptions!$C$37)+'Unit Mix'!$D$8*E450+'Unit Mix'!$C$9*(E451+Assumptions!$C$37)+'Unit Mix'!$D$9*E452)*12</f>
        <v>2170134.86738306</v>
      </c>
      <c r="F453" s="30" t="n">
        <f aca="false">('Unit Mix'!$C$6*(F445+Assumptions!$C$37)+'Unit Mix'!$D$6*F446+'Unit Mix'!$C$7*(F447+Assumptions!$C$37)+'Unit Mix'!$D$7*F448+'Unit Mix'!$C$8*(F449+Assumptions!$C$37)+'Unit Mix'!$D$8*F450+'Unit Mix'!$C$9*(F451+Assumptions!$C$37)+'Unit Mix'!$D$9*F452)*12</f>
        <v>2234036.40618041</v>
      </c>
      <c r="G453" s="30" t="n">
        <f aca="false">('Unit Mix'!$C$6*(G445+Assumptions!$C$37)+'Unit Mix'!$D$6*G446+'Unit Mix'!$C$7*(G447+Assumptions!$C$37)+'Unit Mix'!$D$7*G448+'Unit Mix'!$C$8*(G449+Assumptions!$C$37)+'Unit Mix'!$D$8*G450+'Unit Mix'!$C$9*(G451+Assumptions!$C$37)+'Unit Mix'!$D$9*G452)*12</f>
        <v>2303489.12376496</v>
      </c>
      <c r="H453" s="30" t="n">
        <f aca="false">('Unit Mix'!$C$6*(H445+Assumptions!$C$37)+'Unit Mix'!$D$6*H446+'Unit Mix'!$C$7*(H447+Assumptions!$C$37)+'Unit Mix'!$D$7*H448+'Unit Mix'!$C$8*(H449+Assumptions!$C$37)+'Unit Mix'!$D$8*H450+'Unit Mix'!$C$9*(H451+Assumptions!$C$37)+'Unit Mix'!$D$9*H452)*12</f>
        <v>2377775.78953871</v>
      </c>
    </row>
    <row r="454" customFormat="false" ht="15" hidden="false" customHeight="false" outlineLevel="0" collapsed="false">
      <c r="A454" s="2" t="s">
        <v>877</v>
      </c>
      <c r="C454" s="30" t="n">
        <f aca="false">'Operating Model'!B49-'Operating Model'!B42+'Operating Model'!$B$42*1*(1+Assumptions!$C$18+E$21)^('Operating Model'!B$4-1)+((C453-'Operating Model'!B25)+0)*(1-(Assumptions!$C$42+Assumptions!$C$43+Assumptions!$C$44))*(1-Assumptions!$C$75)</f>
        <v>881345.670989</v>
      </c>
      <c r="D454" s="30" t="n">
        <f aca="false">'Operating Model'!C49-'Operating Model'!C42+'Operating Model'!$B$42*1*(1+Assumptions!$C$18+E$21)^('Operating Model'!C$4-1)+((D453-'Operating Model'!C25)+0)*(1-(Assumptions!$C$42+Assumptions!$C$43+Assumptions!$C$44))*(1-Assumptions!$C$75)</f>
        <v>924857.259628853</v>
      </c>
      <c r="E454" s="30" t="n">
        <f aca="false">'Operating Model'!D49-'Operating Model'!D42+'Operating Model'!$B$42*1*(1+Assumptions!$C$18+E$21)^('Operating Model'!D$4-1)+((E453-'Operating Model'!D25)+0)*(1-(Assumptions!$C$42+Assumptions!$C$43+Assumptions!$C$44))*(1-Assumptions!$C$75)</f>
        <v>930663.458546298</v>
      </c>
      <c r="F454" s="30" t="n">
        <f aca="false">'Operating Model'!E49-'Operating Model'!E42+'Operating Model'!$B$42*1*(1+Assumptions!$C$18+E$21)^('Operating Model'!E$4-1)+((F453-'Operating Model'!E25)+0)*(1-(Assumptions!$C$42+Assumptions!$C$43+Assumptions!$C$44))*(1-Assumptions!$C$75)</f>
        <v>942484.914311808</v>
      </c>
      <c r="G454" s="30" t="n">
        <f aca="false">'Operating Model'!F49-'Operating Model'!F42+'Operating Model'!$B$42*1*(1+Assumptions!$C$18+E$21)^('Operating Model'!F$4-1)+((G453-'Operating Model'!F25)+0)*(1-(Assumptions!$C$42+Assumptions!$C$43+Assumptions!$C$44))*(1-Assumptions!$C$75)</f>
        <v>956966.501547713</v>
      </c>
      <c r="H454" s="30" t="n">
        <f aca="false">'Operating Model'!G49-'Operating Model'!G42+'Operating Model'!$B$42*1*(1+Assumptions!$C$18+E$21)^('Operating Model'!G$4-1)+((H453-'Operating Model'!G25)+0)*(1-(Assumptions!$C$42+Assumptions!$C$43+Assumptions!$C$44))*(1-Assumptions!$C$75)</f>
        <v>973343.765090856</v>
      </c>
      <c r="I454" s="30" t="n">
        <f aca="false">H454-'Operating Model'!$B$42*1*(1+Assumptions!$C$18+E$21)^('Operating Model'!G$4-1)</f>
        <v>1254357.26921807</v>
      </c>
    </row>
    <row r="455" customFormat="false" ht="15" hidden="false" customHeight="false" outlineLevel="0" collapsed="false">
      <c r="A455" s="2" t="s">
        <v>878</v>
      </c>
      <c r="B455" s="30" t="n">
        <f aca="false">Assumptions!$C$7*1</f>
        <v>13800000</v>
      </c>
      <c r="C455" s="30" t="n">
        <f aca="false">MAX(0,(Assumptions!$C$124+Assumptions!$C$127)-Assumptions!$C$132*B455)</f>
        <v>0</v>
      </c>
      <c r="D455" s="30" t="n">
        <f aca="false">Assumptions!$C$124-MAX(0,C455-Assumptions!$C$127)</f>
        <v>5887000</v>
      </c>
      <c r="E455" s="30" t="n">
        <f aca="false">Assumptions!$C$127-MIN(C455,Assumptions!$C$127)</f>
        <v>3563000</v>
      </c>
      <c r="F455" s="30" t="n">
        <f aca="false">B455*(1+Assumptions!$C$10)+'Unit Mix'!$D$18*1+(D455+E455)*Assumptions!$C$131-(D455+E455)</f>
        <v>5095290</v>
      </c>
      <c r="G455" s="30" t="n">
        <f aca="false">IF(Assumptions!$C$130=1,D455+E455,-FV(Assumptions!$C$125,Assumptions!$C$126,PMT(Assumptions!$C$125,Assumptions!$C$111,D455),D455)-FV(Assumptions!$C$128,Assumptions!$C$126,PMT(Assumptions!$C$128,Assumptions!$C$111,E455),E455))</f>
        <v>9450000</v>
      </c>
      <c r="H455" s="30" t="n">
        <f aca="false">MIN(INDEX(C454:H454,Assumptions!$C$126+1)/$A$25*Assumptions!$C$108,INDEX(C454:H454,Assumptions!$C$126+1)/(Assumptions!$C$109*-PMT('Debt (Assumed)'!$B$99,Assumptions!$C$111,1)))</f>
        <v>8904888.71000523</v>
      </c>
      <c r="I455" s="30" t="n">
        <f aca="false">IF(MAX(0,Assumptions!$C$154-Assumptions!$C$126-'Debt (Assumed)'!$B$100)=0,H455,-FV('Debt (Assumed)'!$B$98,MAX(0,Assumptions!$C$154-Assumptions!$C$126-'Debt (Assumed)'!$B$100),PMT('Debt (Assumed)'!$B$98,Assumptions!$C$111,H455),H455))</f>
        <v>8904888.71000523</v>
      </c>
      <c r="J455" s="30" t="n">
        <f aca="false">I455*'Debt (Assumed)'!$B$102</f>
        <v>0</v>
      </c>
      <c r="K455" s="30" t="n">
        <f aca="false">I454/($A$25+Returns!$B$35)*(1-Assumptions!$C$158)-I455-J455</f>
        <v>5041055.39066154</v>
      </c>
      <c r="L455" s="30" t="n">
        <f aca="false">H455*'Debt (Assumed)'!$B$101</f>
        <v>96172.7980680565</v>
      </c>
      <c r="M455" s="30" t="n">
        <f aca="false">(INDEX(C454:H454,Assumptions!$C$126+1)-'Operating Model'!$B$42*1*(1+Assumptions!$C$18+E$21)^Assumptions!$C$126)/($A$25+Returns!$B$35)*(1-Assumptions!$C$158)-G455</f>
        <v>3945122.33844189</v>
      </c>
    </row>
    <row r="456" customFormat="false" ht="15" hidden="false" customHeight="false" outlineLevel="0" collapsed="false">
      <c r="A456" s="2" t="s">
        <v>879</v>
      </c>
      <c r="C456" s="30" t="n">
        <f aca="false">IF('Operating Model'!B$4&lt;=Assumptions!$C$126,IF(Assumptions!$C$130=1,D455*Assumptions!$C$125+E455*Assumptions!$C$128,-PMT(Assumptions!$C$125,Assumptions!$C$111,D455)-PMT(Assumptions!$C$128,Assumptions!$C$111,E455)),IF(Assumptions!$C$136=1,0,IF('Operating Model'!B$4-Assumptions!$C$126&lt;='Debt (Assumed)'!$B$100,H455*'Debt (Assumed)'!$B$98,-PMT('Debt (Assumed)'!$B$98,Assumptions!$C$111,H455))))</f>
        <v>397516</v>
      </c>
      <c r="D456" s="30" t="n">
        <f aca="false">IF('Operating Model'!C$4&lt;=Assumptions!$C$126,IF(Assumptions!$C$130=1,D455*Assumptions!$C$125+E455*Assumptions!$C$128,-PMT(Assumptions!$C$125,Assumptions!$C$111,D455)-PMT(Assumptions!$C$128,Assumptions!$C$111,E455)),IF(Assumptions!$C$136=1,0,IF('Operating Model'!C$4-Assumptions!$C$126&lt;='Debt (Assumed)'!$B$100,H455*'Debt (Assumed)'!$B$98,-PMT('Debt (Assumed)'!$B$98,Assumptions!$C$111,H455))))</f>
        <v>397516</v>
      </c>
      <c r="E456" s="30" t="n">
        <f aca="false">IF('Operating Model'!D$4&lt;=Assumptions!$C$126,IF(Assumptions!$C$130=1,D455*Assumptions!$C$125+E455*Assumptions!$C$128,-PMT(Assumptions!$C$125,Assumptions!$C$111,D455)-PMT(Assumptions!$C$128,Assumptions!$C$111,E455)),IF(Assumptions!$C$136=1,0,IF('Operating Model'!D$4-Assumptions!$C$126&lt;='Debt (Assumed)'!$B$100,H455*'Debt (Assumed)'!$B$98,-PMT('Debt (Assumed)'!$B$98,Assumptions!$C$111,H455))))</f>
        <v>397516</v>
      </c>
      <c r="F456" s="30" t="n">
        <f aca="false">IF('Operating Model'!E$4&lt;=Assumptions!$C$126,IF(Assumptions!$C$130=1,D455*Assumptions!$C$125+E455*Assumptions!$C$128,-PMT(Assumptions!$C$125,Assumptions!$C$111,D455)-PMT(Assumptions!$C$128,Assumptions!$C$111,E455)),IF(Assumptions!$C$136=1,0,IF('Operating Model'!E$4-Assumptions!$C$126&lt;='Debt (Assumed)'!$B$100,H455*'Debt (Assumed)'!$B$98,-PMT('Debt (Assumed)'!$B$98,Assumptions!$C$111,H455))))</f>
        <v>600189.499054352</v>
      </c>
      <c r="G456" s="30" t="n">
        <f aca="false">IF('Operating Model'!F$4&lt;=Assumptions!$C$126,IF(Assumptions!$C$130=1,D455*Assumptions!$C$125+E455*Assumptions!$C$128,-PMT(Assumptions!$C$125,Assumptions!$C$111,D455)-PMT(Assumptions!$C$128,Assumptions!$C$111,E455)),IF(Assumptions!$C$136=1,0,IF('Operating Model'!F$4-Assumptions!$C$126&lt;='Debt (Assumed)'!$B$100,H455*'Debt (Assumed)'!$B$98,-PMT('Debt (Assumed)'!$B$98,Assumptions!$C$111,H455))))</f>
        <v>600189.499054352</v>
      </c>
    </row>
    <row r="457" customFormat="false" ht="15" hidden="false" customHeight="false" outlineLevel="0" collapsed="false">
      <c r="A457" s="2" t="s">
        <v>880</v>
      </c>
      <c r="B457" s="30" t="n">
        <f aca="false">-F455</f>
        <v>-5095290</v>
      </c>
      <c r="C457" s="30" t="n">
        <f aca="false">IF(AND(Assumptions!$C$136=1,'Operating Model'!B$4&gt;Assumptions!$C$126),0,'Operating Model'!B55+(C454-'Operating Model'!B49)-C456-IF('Operating Model'!B$4=Assumptions!$C$126,IF(Assumptions!$C$136=1,-M455,G455-H455+L455),0)+IF(AND(Assumptions!$C$136&lt;&gt;1,'Operating Model'!B$4=Assumptions!$C$154),K455,0))</f>
        <v>454729.670989</v>
      </c>
      <c r="D457" s="30" t="n">
        <f aca="false">IF(AND(Assumptions!$C$136=1,'Operating Model'!C$4&gt;Assumptions!$C$126),0,'Operating Model'!C55+(D454-'Operating Model'!C49)-D456-IF('Operating Model'!C$4=Assumptions!$C$126,IF(Assumptions!$C$136=1,-M455,G455-H455+L455),0)+IF(AND(Assumptions!$C$136&lt;&gt;1,'Operating Model'!C$4=Assumptions!$C$154),K455,0))</f>
        <v>337222.759628853</v>
      </c>
      <c r="E457" s="30" t="n">
        <f aca="false">IF(AND(Assumptions!$C$136=1,'Operating Model'!D$4&gt;Assumptions!$C$126),0,'Operating Model'!D55+(E454-'Operating Model'!D49)-E456-IF('Operating Model'!D$4=Assumptions!$C$126,IF(Assumptions!$C$136=1,-M455,G455-H455+L455),0)+IF(AND(Assumptions!$C$136&lt;&gt;1,'Operating Model'!D$4=Assumptions!$C$154),K455,0))</f>
        <v>-139309.277016531</v>
      </c>
      <c r="F457" s="30" t="n">
        <f aca="false">IF(AND(Assumptions!$C$136=1,'Operating Model'!E$4&gt;Assumptions!$C$126),0,'Operating Model'!E55+(F454-'Operating Model'!E49)-F456-IF('Operating Model'!E$4=Assumptions!$C$126,IF(Assumptions!$C$136=1,-M455,G455-H455+L455),0)+IF(AND(Assumptions!$C$136&lt;&gt;1,'Operating Model'!E$4=Assumptions!$C$154),K455,0))</f>
        <v>310031.725094956</v>
      </c>
      <c r="G457" s="30" t="n">
        <f aca="false">IF(AND(Assumptions!$C$136=1,'Operating Model'!F$4&gt;Assumptions!$C$126),0,'Operating Model'!F55+(G454-'Operating Model'!F49)-G456-IF('Operating Model'!F$4=Assumptions!$C$126,IF(Assumptions!$C$136=1,-M455,G455-H455+L455),0)+IF(AND(Assumptions!$C$136&lt;&gt;1,'Operating Model'!F$4=Assumptions!$C$154),K455,0))</f>
        <v>5364439.47383671</v>
      </c>
      <c r="H457" s="22" t="n">
        <f aca="false">IFERROR(IRR(B457:G457),"N/A")</f>
        <v>0.0491497539749557</v>
      </c>
      <c r="I457" s="24" t="n">
        <f aca="false">SUM(C457:G457)/F455</f>
        <v>1.24175745689313</v>
      </c>
    </row>
    <row r="459" customFormat="false" ht="15" hidden="false" customHeight="false" outlineLevel="0" collapsed="false">
      <c r="A459" s="2" t="s">
        <v>881</v>
      </c>
      <c r="C459" s="30" t="n">
        <f aca="false">'Unit Mix'!$H$6*(1+('Operating Model'!B$6+F$21))</f>
        <v>1581</v>
      </c>
      <c r="D459" s="30" t="n">
        <f aca="false">C459*(1+('Operating Model'!C$6+F$21))</f>
        <v>1624.4775</v>
      </c>
      <c r="E459" s="30" t="n">
        <f aca="false">D459*(1+('Operating Model'!D$6+F$21))</f>
        <v>1681.3342125</v>
      </c>
      <c r="F459" s="30" t="n">
        <f aca="false">E459*(1+('Operating Model'!E$6+F$21))</f>
        <v>1748.587581</v>
      </c>
      <c r="G459" s="30" t="n">
        <f aca="false">F459*(1+('Operating Model'!F$6+F$21))</f>
        <v>1818.53108424</v>
      </c>
      <c r="H459" s="30" t="n">
        <f aca="false">G459*(1+('Operating Model'!G$6+F$21))</f>
        <v>1891.2723276096</v>
      </c>
    </row>
    <row r="460" customFormat="false" ht="15" hidden="false" customHeight="false" outlineLevel="0" collapsed="false">
      <c r="A460" s="2" t="s">
        <v>882</v>
      </c>
      <c r="C460" s="30" t="n">
        <f aca="false">'Unit Mix'!$G$6+Assumptions!$C$48*Assumptions!$C$47*(C459-'Unit Mix'!$G$6)</f>
        <v>1488.74375</v>
      </c>
      <c r="D460" s="30" t="n">
        <f aca="false">C460+Assumptions!$C$48*Assumptions!$C$47*(D459-C460)</f>
        <v>1526.07053125</v>
      </c>
      <c r="E460" s="30" t="n">
        <f aca="false">D460+Assumptions!$C$48*Assumptions!$C$47*(E459-D460)</f>
        <v>1568.76804359375</v>
      </c>
      <c r="F460" s="30" t="n">
        <f aca="false">E460+Assumptions!$C$48*Assumptions!$C$47*(F459-E460)</f>
        <v>1618.21841638047</v>
      </c>
      <c r="G460" s="30" t="n">
        <f aca="false">F460+Assumptions!$C$48*Assumptions!$C$47*(G459-F460)</f>
        <v>1673.30440004184</v>
      </c>
      <c r="H460" s="30" t="n">
        <f aca="false">G460+Assumptions!$C$48*Assumptions!$C$47*(H459-G460)</f>
        <v>1733.24558012297</v>
      </c>
    </row>
    <row r="461" customFormat="false" ht="15" hidden="false" customHeight="false" outlineLevel="0" collapsed="false">
      <c r="A461" s="2" t="s">
        <v>883</v>
      </c>
      <c r="C461" s="30" t="n">
        <f aca="false">'Unit Mix'!$H$7*(1+('Operating Model'!B$6+F$21))</f>
        <v>1815.6</v>
      </c>
      <c r="D461" s="30" t="n">
        <f aca="false">C461*(1+('Operating Model'!C$6+F$21))</f>
        <v>1865.529</v>
      </c>
      <c r="E461" s="30" t="n">
        <f aca="false">D461*(1+('Operating Model'!D$6+F$21))</f>
        <v>1930.822515</v>
      </c>
      <c r="F461" s="30" t="n">
        <f aca="false">E461*(1+('Operating Model'!E$6+F$21))</f>
        <v>2008.0554156</v>
      </c>
      <c r="G461" s="30" t="n">
        <f aca="false">F461*(1+('Operating Model'!F$6+F$21))</f>
        <v>2088.377632224</v>
      </c>
      <c r="H461" s="30" t="n">
        <f aca="false">G461*(1+('Operating Model'!G$6+F$21))</f>
        <v>2171.91273751296</v>
      </c>
    </row>
    <row r="462" customFormat="false" ht="15" hidden="false" customHeight="false" outlineLevel="0" collapsed="false">
      <c r="A462" s="2" t="s">
        <v>884</v>
      </c>
      <c r="C462" s="30" t="n">
        <f aca="false">'Unit Mix'!$G$7+Assumptions!$C$48*Assumptions!$C$47*(C461-'Unit Mix'!$G$7)</f>
        <v>1712.39625</v>
      </c>
      <c r="D462" s="30" t="n">
        <f aca="false">C462+Assumptions!$C$48*Assumptions!$C$47*(D461-C462)</f>
        <v>1754.50775625</v>
      </c>
      <c r="E462" s="30" t="n">
        <f aca="false">D462+Assumptions!$C$48*Assumptions!$C$47*(E461-D462)</f>
        <v>1802.99431490625</v>
      </c>
      <c r="F462" s="30" t="n">
        <f aca="false">E462+Assumptions!$C$48*Assumptions!$C$47*(F461-E462)</f>
        <v>1859.38611759703</v>
      </c>
      <c r="G462" s="30" t="n">
        <f aca="false">F462+Assumptions!$C$48*Assumptions!$C$47*(G461-F462)</f>
        <v>1922.35878411945</v>
      </c>
      <c r="H462" s="30" t="n">
        <f aca="false">G462+Assumptions!$C$48*Assumptions!$C$47*(H461-G462)</f>
        <v>1990.98612130266</v>
      </c>
    </row>
    <row r="463" customFormat="false" ht="15" hidden="false" customHeight="false" outlineLevel="0" collapsed="false">
      <c r="A463" s="2" t="s">
        <v>885</v>
      </c>
      <c r="C463" s="30" t="n">
        <f aca="false">'Unit Mix'!$H$8*(1+('Operating Model'!B$6+F$21))</f>
        <v>2091</v>
      </c>
      <c r="D463" s="30" t="n">
        <f aca="false">C463*(1+('Operating Model'!C$6+F$21))</f>
        <v>2148.5025</v>
      </c>
      <c r="E463" s="30" t="n">
        <f aca="false">D463*(1+('Operating Model'!D$6+F$21))</f>
        <v>2223.7000875</v>
      </c>
      <c r="F463" s="30" t="n">
        <f aca="false">E463*(1+('Operating Model'!E$6+F$21))</f>
        <v>2312.648091</v>
      </c>
      <c r="G463" s="30" t="n">
        <f aca="false">F463*(1+('Operating Model'!F$6+F$21))</f>
        <v>2405.15401464</v>
      </c>
      <c r="H463" s="30" t="n">
        <f aca="false">G463*(1+('Operating Model'!G$6+F$21))</f>
        <v>2501.3601752256</v>
      </c>
    </row>
    <row r="464" customFormat="false" ht="15" hidden="false" customHeight="false" outlineLevel="0" collapsed="false">
      <c r="A464" s="2" t="s">
        <v>886</v>
      </c>
      <c r="C464" s="30" t="n">
        <f aca="false">'Unit Mix'!$G$8+Assumptions!$C$48*Assumptions!$C$47*(C463-'Unit Mix'!$G$8)</f>
        <v>1972.4625</v>
      </c>
      <c r="D464" s="30" t="n">
        <f aca="false">C464+Assumptions!$C$48*Assumptions!$C$47*(D463-C464)</f>
        <v>2020.8735</v>
      </c>
      <c r="E464" s="30" t="n">
        <f aca="false">D464+Assumptions!$C$48*Assumptions!$C$47*(E463-D464)</f>
        <v>2076.6508115625</v>
      </c>
      <c r="F464" s="30" t="n">
        <f aca="false">E464+Assumptions!$C$48*Assumptions!$C$47*(F463-E464)</f>
        <v>2141.55006340781</v>
      </c>
      <c r="G464" s="30" t="n">
        <f aca="false">F464+Assumptions!$C$48*Assumptions!$C$47*(G463-F464)</f>
        <v>2214.04114999666</v>
      </c>
      <c r="H464" s="30" t="n">
        <f aca="false">G464+Assumptions!$C$48*Assumptions!$C$47*(H463-G464)</f>
        <v>2293.05388193462</v>
      </c>
    </row>
    <row r="465" customFormat="false" ht="15" hidden="false" customHeight="false" outlineLevel="0" collapsed="false">
      <c r="A465" s="2" t="s">
        <v>887</v>
      </c>
      <c r="C465" s="30" t="n">
        <f aca="false">'Unit Mix'!$H$9*(1+('Operating Model'!B$6+F$21))</f>
        <v>2244</v>
      </c>
      <c r="D465" s="30" t="n">
        <f aca="false">C465*(1+('Operating Model'!C$6+F$21))</f>
        <v>2305.71</v>
      </c>
      <c r="E465" s="30" t="n">
        <f aca="false">D465*(1+('Operating Model'!D$6+F$21))</f>
        <v>2386.40985</v>
      </c>
      <c r="F465" s="30" t="n">
        <f aca="false">E465*(1+('Operating Model'!E$6+F$21))</f>
        <v>2481.866244</v>
      </c>
      <c r="G465" s="30" t="n">
        <f aca="false">F465*(1+('Operating Model'!F$6+F$21))</f>
        <v>2581.14089376</v>
      </c>
      <c r="H465" s="30" t="n">
        <f aca="false">G465*(1+('Operating Model'!G$6+F$21))</f>
        <v>2684.3865295104</v>
      </c>
    </row>
    <row r="466" customFormat="false" ht="15" hidden="false" customHeight="false" outlineLevel="0" collapsed="false">
      <c r="A466" s="2" t="s">
        <v>888</v>
      </c>
      <c r="C466" s="30" t="n">
        <f aca="false">'Unit Mix'!$G$9+Assumptions!$C$48*Assumptions!$C$47*(C465-'Unit Mix'!$G$9)</f>
        <v>2116.94375</v>
      </c>
      <c r="D466" s="30" t="n">
        <f aca="false">C466+Assumptions!$C$48*Assumptions!$C$47*(D465-C466)</f>
        <v>2168.85446875</v>
      </c>
      <c r="E466" s="30" t="n">
        <f aca="false">D466+Assumptions!$C$48*Assumptions!$C$47*(E465-D466)</f>
        <v>2228.68219859375</v>
      </c>
      <c r="F466" s="30" t="n">
        <f aca="false">E466+Assumptions!$C$48*Assumptions!$C$47*(F465-E466)</f>
        <v>2298.30781108047</v>
      </c>
      <c r="G466" s="30" t="n">
        <f aca="false">F466+Assumptions!$C$48*Assumptions!$C$47*(G465-F466)</f>
        <v>2376.08690881734</v>
      </c>
      <c r="H466" s="30" t="n">
        <f aca="false">G466+Assumptions!$C$48*Assumptions!$C$47*(H465-G466)</f>
        <v>2460.86930450793</v>
      </c>
    </row>
    <row r="467" customFormat="false" ht="15" hidden="false" customHeight="false" outlineLevel="0" collapsed="false">
      <c r="A467" s="2" t="s">
        <v>889</v>
      </c>
      <c r="C467" s="30" t="n">
        <f aca="false">('Unit Mix'!$C$6*('Unit Mix'!$F$6*(1-Assumptions!$C$39)+(C459+Assumptions!$C$37)*Assumptions!$C$39)+'Unit Mix'!$D$6*C460+'Unit Mix'!$C$7*('Unit Mix'!$F$7*(1-Assumptions!$C$39)+(C461+Assumptions!$C$37)*Assumptions!$C$39)+'Unit Mix'!$D$7*C462+'Unit Mix'!$C$8*('Unit Mix'!$F$8*(1-Assumptions!$C$39)+(C463+Assumptions!$C$37)*Assumptions!$C$39)+'Unit Mix'!$D$8*C464+'Unit Mix'!$C$9*('Unit Mix'!$F$9*(1-Assumptions!$C$39)+(C465+Assumptions!$C$37)*Assumptions!$C$39)+'Unit Mix'!$D$9*C466)*12</f>
        <v>2024051.19</v>
      </c>
      <c r="D467" s="30" t="n">
        <f aca="false">('Unit Mix'!$C$6*(D459+Assumptions!$C$37)+'Unit Mix'!$D$6*D460+'Unit Mix'!$C$7*(D461+Assumptions!$C$37)+'Unit Mix'!$D$7*D462+'Unit Mix'!$C$8*(D463+Assumptions!$C$37)+'Unit Mix'!$D$8*D464+'Unit Mix'!$C$9*(D465+Assumptions!$C$37)+'Unit Mix'!$D$9*D466)*12</f>
        <v>2126858.0151</v>
      </c>
      <c r="E467" s="30" t="n">
        <f aca="false">('Unit Mix'!$C$6*(E459+Assumptions!$C$37)+'Unit Mix'!$D$6*E460+'Unit Mix'!$C$7*(E461+Assumptions!$C$37)+'Unit Mix'!$D$7*E462+'Unit Mix'!$C$8*(E463+Assumptions!$C$37)+'Unit Mix'!$D$8*E464+'Unit Mix'!$C$9*(E465+Assumptions!$C$37)+'Unit Mix'!$D$9*E466)*12</f>
        <v>2189729.26227975</v>
      </c>
      <c r="F467" s="30" t="n">
        <f aca="false">('Unit Mix'!$C$6*(F459+Assumptions!$C$37)+'Unit Mix'!$D$6*F460+'Unit Mix'!$C$7*(F461+Assumptions!$C$37)+'Unit Mix'!$D$7*F462+'Unit Mix'!$C$8*(F463+Assumptions!$C$37)+'Unit Mix'!$D$8*F464+'Unit Mix'!$C$9*(F465+Assumptions!$C$37)+'Unit Mix'!$D$9*F466)*12</f>
        <v>2263203.92124911</v>
      </c>
      <c r="G467" s="30" t="n">
        <f aca="false">('Unit Mix'!$C$6*(G459+Assumptions!$C$37)+'Unit Mix'!$D$6*G460+'Unit Mix'!$C$7*(G461+Assumptions!$C$37)+'Unit Mix'!$D$7*G462+'Unit Mix'!$C$8*(G463+Assumptions!$C$37)+'Unit Mix'!$D$8*G464+'Unit Mix'!$C$9*(G465+Assumptions!$C$37)+'Unit Mix'!$D$9*G466)*12</f>
        <v>2343499.05724575</v>
      </c>
      <c r="H467" s="30" t="n">
        <f aca="false">('Unit Mix'!$C$6*(H459+Assumptions!$C$37)+'Unit Mix'!$D$6*H460+'Unit Mix'!$C$7*(H461+Assumptions!$C$37)+'Unit Mix'!$D$7*H462+'Unit Mix'!$C$8*(H463+Assumptions!$C$37)+'Unit Mix'!$D$8*H464+'Unit Mix'!$C$9*(H465+Assumptions!$C$37)+'Unit Mix'!$D$9*H466)*12</f>
        <v>2429820.07941691</v>
      </c>
    </row>
    <row r="468" customFormat="false" ht="15" hidden="false" customHeight="false" outlineLevel="0" collapsed="false">
      <c r="A468" s="2" t="s">
        <v>890</v>
      </c>
      <c r="C468" s="30" t="n">
        <f aca="false">'Operating Model'!B49-'Operating Model'!B42+'Operating Model'!$B$42*1*(1+Assumptions!$C$18+F$21)^('Operating Model'!B$4-1)+((C467-'Operating Model'!B25)+0)*(1-(Assumptions!$C$42+Assumptions!$C$43+Assumptions!$C$44))*(1-Assumptions!$C$75)</f>
        <v>884460.903482</v>
      </c>
      <c r="D468" s="30" t="n">
        <f aca="false">'Operating Model'!C49-'Operating Model'!C42+'Operating Model'!$B$42*1*(1+Assumptions!$C$18+F$21)^('Operating Model'!C$4-1)+((D467-'Operating Model'!C25)+0)*(1-(Assumptions!$C$42+Assumptions!$C$43+Assumptions!$C$44))*(1-Assumptions!$C$75)</f>
        <v>933821.71333278</v>
      </c>
      <c r="E468" s="30" t="n">
        <f aca="false">'Operating Model'!D49-'Operating Model'!D42+'Operating Model'!$B$42*1*(1+Assumptions!$C$18+F$21)^('Operating Model'!D$4-1)+((E467-'Operating Model'!D25)+0)*(1-(Assumptions!$C$42+Assumptions!$C$43+Assumptions!$C$44))*(1-Assumptions!$C$75)</f>
        <v>945604.576849327</v>
      </c>
      <c r="F468" s="30" t="n">
        <f aca="false">'Operating Model'!E49-'Operating Model'!E42+'Operating Model'!$B$42*1*(1+Assumptions!$C$18+F$21)^('Operating Model'!E$4-1)+((F467-'Operating Model'!E25)+0)*(1-(Assumptions!$C$42+Assumptions!$C$43+Assumptions!$C$44))*(1-Assumptions!$C$75)</f>
        <v>964559.566882887</v>
      </c>
      <c r="G468" s="30" t="n">
        <f aca="false">'Operating Model'!F49-'Operating Model'!F42+'Operating Model'!$B$42*1*(1+Assumptions!$C$18+F$21)^('Operating Model'!F$4-1)+((G467-'Operating Model'!F25)+0)*(1-(Assumptions!$C$42+Assumptions!$C$43+Assumptions!$C$44))*(1-Assumptions!$C$75)</f>
        <v>987202.596927516</v>
      </c>
      <c r="H468" s="30" t="n">
        <f aca="false">'Operating Model'!G49-'Operating Model'!G42+'Operating Model'!$B$42*1*(1+Assumptions!$C$18+F$21)^('Operating Model'!G$4-1)+((H467-'Operating Model'!G25)+0)*(1-(Assumptions!$C$42+Assumptions!$C$43+Assumptions!$C$44))*(1-Assumptions!$C$75)</f>
        <v>1012695.01997768</v>
      </c>
      <c r="I468" s="30" t="n">
        <f aca="false">H468-'Operating Model'!$B$42*1*(1+Assumptions!$C$18+F$21)^('Operating Model'!G$4-1)</f>
        <v>1300562.18977194</v>
      </c>
    </row>
    <row r="469" customFormat="false" ht="15" hidden="false" customHeight="false" outlineLevel="0" collapsed="false">
      <c r="A469" s="2" t="s">
        <v>891</v>
      </c>
      <c r="B469" s="30" t="n">
        <f aca="false">Assumptions!$C$7*1</f>
        <v>13800000</v>
      </c>
      <c r="C469" s="30" t="n">
        <f aca="false">MAX(0,(Assumptions!$C$124+Assumptions!$C$127)-Assumptions!$C$132*B469)</f>
        <v>0</v>
      </c>
      <c r="D469" s="30" t="n">
        <f aca="false">Assumptions!$C$124-MAX(0,C469-Assumptions!$C$127)</f>
        <v>5887000</v>
      </c>
      <c r="E469" s="30" t="n">
        <f aca="false">Assumptions!$C$127-MIN(C469,Assumptions!$C$127)</f>
        <v>3563000</v>
      </c>
      <c r="F469" s="30" t="n">
        <f aca="false">B469*(1+Assumptions!$C$10)+'Unit Mix'!$D$18*1+(D469+E469)*Assumptions!$C$131-(D469+E469)</f>
        <v>5095290</v>
      </c>
      <c r="G469" s="30" t="n">
        <f aca="false">IF(Assumptions!$C$130=1,D469+E469,-FV(Assumptions!$C$125,Assumptions!$C$126,PMT(Assumptions!$C$125,Assumptions!$C$111,D469),D469)-FV(Assumptions!$C$128,Assumptions!$C$126,PMT(Assumptions!$C$128,Assumptions!$C$111,E469),E469))</f>
        <v>9450000</v>
      </c>
      <c r="H469" s="30" t="n">
        <f aca="false">MIN(INDEX(C468:H468,Assumptions!$C$126+1)/$A$25*Assumptions!$C$108,INDEX(C468:H468,Assumptions!$C$126+1)/(Assumptions!$C$109*-PMT('Debt (Assumed)'!$B$99,Assumptions!$C$111,1)))</f>
        <v>9113456.8488396</v>
      </c>
      <c r="I469" s="30" t="n">
        <f aca="false">IF(MAX(0,Assumptions!$C$154-Assumptions!$C$126-'Debt (Assumed)'!$B$100)=0,H469,-FV('Debt (Assumed)'!$B$98,MAX(0,Assumptions!$C$154-Assumptions!$C$126-'Debt (Assumed)'!$B$100),PMT('Debt (Assumed)'!$B$98,Assumptions!$C$111,H469),H469))</f>
        <v>9113456.8488396</v>
      </c>
      <c r="J469" s="30" t="n">
        <f aca="false">I469*'Debt (Assumed)'!$B$102</f>
        <v>0</v>
      </c>
      <c r="K469" s="30" t="n">
        <f aca="false">I468/($A$25+Returns!$B$35)*(1-Assumptions!$C$158)-I469-J469</f>
        <v>5346193.55786367</v>
      </c>
      <c r="L469" s="30" t="n">
        <f aca="false">H469*'Debt (Assumed)'!$B$101</f>
        <v>98425.3339674677</v>
      </c>
      <c r="M469" s="30" t="n">
        <f aca="false">(INDEX(C468:H468,Assumptions!$C$126+1)-'Operating Model'!$B$42*1*(1+Assumptions!$C$18+F$21)^Assumptions!$C$126)/($A$25+Returns!$B$35)*(1-Assumptions!$C$158)-G469</f>
        <v>4233022.05726345</v>
      </c>
    </row>
    <row r="470" customFormat="false" ht="15" hidden="false" customHeight="false" outlineLevel="0" collapsed="false">
      <c r="A470" s="2" t="s">
        <v>892</v>
      </c>
      <c r="C470" s="30" t="n">
        <f aca="false">IF('Operating Model'!B$4&lt;=Assumptions!$C$126,IF(Assumptions!$C$130=1,D469*Assumptions!$C$125+E469*Assumptions!$C$128,-PMT(Assumptions!$C$125,Assumptions!$C$111,D469)-PMT(Assumptions!$C$128,Assumptions!$C$111,E469)),IF(Assumptions!$C$136=1,0,IF('Operating Model'!B$4-Assumptions!$C$126&lt;='Debt (Assumed)'!$B$100,H469*'Debt (Assumed)'!$B$98,-PMT('Debt (Assumed)'!$B$98,Assumptions!$C$111,H469))))</f>
        <v>397516</v>
      </c>
      <c r="D470" s="30" t="n">
        <f aca="false">IF('Operating Model'!C$4&lt;=Assumptions!$C$126,IF(Assumptions!$C$130=1,D469*Assumptions!$C$125+E469*Assumptions!$C$128,-PMT(Assumptions!$C$125,Assumptions!$C$111,D469)-PMT(Assumptions!$C$128,Assumptions!$C$111,E469)),IF(Assumptions!$C$136=1,0,IF('Operating Model'!C$4-Assumptions!$C$126&lt;='Debt (Assumed)'!$B$100,H469*'Debt (Assumed)'!$B$98,-PMT('Debt (Assumed)'!$B$98,Assumptions!$C$111,H469))))</f>
        <v>397516</v>
      </c>
      <c r="E470" s="30" t="n">
        <f aca="false">IF('Operating Model'!D$4&lt;=Assumptions!$C$126,IF(Assumptions!$C$130=1,D469*Assumptions!$C$125+E469*Assumptions!$C$128,-PMT(Assumptions!$C$125,Assumptions!$C$111,D469)-PMT(Assumptions!$C$128,Assumptions!$C$111,E469)),IF(Assumptions!$C$136=1,0,IF('Operating Model'!D$4-Assumptions!$C$126&lt;='Debt (Assumed)'!$B$100,H469*'Debt (Assumed)'!$B$98,-PMT('Debt (Assumed)'!$B$98,Assumptions!$C$111,H469))))</f>
        <v>397516</v>
      </c>
      <c r="F470" s="30" t="n">
        <f aca="false">IF('Operating Model'!E$4&lt;=Assumptions!$C$126,IF(Assumptions!$C$130=1,D469*Assumptions!$C$125+E469*Assumptions!$C$128,-PMT(Assumptions!$C$125,Assumptions!$C$111,D469)-PMT(Assumptions!$C$128,Assumptions!$C$111,E469)),IF(Assumptions!$C$136=1,0,IF('Operating Model'!E$4-Assumptions!$C$126&lt;='Debt (Assumed)'!$B$100,H469*'Debt (Assumed)'!$B$98,-PMT('Debt (Assumed)'!$B$98,Assumptions!$C$111,H469))))</f>
        <v>614246.991611789</v>
      </c>
      <c r="G470" s="30" t="n">
        <f aca="false">IF('Operating Model'!F$4&lt;=Assumptions!$C$126,IF(Assumptions!$C$130=1,D469*Assumptions!$C$125+E469*Assumptions!$C$128,-PMT(Assumptions!$C$125,Assumptions!$C$111,D469)-PMT(Assumptions!$C$128,Assumptions!$C$111,E469)),IF(Assumptions!$C$136=1,0,IF('Operating Model'!F$4-Assumptions!$C$126&lt;='Debt (Assumed)'!$B$100,H469*'Debt (Assumed)'!$B$98,-PMT('Debt (Assumed)'!$B$98,Assumptions!$C$111,H469))))</f>
        <v>614246.991611789</v>
      </c>
    </row>
    <row r="471" customFormat="false" ht="15" hidden="false" customHeight="false" outlineLevel="0" collapsed="false">
      <c r="A471" s="2" t="s">
        <v>893</v>
      </c>
      <c r="B471" s="30" t="n">
        <f aca="false">-F469</f>
        <v>-5095290</v>
      </c>
      <c r="C471" s="30" t="n">
        <f aca="false">IF(AND(Assumptions!$C$136=1,'Operating Model'!B$4&gt;Assumptions!$C$126),0,'Operating Model'!B55+(C468-'Operating Model'!B49)-C470-IF('Operating Model'!B$4=Assumptions!$C$126,IF(Assumptions!$C$136=1,-M469,G469-H469+L469),0)+IF(AND(Assumptions!$C$136&lt;&gt;1,'Operating Model'!B$4=Assumptions!$C$154),K469,0))</f>
        <v>457844.903482</v>
      </c>
      <c r="D471" s="30" t="n">
        <f aca="false">IF(AND(Assumptions!$C$136=1,'Operating Model'!C$4&gt;Assumptions!$C$126),0,'Operating Model'!C55+(D468-'Operating Model'!C49)-D470-IF('Operating Model'!C$4=Assumptions!$C$126,IF(Assumptions!$C$136=1,-M469,G469-H469+L469),0)+IF(AND(Assumptions!$C$136&lt;&gt;1,'Operating Model'!C$4=Assumptions!$C$154),K469,0))</f>
        <v>346187.21333278</v>
      </c>
      <c r="E471" s="30" t="n">
        <f aca="false">IF(AND(Assumptions!$C$136=1,'Operating Model'!D$4&gt;Assumptions!$C$126),0,'Operating Model'!D55+(E468-'Operating Model'!D49)-E470-IF('Operating Model'!D$4=Assumptions!$C$126,IF(Assumptions!$C$136=1,-M469,G469-H469+L469),0)+IF(AND(Assumptions!$C$136&lt;&gt;1,'Operating Model'!D$4=Assumptions!$C$154),K469,0))</f>
        <v>81947.4442214627</v>
      </c>
      <c r="F471" s="30" t="n">
        <f aca="false">IF(AND(Assumptions!$C$136=1,'Operating Model'!E$4&gt;Assumptions!$C$126),0,'Operating Model'!E55+(F468-'Operating Model'!E49)-F470-IF('Operating Model'!E$4=Assumptions!$C$126,IF(Assumptions!$C$136=1,-M469,G469-H469+L469),0)+IF(AND(Assumptions!$C$136&lt;&gt;1,'Operating Model'!E$4=Assumptions!$C$154),K469,0))</f>
        <v>318048.885108598</v>
      </c>
      <c r="G471" s="30" t="n">
        <f aca="false">IF(AND(Assumptions!$C$136=1,'Operating Model'!F$4&gt;Assumptions!$C$126),0,'Operating Model'!F55+(G468-'Operating Model'!F49)-G470-IF('Operating Model'!F$4=Assumptions!$C$126,IF(Assumptions!$C$136=1,-M469,G469-H469+L469),0)+IF(AND(Assumptions!$C$136&lt;&gt;1,'Operating Model'!F$4=Assumptions!$C$154),K469,0))</f>
        <v>5685756.24386121</v>
      </c>
      <c r="H471" s="22" t="n">
        <f aca="false">IFERROR(IRR(B471:G471),"N/A")</f>
        <v>0.06992254489549</v>
      </c>
      <c r="I471" s="24" t="n">
        <f aca="false">SUM(C471:G471)/F469</f>
        <v>1.35218695893778</v>
      </c>
    </row>
    <row r="473" customFormat="false" ht="15" hidden="false" customHeight="false" outlineLevel="0" collapsed="false">
      <c r="A473" s="2" t="s">
        <v>894</v>
      </c>
      <c r="C473" s="30" t="n">
        <f aca="false">'Unit Mix'!$H$6*(1+('Operating Model'!B$6+B$21))</f>
        <v>1550</v>
      </c>
      <c r="D473" s="30" t="n">
        <f aca="false">C473*(1+('Operating Model'!C$6+B$21))</f>
        <v>1561.625</v>
      </c>
      <c r="E473" s="30" t="n">
        <f aca="false">D473*(1+('Operating Model'!D$6+B$21))</f>
        <v>1585.049375</v>
      </c>
      <c r="F473" s="30" t="n">
        <f aca="false">E473*(1+('Operating Model'!E$6+B$21))</f>
        <v>1616.7503625</v>
      </c>
      <c r="G473" s="30" t="n">
        <f aca="false">F473*(1+('Operating Model'!F$6+B$21))</f>
        <v>1649.08536975</v>
      </c>
      <c r="H473" s="30" t="n">
        <f aca="false">G473*(1+('Operating Model'!G$6+B$21))</f>
        <v>1682.067077145</v>
      </c>
    </row>
    <row r="474" customFormat="false" ht="15" hidden="false" customHeight="false" outlineLevel="0" collapsed="false">
      <c r="A474" s="2" t="s">
        <v>895</v>
      </c>
      <c r="C474" s="30" t="n">
        <f aca="false">'Unit Mix'!$G$6+Assumptions!$C$48*Assumptions!$C$47*(C473-'Unit Mix'!$G$6)</f>
        <v>1480.21875</v>
      </c>
      <c r="D474" s="30" t="n">
        <f aca="false">C474+Assumptions!$C$48*Assumptions!$C$47*(D473-C474)</f>
        <v>1502.60546875</v>
      </c>
      <c r="E474" s="30" t="n">
        <f aca="false">D474+Assumptions!$C$48*Assumptions!$C$47*(E473-D474)</f>
        <v>1525.27754296875</v>
      </c>
      <c r="F474" s="30" t="n">
        <f aca="false">E474+Assumptions!$C$48*Assumptions!$C$47*(F473-E474)</f>
        <v>1550.43256833984</v>
      </c>
      <c r="G474" s="30" t="n">
        <f aca="false">F474+Assumptions!$C$48*Assumptions!$C$47*(G473-F474)</f>
        <v>1577.56208872764</v>
      </c>
      <c r="H474" s="30" t="n">
        <f aca="false">G474+Assumptions!$C$48*Assumptions!$C$47*(H473-G474)</f>
        <v>1606.30096054241</v>
      </c>
    </row>
    <row r="475" customFormat="false" ht="15" hidden="false" customHeight="false" outlineLevel="0" collapsed="false">
      <c r="A475" s="2" t="s">
        <v>896</v>
      </c>
      <c r="C475" s="30" t="n">
        <f aca="false">'Unit Mix'!$H$7*(1+('Operating Model'!B$6+B$21))</f>
        <v>1780</v>
      </c>
      <c r="D475" s="30" t="n">
        <f aca="false">C475*(1+('Operating Model'!C$6+B$21))</f>
        <v>1793.35</v>
      </c>
      <c r="E475" s="30" t="n">
        <f aca="false">D475*(1+('Operating Model'!D$6+B$21))</f>
        <v>1820.25025</v>
      </c>
      <c r="F475" s="30" t="n">
        <f aca="false">E475*(1+('Operating Model'!E$6+B$21))</f>
        <v>1856.655255</v>
      </c>
      <c r="G475" s="30" t="n">
        <f aca="false">F475*(1+('Operating Model'!F$6+B$21))</f>
        <v>1893.7883601</v>
      </c>
      <c r="H475" s="30" t="n">
        <f aca="false">G475*(1+('Operating Model'!G$6+B$21))</f>
        <v>1931.664127302</v>
      </c>
    </row>
    <row r="476" customFormat="false" ht="15" hidden="false" customHeight="false" outlineLevel="0" collapsed="false">
      <c r="A476" s="2" t="s">
        <v>897</v>
      </c>
      <c r="C476" s="30" t="n">
        <f aca="false">'Unit Mix'!$G$7+Assumptions!$C$48*Assumptions!$C$47*(C475-'Unit Mix'!$G$7)</f>
        <v>1702.60625</v>
      </c>
      <c r="D476" s="30" t="n">
        <f aca="false">C476+Assumptions!$C$48*Assumptions!$C$47*(D475-C476)</f>
        <v>1727.56078125</v>
      </c>
      <c r="E476" s="30" t="n">
        <f aca="false">D476+Assumptions!$C$48*Assumptions!$C$47*(E475-D476)</f>
        <v>1753.05038515625</v>
      </c>
      <c r="F476" s="30" t="n">
        <f aca="false">E476+Assumptions!$C$48*Assumptions!$C$47*(F475-E476)</f>
        <v>1781.54172436328</v>
      </c>
      <c r="G476" s="30" t="n">
        <f aca="false">F476+Assumptions!$C$48*Assumptions!$C$47*(G475-F476)</f>
        <v>1812.40954919088</v>
      </c>
      <c r="H476" s="30" t="n">
        <f aca="false">G476+Assumptions!$C$48*Assumptions!$C$47*(H475-G476)</f>
        <v>1845.20455817144</v>
      </c>
    </row>
    <row r="477" customFormat="false" ht="15" hidden="false" customHeight="false" outlineLevel="0" collapsed="false">
      <c r="A477" s="2" t="s">
        <v>898</v>
      </c>
      <c r="C477" s="30" t="n">
        <f aca="false">'Unit Mix'!$H$8*(1+('Operating Model'!B$6+B$21))</f>
        <v>2050</v>
      </c>
      <c r="D477" s="30" t="n">
        <f aca="false">C477*(1+('Operating Model'!C$6+B$21))</f>
        <v>2065.375</v>
      </c>
      <c r="E477" s="30" t="n">
        <f aca="false">D477*(1+('Operating Model'!D$6+B$21))</f>
        <v>2096.355625</v>
      </c>
      <c r="F477" s="30" t="n">
        <f aca="false">E477*(1+('Operating Model'!E$6+B$21))</f>
        <v>2138.2827375</v>
      </c>
      <c r="G477" s="30" t="n">
        <f aca="false">F477*(1+('Operating Model'!F$6+B$21))</f>
        <v>2181.04839225</v>
      </c>
      <c r="H477" s="30" t="n">
        <f aca="false">G477*(1+('Operating Model'!G$6+B$21))</f>
        <v>2224.669360095</v>
      </c>
    </row>
    <row r="478" customFormat="false" ht="15" hidden="false" customHeight="false" outlineLevel="0" collapsed="false">
      <c r="A478" s="2" t="s">
        <v>899</v>
      </c>
      <c r="C478" s="30" t="n">
        <f aca="false">'Unit Mix'!$G$8+Assumptions!$C$48*Assumptions!$C$47*(C477-'Unit Mix'!$G$8)</f>
        <v>1961.1875</v>
      </c>
      <c r="D478" s="30" t="n">
        <f aca="false">C478+Assumptions!$C$48*Assumptions!$C$47*(D477-C478)</f>
        <v>1989.8390625</v>
      </c>
      <c r="E478" s="30" t="n">
        <f aca="false">D478+Assumptions!$C$48*Assumptions!$C$47*(E477-D478)</f>
        <v>2019.1311171875</v>
      </c>
      <c r="F478" s="30" t="n">
        <f aca="false">E478+Assumptions!$C$48*Assumptions!$C$47*(F477-E478)</f>
        <v>2051.89781277344</v>
      </c>
      <c r="G478" s="30" t="n">
        <f aca="false">F478+Assumptions!$C$48*Assumptions!$C$47*(G477-F478)</f>
        <v>2087.41422212949</v>
      </c>
      <c r="H478" s="30" t="n">
        <f aca="false">G478+Assumptions!$C$48*Assumptions!$C$47*(H477-G478)</f>
        <v>2125.15938507001</v>
      </c>
    </row>
    <row r="479" customFormat="false" ht="15" hidden="false" customHeight="false" outlineLevel="0" collapsed="false">
      <c r="A479" s="2" t="s">
        <v>900</v>
      </c>
      <c r="C479" s="30" t="n">
        <f aca="false">'Unit Mix'!$H$9*(1+('Operating Model'!B$6+B$21))</f>
        <v>2200</v>
      </c>
      <c r="D479" s="30" t="n">
        <f aca="false">C479*(1+('Operating Model'!C$6+B$21))</f>
        <v>2216.5</v>
      </c>
      <c r="E479" s="30" t="n">
        <f aca="false">D479*(1+('Operating Model'!D$6+B$21))</f>
        <v>2249.7475</v>
      </c>
      <c r="F479" s="30" t="n">
        <f aca="false">E479*(1+('Operating Model'!E$6+B$21))</f>
        <v>2294.74245</v>
      </c>
      <c r="G479" s="30" t="n">
        <f aca="false">F479*(1+('Operating Model'!F$6+B$21))</f>
        <v>2340.637299</v>
      </c>
      <c r="H479" s="30" t="n">
        <f aca="false">G479*(1+('Operating Model'!G$6+B$21))</f>
        <v>2387.45004498</v>
      </c>
    </row>
    <row r="480" customFormat="false" ht="15" hidden="false" customHeight="false" outlineLevel="0" collapsed="false">
      <c r="A480" s="2" t="s">
        <v>901</v>
      </c>
      <c r="C480" s="30" t="n">
        <f aca="false">'Unit Mix'!$G$9+Assumptions!$C$48*Assumptions!$C$47*(C479-'Unit Mix'!$G$9)</f>
        <v>2104.84375</v>
      </c>
      <c r="D480" s="30" t="n">
        <f aca="false">C480+Assumptions!$C$48*Assumptions!$C$47*(D479-C480)</f>
        <v>2135.54921875</v>
      </c>
      <c r="E480" s="30" t="n">
        <f aca="false">D480+Assumptions!$C$48*Assumptions!$C$47*(E479-D480)</f>
        <v>2166.95374609375</v>
      </c>
      <c r="F480" s="30" t="n">
        <f aca="false">E480+Assumptions!$C$48*Assumptions!$C$47*(F479-E480)</f>
        <v>2202.09563966797</v>
      </c>
      <c r="G480" s="30" t="n">
        <f aca="false">F480+Assumptions!$C$48*Assumptions!$C$47*(G479-F480)</f>
        <v>2240.19459598428</v>
      </c>
      <c r="H480" s="30" t="n">
        <f aca="false">G480+Assumptions!$C$48*Assumptions!$C$47*(H479-G480)</f>
        <v>2280.6898444581</v>
      </c>
    </row>
    <row r="481" customFormat="false" ht="15" hidden="false" customHeight="false" outlineLevel="0" collapsed="false">
      <c r="A481" s="2" t="s">
        <v>902</v>
      </c>
      <c r="C481" s="30" t="n">
        <f aca="false">('Unit Mix'!$C$6*('Unit Mix'!$F$6*(1-Assumptions!$C$39)+(C473+Assumptions!$C$37)*Assumptions!$C$39)+'Unit Mix'!$D$6*C474+'Unit Mix'!$C$7*('Unit Mix'!$F$7*(1-Assumptions!$C$39)+(C475+Assumptions!$C$37)*Assumptions!$C$39)+'Unit Mix'!$D$7*C476+'Unit Mix'!$C$8*('Unit Mix'!$F$8*(1-Assumptions!$C$39)+(C477+Assumptions!$C$37)*Assumptions!$C$39)+'Unit Mix'!$D$8*C478+'Unit Mix'!$C$9*('Unit Mix'!$F$9*(1-Assumptions!$C$39)+(C479+Assumptions!$C$37)*Assumptions!$C$39)+'Unit Mix'!$D$9*C480)*12</f>
        <v>2010015.45</v>
      </c>
      <c r="D481" s="30" t="n">
        <f aca="false">('Unit Mix'!$C$6*(D473+Assumptions!$C$37)+'Unit Mix'!$D$6*D474+'Unit Mix'!$C$7*(D475+Assumptions!$C$37)+'Unit Mix'!$D$7*D476+'Unit Mix'!$C$8*(D477+Assumptions!$C$37)+'Unit Mix'!$D$8*D478+'Unit Mix'!$C$9*(D479+Assumptions!$C$37)+'Unit Mix'!$D$9*D480)*12</f>
        <v>2081427.15375</v>
      </c>
      <c r="E481" s="30" t="n">
        <f aca="false">('Unit Mix'!$C$6*(E473+Assumptions!$C$37)+'Unit Mix'!$D$6*E474+'Unit Mix'!$C$7*(E475+Assumptions!$C$37)+'Unit Mix'!$D$7*E476+'Unit Mix'!$C$8*(E477+Assumptions!$C$37)+'Unit Mix'!$D$8*E478+'Unit Mix'!$C$9*(E479+Assumptions!$C$37)+'Unit Mix'!$D$9*E480)*12</f>
        <v>2112330.62825625</v>
      </c>
      <c r="F481" s="30" t="n">
        <f aca="false">('Unit Mix'!$C$6*(F473+Assumptions!$C$37)+'Unit Mix'!$D$6*F474+'Unit Mix'!$C$7*(F475+Assumptions!$C$37)+'Unit Mix'!$D$7*F476+'Unit Mix'!$C$8*(F477+Assumptions!$C$37)+'Unit Mix'!$D$8*F478+'Unit Mix'!$C$9*(F479+Assumptions!$C$37)+'Unit Mix'!$D$9*F480)*12</f>
        <v>2148707.56972153</v>
      </c>
      <c r="G481" s="30" t="n">
        <f aca="false">('Unit Mix'!$C$6*(G473+Assumptions!$C$37)+'Unit Mix'!$D$6*G474+'Unit Mix'!$C$7*(G475+Assumptions!$C$37)+'Unit Mix'!$D$7*G476+'Unit Mix'!$C$8*(G477+Assumptions!$C$37)+'Unit Mix'!$D$8*G478+'Unit Mix'!$C$9*(G479+Assumptions!$C$37)+'Unit Mix'!$D$9*G480)*12</f>
        <v>2187426.20956858</v>
      </c>
      <c r="H481" s="30" t="n">
        <f aca="false">('Unit Mix'!$C$6*(H473+Assumptions!$C$37)+'Unit Mix'!$D$6*H474+'Unit Mix'!$C$7*(H475+Assumptions!$C$37)+'Unit Mix'!$D$7*H476+'Unit Mix'!$C$8*(H477+Assumptions!$C$37)+'Unit Mix'!$D$8*H478+'Unit Mix'!$C$9*(H479+Assumptions!$C$37)+'Unit Mix'!$D$9*H480)*12</f>
        <v>2228089.48788809</v>
      </c>
    </row>
    <row r="482" customFormat="false" ht="15" hidden="false" customHeight="false" outlineLevel="0" collapsed="false">
      <c r="A482" s="2" t="s">
        <v>903</v>
      </c>
      <c r="C482" s="30" t="n">
        <f aca="false">'Operating Model'!B49-'Operating Model'!B42+'Operating Model'!$B$42*1*(1+Assumptions!$C$18+B$21)^('Operating Model'!B$4-1)+((C481-'Operating Model'!B25)+0)*(1-(Assumptions!$C$42+Assumptions!$C$43+Assumptions!$C$44))*(1-Assumptions!$C$75)</f>
        <v>871999.97351</v>
      </c>
      <c r="D482" s="30" t="n">
        <f aca="false">'Operating Model'!C49-'Operating Model'!C42+'Operating Model'!$B$42*1*(1+Assumptions!$C$18+B$21)^('Operating Model'!C$4-1)+((D481-'Operating Model'!C25)+0)*(1-(Assumptions!$C$42+Assumptions!$C$43+Assumptions!$C$44))*(1-Assumptions!$C$75)</f>
        <v>898220.31122625</v>
      </c>
      <c r="E482" s="30" t="n">
        <f aca="false">'Operating Model'!D49-'Operating Model'!D42+'Operating Model'!$B$42*1*(1+Assumptions!$C$18+B$21)^('Operating Model'!D$4-1)+((E481-'Operating Model'!D25)+0)*(1-(Assumptions!$C$42+Assumptions!$C$43+Assumptions!$C$44))*(1-Assumptions!$C$75)</f>
        <v>886638.229759264</v>
      </c>
      <c r="F482" s="30" t="n">
        <f aca="false">'Operating Model'!E49-'Operating Model'!E42+'Operating Model'!$B$42*1*(1+Assumptions!$C$18+B$21)^('Operating Model'!E$4-1)+((F481-'Operating Model'!E25)+0)*(1-(Assumptions!$C$42+Assumptions!$C$43+Assumptions!$C$44))*(1-Assumptions!$C$75)</f>
        <v>877971.086711183</v>
      </c>
      <c r="G482" s="30" t="n">
        <f aca="false">'Operating Model'!F49-'Operating Model'!F42+'Operating Model'!$B$42*1*(1+Assumptions!$C$18+B$21)^('Operating Model'!F$4-1)+((G481-'Operating Model'!F25)+0)*(1-(Assumptions!$C$42+Assumptions!$C$43+Assumptions!$C$44))*(1-Assumptions!$C$75)</f>
        <v>869326.718695636</v>
      </c>
      <c r="H482" s="30" t="n">
        <f aca="false">'Operating Model'!G49-'Operating Model'!G42+'Operating Model'!$B$42*1*(1+Assumptions!$C$18+B$21)^('Operating Model'!G$4-1)+((H481-'Operating Model'!G25)+0)*(1-(Assumptions!$C$42+Assumptions!$C$43+Assumptions!$C$44))*(1-Assumptions!$C$75)</f>
        <v>860233.815784451</v>
      </c>
      <c r="I482" s="30" t="n">
        <f aca="false">H482-'Operating Model'!$B$42*1*(1+Assumptions!$C$18+B$21)^('Operating Model'!G$4-1)</f>
        <v>1121465.77061265</v>
      </c>
    </row>
    <row r="483" customFormat="false" ht="15" hidden="false" customHeight="false" outlineLevel="0" collapsed="false">
      <c r="A483" s="2" t="s">
        <v>904</v>
      </c>
      <c r="B483" s="30" t="n">
        <f aca="false">Assumptions!$C$7*1</f>
        <v>13800000</v>
      </c>
      <c r="C483" s="30" t="n">
        <f aca="false">MAX(0,(Assumptions!$C$124+Assumptions!$C$127)-Assumptions!$C$132*B483)</f>
        <v>0</v>
      </c>
      <c r="D483" s="30" t="n">
        <f aca="false">Assumptions!$C$124-MAX(0,C483-Assumptions!$C$127)</f>
        <v>5887000</v>
      </c>
      <c r="E483" s="30" t="n">
        <f aca="false">Assumptions!$C$127-MIN(C483,Assumptions!$C$127)</f>
        <v>3563000</v>
      </c>
      <c r="F483" s="30" t="n">
        <f aca="false">B483*(1+Assumptions!$C$10)+'Unit Mix'!$D$18*1+(D483+E483)*Assumptions!$C$131-(D483+E483)</f>
        <v>5095290</v>
      </c>
      <c r="G483" s="30" t="n">
        <f aca="false">IF(Assumptions!$C$130=1,D483+E483,-FV(Assumptions!$C$125,Assumptions!$C$126,PMT(Assumptions!$C$125,Assumptions!$C$111,D483),D483)-FV(Assumptions!$C$128,Assumptions!$C$126,PMT(Assumptions!$C$128,Assumptions!$C$111,E483),E483))</f>
        <v>9450000</v>
      </c>
      <c r="H483" s="30" t="n">
        <f aca="false">MIN(INDEX(C482:H482,Assumptions!$C$126+1)/$A$26*Assumptions!$C$108,INDEX(C482:H482,Assumptions!$C$126+1)/(Assumptions!$C$109*-PMT('Debt (Assumed)'!$B$99,Assumptions!$C$111,1)))</f>
        <v>8295342.13125759</v>
      </c>
      <c r="I483" s="30" t="n">
        <f aca="false">IF(MAX(0,Assumptions!$C$154-Assumptions!$C$126-'Debt (Assumed)'!$B$100)=0,H483,-FV('Debt (Assumed)'!$B$98,MAX(0,Assumptions!$C$154-Assumptions!$C$126-'Debt (Assumed)'!$B$100),PMT('Debt (Assumed)'!$B$98,Assumptions!$C$111,H483),H483))</f>
        <v>8295342.13125759</v>
      </c>
      <c r="J483" s="30" t="n">
        <f aca="false">I483*'Debt (Assumed)'!$B$102</f>
        <v>0</v>
      </c>
      <c r="K483" s="30" t="n">
        <f aca="false">I482/($A$26+Returns!$B$35)*(1-Assumptions!$C$158)-I483-J483</f>
        <v>3503813.22325448</v>
      </c>
      <c r="L483" s="30" t="n">
        <f aca="false">H483*'Debt (Assumed)'!$B$101</f>
        <v>89589.695017582</v>
      </c>
      <c r="M483" s="30" t="n">
        <f aca="false">(INDEX(C482:H482,Assumptions!$C$126+1)-'Operating Model'!$B$42*1*(1+Assumptions!$C$18+B$21)^Assumptions!$C$126)/($A$26+Returns!$B$35)*(1-Assumptions!$C$158)-G483</f>
        <v>2429046.07827172</v>
      </c>
    </row>
    <row r="484" customFormat="false" ht="15" hidden="false" customHeight="false" outlineLevel="0" collapsed="false">
      <c r="A484" s="2" t="s">
        <v>905</v>
      </c>
      <c r="C484" s="30" t="n">
        <f aca="false">IF('Operating Model'!B$4&lt;=Assumptions!$C$126,IF(Assumptions!$C$130=1,D483*Assumptions!$C$125+E483*Assumptions!$C$128,-PMT(Assumptions!$C$125,Assumptions!$C$111,D483)-PMT(Assumptions!$C$128,Assumptions!$C$111,E483)),IF(Assumptions!$C$136=1,0,IF('Operating Model'!B$4-Assumptions!$C$126&lt;='Debt (Assumed)'!$B$100,H483*'Debt (Assumed)'!$B$98,-PMT('Debt (Assumed)'!$B$98,Assumptions!$C$111,H483))))</f>
        <v>397516</v>
      </c>
      <c r="D484" s="30" t="n">
        <f aca="false">IF('Operating Model'!C$4&lt;=Assumptions!$C$126,IF(Assumptions!$C$130=1,D483*Assumptions!$C$125+E483*Assumptions!$C$128,-PMT(Assumptions!$C$125,Assumptions!$C$111,D483)-PMT(Assumptions!$C$128,Assumptions!$C$111,E483)),IF(Assumptions!$C$136=1,0,IF('Operating Model'!C$4-Assumptions!$C$126&lt;='Debt (Assumed)'!$B$100,H483*'Debt (Assumed)'!$B$98,-PMT('Debt (Assumed)'!$B$98,Assumptions!$C$111,H483))))</f>
        <v>397516</v>
      </c>
      <c r="E484" s="30" t="n">
        <f aca="false">IF('Operating Model'!D$4&lt;=Assumptions!$C$126,IF(Assumptions!$C$130=1,D483*Assumptions!$C$125+E483*Assumptions!$C$128,-PMT(Assumptions!$C$125,Assumptions!$C$111,D483)-PMT(Assumptions!$C$128,Assumptions!$C$111,E483)),IF(Assumptions!$C$136=1,0,IF('Operating Model'!D$4-Assumptions!$C$126&lt;='Debt (Assumed)'!$B$100,H483*'Debt (Assumed)'!$B$98,-PMT('Debt (Assumed)'!$B$98,Assumptions!$C$111,H483))))</f>
        <v>397516</v>
      </c>
      <c r="F484" s="30" t="n">
        <f aca="false">IF('Operating Model'!E$4&lt;=Assumptions!$C$126,IF(Assumptions!$C$130=1,D483*Assumptions!$C$125+E483*Assumptions!$C$128,-PMT(Assumptions!$C$125,Assumptions!$C$111,D483)-PMT(Assumptions!$C$128,Assumptions!$C$111,E483)),IF(Assumptions!$C$136=1,0,IF('Operating Model'!E$4-Assumptions!$C$126&lt;='Debt (Assumed)'!$B$100,H483*'Debt (Assumed)'!$B$98,-PMT('Debt (Assumed)'!$B$98,Assumptions!$C$111,H483))))</f>
        <v>559106.059646761</v>
      </c>
      <c r="G484" s="30" t="n">
        <f aca="false">IF('Operating Model'!F$4&lt;=Assumptions!$C$126,IF(Assumptions!$C$130=1,D483*Assumptions!$C$125+E483*Assumptions!$C$128,-PMT(Assumptions!$C$125,Assumptions!$C$111,D483)-PMT(Assumptions!$C$128,Assumptions!$C$111,E483)),IF(Assumptions!$C$136=1,0,IF('Operating Model'!F$4-Assumptions!$C$126&lt;='Debt (Assumed)'!$B$100,H483*'Debt (Assumed)'!$B$98,-PMT('Debt (Assumed)'!$B$98,Assumptions!$C$111,H483))))</f>
        <v>559106.059646761</v>
      </c>
    </row>
    <row r="485" customFormat="false" ht="15" hidden="false" customHeight="false" outlineLevel="0" collapsed="false">
      <c r="A485" s="2" t="s">
        <v>906</v>
      </c>
      <c r="B485" s="30" t="n">
        <f aca="false">-F483</f>
        <v>-5095290</v>
      </c>
      <c r="C485" s="30" t="n">
        <f aca="false">IF(AND(Assumptions!$C$136=1,'Operating Model'!B$4&gt;Assumptions!$C$126),0,'Operating Model'!B55+(C482-'Operating Model'!B49)-C484-IF('Operating Model'!B$4=Assumptions!$C$126,IF(Assumptions!$C$136=1,-M483,G483-H483+L483),0)+IF(AND(Assumptions!$C$136&lt;&gt;1,'Operating Model'!B$4=Assumptions!$C$154),K483,0))</f>
        <v>445383.97351</v>
      </c>
      <c r="D485" s="30" t="n">
        <f aca="false">IF(AND(Assumptions!$C$136=1,'Operating Model'!C$4&gt;Assumptions!$C$126),0,'Operating Model'!C55+(D482-'Operating Model'!C49)-D484-IF('Operating Model'!C$4=Assumptions!$C$126,IF(Assumptions!$C$136=1,-M483,G483-H483+L483),0)+IF(AND(Assumptions!$C$136&lt;&gt;1,'Operating Model'!C$4=Assumptions!$C$154),K483,0))</f>
        <v>310585.81122625</v>
      </c>
      <c r="E485" s="30" t="n">
        <f aca="false">IF(AND(Assumptions!$C$136=1,'Operating Model'!D$4&gt;Assumptions!$C$126),0,'Operating Model'!D55+(E482-'Operating Model'!D49)-E484-IF('Operating Model'!D$4=Assumptions!$C$126,IF(Assumptions!$C$136=1,-M483,G483-H483+L483),0)+IF(AND(Assumptions!$C$136&lt;&gt;1,'Operating Model'!D$4=Assumptions!$C$154),K483,0))</f>
        <v>-786297.981500731</v>
      </c>
      <c r="F485" s="30" t="n">
        <f aca="false">IF(AND(Assumptions!$C$136=1,'Operating Model'!E$4&gt;Assumptions!$C$126),0,'Operating Model'!E55+(F482-'Operating Model'!E49)-F484-IF('Operating Model'!E$4=Assumptions!$C$126,IF(Assumptions!$C$136=1,-M483,G483-H483+L483),0)+IF(AND(Assumptions!$C$136&lt;&gt;1,'Operating Model'!E$4=Assumptions!$C$154),K483,0))</f>
        <v>286601.336901922</v>
      </c>
      <c r="G485" s="30" t="n">
        <f aca="false">IF(AND(Assumptions!$C$136=1,'Operating Model'!F$4&gt;Assumptions!$C$126),0,'Operating Model'!F55+(G482-'Operating Model'!F49)-G484-IF('Operating Model'!F$4=Assumptions!$C$126,IF(Assumptions!$C$136=1,-M483,G483-H483+L483),0)+IF(AND(Assumptions!$C$136&lt;&gt;1,'Operating Model'!F$4=Assumptions!$C$154),K483,0))</f>
        <v>3780640.96298517</v>
      </c>
      <c r="H485" s="22" t="n">
        <f aca="false">IFERROR(IRR(B485:G485),"N/A")</f>
        <v>-0.0484888823604387</v>
      </c>
      <c r="I485" s="24" t="n">
        <f aca="false">SUM(C485:G485)/F483</f>
        <v>0.792283482024107</v>
      </c>
    </row>
    <row r="487" customFormat="false" ht="15" hidden="false" customHeight="false" outlineLevel="0" collapsed="false">
      <c r="A487" s="2" t="s">
        <v>907</v>
      </c>
      <c r="C487" s="30" t="n">
        <f aca="false">'Unit Mix'!$H$6*(1+('Operating Model'!B$6+C$21))</f>
        <v>1557.75</v>
      </c>
      <c r="D487" s="30" t="n">
        <f aca="false">C487*(1+('Operating Model'!C$6+C$21))</f>
        <v>1577.221875</v>
      </c>
      <c r="E487" s="30" t="n">
        <f aca="false">D487*(1+('Operating Model'!D$6+C$21))</f>
        <v>1608.7663125</v>
      </c>
      <c r="F487" s="30" t="n">
        <f aca="false">E487*(1+('Operating Model'!E$6+C$21))</f>
        <v>1648.9854703125</v>
      </c>
      <c r="G487" s="30" t="n">
        <f aca="false">F487*(1+('Operating Model'!F$6+C$21))</f>
        <v>1690.21010707031</v>
      </c>
      <c r="H487" s="30" t="n">
        <f aca="false">G487*(1+('Operating Model'!G$6+C$21))</f>
        <v>1732.46535974707</v>
      </c>
    </row>
    <row r="488" customFormat="false" ht="15" hidden="false" customHeight="false" outlineLevel="0" collapsed="false">
      <c r="A488" s="2" t="s">
        <v>908</v>
      </c>
      <c r="C488" s="30" t="n">
        <f aca="false">'Unit Mix'!$G$6+Assumptions!$C$48*Assumptions!$C$47*(C487-'Unit Mix'!$G$6)</f>
        <v>1482.35</v>
      </c>
      <c r="D488" s="30" t="n">
        <f aca="false">C488+Assumptions!$C$48*Assumptions!$C$47*(D487-C488)</f>
        <v>1508.439765625</v>
      </c>
      <c r="E488" s="30" t="n">
        <f aca="false">D488+Assumptions!$C$48*Assumptions!$C$47*(E487-D488)</f>
        <v>1536.02956601562</v>
      </c>
      <c r="F488" s="30" t="n">
        <f aca="false">E488+Assumptions!$C$48*Assumptions!$C$47*(F487-E488)</f>
        <v>1567.09243969727</v>
      </c>
      <c r="G488" s="30" t="n">
        <f aca="false">F488+Assumptions!$C$48*Assumptions!$C$47*(G487-F488)</f>
        <v>1600.94979822485</v>
      </c>
      <c r="H488" s="30" t="n">
        <f aca="false">G488+Assumptions!$C$48*Assumptions!$C$47*(H487-G488)</f>
        <v>1637.11657764346</v>
      </c>
    </row>
    <row r="489" customFormat="false" ht="15" hidden="false" customHeight="false" outlineLevel="0" collapsed="false">
      <c r="A489" s="2" t="s">
        <v>909</v>
      </c>
      <c r="C489" s="30" t="n">
        <f aca="false">'Unit Mix'!$H$7*(1+('Operating Model'!B$6+C$21))</f>
        <v>1788.9</v>
      </c>
      <c r="D489" s="30" t="n">
        <f aca="false">C489*(1+('Operating Model'!C$6+C$21))</f>
        <v>1811.26125</v>
      </c>
      <c r="E489" s="30" t="n">
        <f aca="false">D489*(1+('Operating Model'!D$6+C$21))</f>
        <v>1847.486475</v>
      </c>
      <c r="F489" s="30" t="n">
        <f aca="false">E489*(1+('Operating Model'!E$6+C$21))</f>
        <v>1893.673636875</v>
      </c>
      <c r="G489" s="30" t="n">
        <f aca="false">F489*(1+('Operating Model'!F$6+C$21))</f>
        <v>1941.01547779687</v>
      </c>
      <c r="H489" s="30" t="n">
        <f aca="false">G489*(1+('Operating Model'!G$6+C$21))</f>
        <v>1989.5408647418</v>
      </c>
    </row>
    <row r="490" customFormat="false" ht="15" hidden="false" customHeight="false" outlineLevel="0" collapsed="false">
      <c r="A490" s="2" t="s">
        <v>910</v>
      </c>
      <c r="C490" s="30" t="n">
        <f aca="false">'Unit Mix'!$G$7+Assumptions!$C$48*Assumptions!$C$47*(C489-'Unit Mix'!$G$7)</f>
        <v>1705.05375</v>
      </c>
      <c r="D490" s="30" t="n">
        <f aca="false">C490+Assumptions!$C$48*Assumptions!$C$47*(D489-C490)</f>
        <v>1734.2608125</v>
      </c>
      <c r="E490" s="30" t="n">
        <f aca="false">D490+Assumptions!$C$48*Assumptions!$C$47*(E489-D490)</f>
        <v>1765.3978696875</v>
      </c>
      <c r="F490" s="30" t="n">
        <f aca="false">E490+Assumptions!$C$48*Assumptions!$C$47*(F489-E490)</f>
        <v>1800.67370566406</v>
      </c>
      <c r="G490" s="30" t="n">
        <f aca="false">F490+Assumptions!$C$48*Assumptions!$C$47*(G489-F490)</f>
        <v>1839.26769300059</v>
      </c>
      <c r="H490" s="30" t="n">
        <f aca="false">G490+Assumptions!$C$48*Assumptions!$C$47*(H489-G490)</f>
        <v>1880.59281522942</v>
      </c>
    </row>
    <row r="491" customFormat="false" ht="15" hidden="false" customHeight="false" outlineLevel="0" collapsed="false">
      <c r="A491" s="2" t="s">
        <v>911</v>
      </c>
      <c r="C491" s="30" t="n">
        <f aca="false">'Unit Mix'!$H$8*(1+('Operating Model'!B$6+C$21))</f>
        <v>2060.25</v>
      </c>
      <c r="D491" s="30" t="n">
        <f aca="false">C491*(1+('Operating Model'!C$6+C$21))</f>
        <v>2086.003125</v>
      </c>
      <c r="E491" s="30" t="n">
        <f aca="false">D491*(1+('Operating Model'!D$6+C$21))</f>
        <v>2127.7231875</v>
      </c>
      <c r="F491" s="30" t="n">
        <f aca="false">E491*(1+('Operating Model'!E$6+C$21))</f>
        <v>2180.9162671875</v>
      </c>
      <c r="G491" s="30" t="n">
        <f aca="false">F491*(1+('Operating Model'!F$6+C$21))</f>
        <v>2235.43917386719</v>
      </c>
      <c r="H491" s="30" t="n">
        <f aca="false">G491*(1+('Operating Model'!G$6+C$21))</f>
        <v>2291.32515321387</v>
      </c>
    </row>
    <row r="492" customFormat="false" ht="15" hidden="false" customHeight="false" outlineLevel="0" collapsed="false">
      <c r="A492" s="2" t="s">
        <v>912</v>
      </c>
      <c r="C492" s="30" t="n">
        <f aca="false">'Unit Mix'!$G$8+Assumptions!$C$48*Assumptions!$C$47*(C491-'Unit Mix'!$G$8)</f>
        <v>1964.00625</v>
      </c>
      <c r="D492" s="30" t="n">
        <f aca="false">C492+Assumptions!$C$48*Assumptions!$C$47*(D491-C492)</f>
        <v>1997.555390625</v>
      </c>
      <c r="E492" s="30" t="n">
        <f aca="false">D492+Assumptions!$C$48*Assumptions!$C$47*(E491-D492)</f>
        <v>2033.35153476562</v>
      </c>
      <c r="F492" s="30" t="n">
        <f aca="false">E492+Assumptions!$C$48*Assumptions!$C$47*(F491-E492)</f>
        <v>2073.93183618164</v>
      </c>
      <c r="G492" s="30" t="n">
        <f aca="false">F492+Assumptions!$C$48*Assumptions!$C$47*(G491-F492)</f>
        <v>2118.34635404517</v>
      </c>
      <c r="H492" s="30" t="n">
        <f aca="false">G492+Assumptions!$C$48*Assumptions!$C$47*(H491-G492)</f>
        <v>2165.91552381656</v>
      </c>
    </row>
    <row r="493" customFormat="false" ht="15" hidden="false" customHeight="false" outlineLevel="0" collapsed="false">
      <c r="A493" s="2" t="s">
        <v>913</v>
      </c>
      <c r="C493" s="30" t="n">
        <f aca="false">'Unit Mix'!$H$9*(1+('Operating Model'!B$6+C$21))</f>
        <v>2211</v>
      </c>
      <c r="D493" s="30" t="n">
        <f aca="false">C493*(1+('Operating Model'!C$6+C$21))</f>
        <v>2238.6375</v>
      </c>
      <c r="E493" s="30" t="n">
        <f aca="false">D493*(1+('Operating Model'!D$6+C$21))</f>
        <v>2283.41025</v>
      </c>
      <c r="F493" s="30" t="n">
        <f aca="false">E493*(1+('Operating Model'!E$6+C$21))</f>
        <v>2340.49550625</v>
      </c>
      <c r="G493" s="30" t="n">
        <f aca="false">F493*(1+('Operating Model'!F$6+C$21))</f>
        <v>2399.00789390625</v>
      </c>
      <c r="H493" s="30" t="n">
        <f aca="false">G493*(1+('Operating Model'!G$6+C$21))</f>
        <v>2458.98309125391</v>
      </c>
    </row>
    <row r="494" customFormat="false" ht="15" hidden="false" customHeight="false" outlineLevel="0" collapsed="false">
      <c r="A494" s="2" t="s">
        <v>914</v>
      </c>
      <c r="C494" s="30" t="n">
        <f aca="false">'Unit Mix'!$G$9+Assumptions!$C$48*Assumptions!$C$47*(C493-'Unit Mix'!$G$9)</f>
        <v>2107.86875</v>
      </c>
      <c r="D494" s="30" t="n">
        <f aca="false">C494+Assumptions!$C$48*Assumptions!$C$47*(D493-C494)</f>
        <v>2143.83015625</v>
      </c>
      <c r="E494" s="30" t="n">
        <f aca="false">D494+Assumptions!$C$48*Assumptions!$C$47*(E493-D494)</f>
        <v>2182.21468203125</v>
      </c>
      <c r="F494" s="30" t="n">
        <f aca="false">E494+Assumptions!$C$48*Assumptions!$C$47*(F493-E494)</f>
        <v>2225.74190869141</v>
      </c>
      <c r="G494" s="30" t="n">
        <f aca="false">F494+Assumptions!$C$48*Assumptions!$C$47*(G493-F494)</f>
        <v>2273.39005462549</v>
      </c>
      <c r="H494" s="30" t="n">
        <f aca="false">G494+Assumptions!$C$48*Assumptions!$C$47*(H493-G494)</f>
        <v>2324.4281396983</v>
      </c>
    </row>
    <row r="495" customFormat="false" ht="15" hidden="false" customHeight="false" outlineLevel="0" collapsed="false">
      <c r="A495" s="2" t="s">
        <v>915</v>
      </c>
      <c r="C495" s="30" t="n">
        <f aca="false">('Unit Mix'!$C$6*('Unit Mix'!$F$6*(1-Assumptions!$C$39)+(C487+Assumptions!$C$37)*Assumptions!$C$39)+'Unit Mix'!$D$6*C488+'Unit Mix'!$C$7*('Unit Mix'!$F$7*(1-Assumptions!$C$39)+(C489+Assumptions!$C$37)*Assumptions!$C$39)+'Unit Mix'!$D$7*C490+'Unit Mix'!$C$8*('Unit Mix'!$F$8*(1-Assumptions!$C$39)+(C491+Assumptions!$C$37)*Assumptions!$C$39)+'Unit Mix'!$D$8*C492+'Unit Mix'!$C$9*('Unit Mix'!$F$9*(1-Assumptions!$C$39)+(C493+Assumptions!$C$37)*Assumptions!$C$39)+'Unit Mix'!$D$9*C494)*12</f>
        <v>2013524.385</v>
      </c>
      <c r="D495" s="30" t="n">
        <f aca="false">('Unit Mix'!$C$6*(D487+Assumptions!$C$37)+'Unit Mix'!$D$6*D488+'Unit Mix'!$C$7*(D489+Assumptions!$C$37)+'Unit Mix'!$D$7*D490+'Unit Mix'!$C$8*(D491+Assumptions!$C$37)+'Unit Mix'!$D$8*D492+'Unit Mix'!$C$9*(D493+Assumptions!$C$37)+'Unit Mix'!$D$9*D494)*12</f>
        <v>2092712.6645625</v>
      </c>
      <c r="E495" s="30" t="n">
        <f aca="false">('Unit Mix'!$C$6*(E487+Assumptions!$C$37)+'Unit Mix'!$D$6*E488+'Unit Mix'!$C$7*(E489+Assumptions!$C$37)+'Unit Mix'!$D$7*E490+'Unit Mix'!$C$8*(E491+Assumptions!$C$37)+'Unit Mix'!$D$8*E492+'Unit Mix'!$C$9*(E493+Assumptions!$C$37)+'Unit Mix'!$D$9*E494)*12</f>
        <v>2131436.27241656</v>
      </c>
      <c r="F495" s="30" t="n">
        <f aca="false">('Unit Mix'!$C$6*(F487+Assumptions!$C$37)+'Unit Mix'!$D$6*F488+'Unit Mix'!$C$7*(F489+Assumptions!$C$37)+'Unit Mix'!$D$7*F490+'Unit Mix'!$C$8*(F491+Assumptions!$C$37)+'Unit Mix'!$D$8*F492+'Unit Mix'!$C$9*(F493+Assumptions!$C$37)+'Unit Mix'!$D$9*F494)*12</f>
        <v>2176791.41787691</v>
      </c>
      <c r="G495" s="30" t="n">
        <f aca="false">('Unit Mix'!$C$6*(G487+Assumptions!$C$37)+'Unit Mix'!$D$6*G488+'Unit Mix'!$C$7*(G489+Assumptions!$C$37)+'Unit Mix'!$D$7*G490+'Unit Mix'!$C$8*(G491+Assumptions!$C$37)+'Unit Mix'!$D$8*G492+'Unit Mix'!$C$9*(G493+Assumptions!$C$37)+'Unit Mix'!$D$9*G494)*12</f>
        <v>2225461.40134504</v>
      </c>
      <c r="H495" s="30" t="n">
        <f aca="false">('Unit Mix'!$C$6*(H487+Assumptions!$C$37)+'Unit Mix'!$D$6*H488+'Unit Mix'!$C$7*(H489+Assumptions!$C$37)+'Unit Mix'!$D$7*H490+'Unit Mix'!$C$8*(H491+Assumptions!$C$37)+'Unit Mix'!$D$8*H492+'Unit Mix'!$C$9*(H493+Assumptions!$C$37)+'Unit Mix'!$D$9*H494)*12</f>
        <v>2276929.32994404</v>
      </c>
    </row>
    <row r="496" customFormat="false" ht="15" hidden="false" customHeight="false" outlineLevel="0" collapsed="false">
      <c r="A496" s="2" t="s">
        <v>916</v>
      </c>
      <c r="C496" s="30" t="n">
        <f aca="false">'Operating Model'!B49-'Operating Model'!B42+'Operating Model'!$B$42*1*(1+Assumptions!$C$18+C$21)^('Operating Model'!B$4-1)+((C495-'Operating Model'!B25)+0)*(1-(Assumptions!$C$42+Assumptions!$C$43+Assumptions!$C$44))*(1-Assumptions!$C$75)</f>
        <v>875115.206003</v>
      </c>
      <c r="D496" s="30" t="n">
        <f aca="false">'Operating Model'!C49-'Operating Model'!C42+'Operating Model'!$B$42*1*(1+Assumptions!$C$18+C$21)^('Operating Model'!C$4-1)+((D495-'Operating Model'!C25)+0)*(1-(Assumptions!$C$42+Assumptions!$C$43+Assumptions!$C$44))*(1-Assumptions!$C$75)</f>
        <v>907056.558575587</v>
      </c>
      <c r="E496" s="30" t="n">
        <f aca="false">'Operating Model'!D49-'Operating Model'!D42+'Operating Model'!$B$42*1*(1+Assumptions!$C$18+C$21)^('Operating Model'!D$4-1)+((E495-'Operating Model'!D25)+0)*(1-(Assumptions!$C$42+Assumptions!$C$43+Assumptions!$C$44))*(1-Assumptions!$C$75)</f>
        <v>901180.92603304</v>
      </c>
      <c r="F496" s="30" t="n">
        <f aca="false">'Operating Model'!E49-'Operating Model'!E42+'Operating Model'!$B$42*1*(1+Assumptions!$C$18+C$21)^('Operating Model'!E$4-1)+((F495-'Operating Model'!E25)+0)*(1-(Assumptions!$C$42+Assumptions!$C$43+Assumptions!$C$44))*(1-Assumptions!$C$75)</f>
        <v>899193.326598828</v>
      </c>
      <c r="G496" s="30" t="n">
        <f aca="false">'Operating Model'!F49-'Operating Model'!F42+'Operating Model'!$B$42*1*(1+Assumptions!$C$18+C$21)^('Operating Model'!F$4-1)+((G495-'Operating Model'!F25)+0)*(1-(Assumptions!$C$42+Assumptions!$C$43+Assumptions!$C$44))*(1-Assumptions!$C$75)</f>
        <v>898035.556439248</v>
      </c>
      <c r="H496" s="30" t="n">
        <f aca="false">'Operating Model'!G49-'Operating Model'!G42+'Operating Model'!$B$42*1*(1+Assumptions!$C$18+C$21)^('Operating Model'!G$4-1)+((H495-'Operating Model'!G25)+0)*(1-(Assumptions!$C$42+Assumptions!$C$43+Assumptions!$C$44))*(1-Assumptions!$C$75)</f>
        <v>897128.003110122</v>
      </c>
      <c r="I496" s="30" t="n">
        <f aca="false">H496-'Operating Model'!$B$42*1*(1+Assumptions!$C$18+C$21)^('Operating Model'!G$4-1)</f>
        <v>1164825.78238993</v>
      </c>
    </row>
    <row r="497" customFormat="false" ht="15" hidden="false" customHeight="false" outlineLevel="0" collapsed="false">
      <c r="A497" s="2" t="s">
        <v>917</v>
      </c>
      <c r="B497" s="30" t="n">
        <f aca="false">Assumptions!$C$7*1</f>
        <v>13800000</v>
      </c>
      <c r="C497" s="30" t="n">
        <f aca="false">MAX(0,(Assumptions!$C$124+Assumptions!$C$127)-Assumptions!$C$132*B497)</f>
        <v>0</v>
      </c>
      <c r="D497" s="30" t="n">
        <f aca="false">Assumptions!$C$124-MAX(0,C497-Assumptions!$C$127)</f>
        <v>5887000</v>
      </c>
      <c r="E497" s="30" t="n">
        <f aca="false">Assumptions!$C$127-MIN(C497,Assumptions!$C$127)</f>
        <v>3563000</v>
      </c>
      <c r="F497" s="30" t="n">
        <f aca="false">B497*(1+Assumptions!$C$10)+'Unit Mix'!$D$18*1+(D497+E497)*Assumptions!$C$131-(D497+E497)</f>
        <v>5095290</v>
      </c>
      <c r="G497" s="30" t="n">
        <f aca="false">IF(Assumptions!$C$130=1,D497+E497,-FV(Assumptions!$C$125,Assumptions!$C$126,PMT(Assumptions!$C$125,Assumptions!$C$111,D497),D497)-FV(Assumptions!$C$128,Assumptions!$C$126,PMT(Assumptions!$C$128,Assumptions!$C$111,E497),E497))</f>
        <v>9450000</v>
      </c>
      <c r="H497" s="30" t="n">
        <f aca="false">MIN(INDEX(C496:H496,Assumptions!$C$126+1)/$A$26*Assumptions!$C$108,INDEX(C496:H496,Assumptions!$C$126+1)/(Assumptions!$C$109*-PMT('Debt (Assumed)'!$B$99,Assumptions!$C$111,1)))</f>
        <v>8495856.41165273</v>
      </c>
      <c r="I497" s="30" t="n">
        <f aca="false">IF(MAX(0,Assumptions!$C$154-Assumptions!$C$126-'Debt (Assumed)'!$B$100)=0,H497,-FV('Debt (Assumed)'!$B$98,MAX(0,Assumptions!$C$154-Assumptions!$C$126-'Debt (Assumed)'!$B$100),PMT('Debt (Assumed)'!$B$98,Assumptions!$C$111,H497),H497))</f>
        <v>8495856.41165273</v>
      </c>
      <c r="J497" s="30" t="n">
        <f aca="false">I497*'Debt (Assumed)'!$B$102</f>
        <v>0</v>
      </c>
      <c r="K497" s="30" t="n">
        <f aca="false">I496/($A$26+Returns!$B$35)*(1-Assumptions!$C$158)-I497-J497</f>
        <v>3759497.90009903</v>
      </c>
      <c r="L497" s="30" t="n">
        <f aca="false">H497*'Debt (Assumed)'!$B$101</f>
        <v>91755.2492458495</v>
      </c>
      <c r="M497" s="30" t="n">
        <f aca="false">(INDEX(C496:H496,Assumptions!$C$126+1)-'Operating Model'!$B$42*1*(1+Assumptions!$C$18+C$21)^Assumptions!$C$126)/($A$26+Returns!$B$35)*(1-Assumptions!$C$158)-G497</f>
        <v>2691369.24936402</v>
      </c>
    </row>
    <row r="498" customFormat="false" ht="15" hidden="false" customHeight="false" outlineLevel="0" collapsed="false">
      <c r="A498" s="2" t="s">
        <v>918</v>
      </c>
      <c r="C498" s="30" t="n">
        <f aca="false">IF('Operating Model'!B$4&lt;=Assumptions!$C$126,IF(Assumptions!$C$130=1,D497*Assumptions!$C$125+E497*Assumptions!$C$128,-PMT(Assumptions!$C$125,Assumptions!$C$111,D497)-PMT(Assumptions!$C$128,Assumptions!$C$111,E497)),IF(Assumptions!$C$136=1,0,IF('Operating Model'!B$4-Assumptions!$C$126&lt;='Debt (Assumed)'!$B$100,H497*'Debt (Assumed)'!$B$98,-PMT('Debt (Assumed)'!$B$98,Assumptions!$C$111,H497))))</f>
        <v>397516</v>
      </c>
      <c r="D498" s="30" t="n">
        <f aca="false">IF('Operating Model'!C$4&lt;=Assumptions!$C$126,IF(Assumptions!$C$130=1,D497*Assumptions!$C$125+E497*Assumptions!$C$128,-PMT(Assumptions!$C$125,Assumptions!$C$111,D497)-PMT(Assumptions!$C$128,Assumptions!$C$111,E497)),IF(Assumptions!$C$136=1,0,IF('Operating Model'!C$4-Assumptions!$C$126&lt;='Debt (Assumed)'!$B$100,H497*'Debt (Assumed)'!$B$98,-PMT('Debt (Assumed)'!$B$98,Assumptions!$C$111,H497))))</f>
        <v>397516</v>
      </c>
      <c r="E498" s="30" t="n">
        <f aca="false">IF('Operating Model'!D$4&lt;=Assumptions!$C$126,IF(Assumptions!$C$130=1,D497*Assumptions!$C$125+E497*Assumptions!$C$128,-PMT(Assumptions!$C$125,Assumptions!$C$111,D497)-PMT(Assumptions!$C$128,Assumptions!$C$111,E497)),IF(Assumptions!$C$136=1,0,IF('Operating Model'!D$4-Assumptions!$C$126&lt;='Debt (Assumed)'!$B$100,H497*'Debt (Assumed)'!$B$98,-PMT('Debt (Assumed)'!$B$98,Assumptions!$C$111,H497))))</f>
        <v>397516</v>
      </c>
      <c r="F498" s="30" t="n">
        <f aca="false">IF('Operating Model'!E$4&lt;=Assumptions!$C$126,IF(Assumptions!$C$130=1,D497*Assumptions!$C$125+E497*Assumptions!$C$128,-PMT(Assumptions!$C$125,Assumptions!$C$111,D497)-PMT(Assumptions!$C$128,Assumptions!$C$111,E497)),IF(Assumptions!$C$136=1,0,IF('Operating Model'!E$4-Assumptions!$C$126&lt;='Debt (Assumed)'!$B$100,H497*'Debt (Assumed)'!$B$98,-PMT('Debt (Assumed)'!$B$98,Assumptions!$C$111,H497))))</f>
        <v>572620.722145394</v>
      </c>
      <c r="G498" s="30" t="n">
        <f aca="false">IF('Operating Model'!F$4&lt;=Assumptions!$C$126,IF(Assumptions!$C$130=1,D497*Assumptions!$C$125+E497*Assumptions!$C$128,-PMT(Assumptions!$C$125,Assumptions!$C$111,D497)-PMT(Assumptions!$C$128,Assumptions!$C$111,E497)),IF(Assumptions!$C$136=1,0,IF('Operating Model'!F$4-Assumptions!$C$126&lt;='Debt (Assumed)'!$B$100,H497*'Debt (Assumed)'!$B$98,-PMT('Debt (Assumed)'!$B$98,Assumptions!$C$111,H497))))</f>
        <v>572620.722145394</v>
      </c>
    </row>
    <row r="499" customFormat="false" ht="15" hidden="false" customHeight="false" outlineLevel="0" collapsed="false">
      <c r="A499" s="2" t="s">
        <v>919</v>
      </c>
      <c r="B499" s="30" t="n">
        <f aca="false">-F497</f>
        <v>-5095290</v>
      </c>
      <c r="C499" s="30" t="n">
        <f aca="false">IF(AND(Assumptions!$C$136=1,'Operating Model'!B$4&gt;Assumptions!$C$126),0,'Operating Model'!B55+(C496-'Operating Model'!B49)-C498-IF('Operating Model'!B$4=Assumptions!$C$126,IF(Assumptions!$C$136=1,-M497,G497-H497+L497),0)+IF(AND(Assumptions!$C$136&lt;&gt;1,'Operating Model'!B$4=Assumptions!$C$154),K497,0))</f>
        <v>448499.206003</v>
      </c>
      <c r="D499" s="30" t="n">
        <f aca="false">IF(AND(Assumptions!$C$136=1,'Operating Model'!C$4&gt;Assumptions!$C$126),0,'Operating Model'!C55+(D496-'Operating Model'!C49)-D498-IF('Operating Model'!C$4=Assumptions!$C$126,IF(Assumptions!$C$136=1,-M497,G497-H497+L497),0)+IF(AND(Assumptions!$C$136&lt;&gt;1,'Operating Model'!C$4=Assumptions!$C$154),K497,0))</f>
        <v>319422.058575587</v>
      </c>
      <c r="E499" s="30" t="n">
        <f aca="false">IF(AND(Assumptions!$C$136=1,'Operating Model'!D$4&gt;Assumptions!$C$126),0,'Operating Model'!D55+(E496-'Operating Model'!D49)-E498-IF('Operating Model'!D$4=Assumptions!$C$126,IF(Assumptions!$C$136=1,-M497,G497-H497+L497),0)+IF(AND(Assumptions!$C$136&lt;&gt;1,'Operating Model'!D$4=Assumptions!$C$154),K497,0))</f>
        <v>-573406.559060077</v>
      </c>
      <c r="F499" s="30" t="n">
        <f aca="false">IF(AND(Assumptions!$C$136=1,'Operating Model'!E$4&gt;Assumptions!$C$126),0,'Operating Model'!E55+(F496-'Operating Model'!E49)-F498-IF('Operating Model'!E$4=Assumptions!$C$126,IF(Assumptions!$C$136=1,-M497,G497-H497+L497),0)+IF(AND(Assumptions!$C$136&lt;&gt;1,'Operating Model'!E$4=Assumptions!$C$154),K497,0))</f>
        <v>294308.914290934</v>
      </c>
      <c r="G499" s="30" t="n">
        <f aca="false">IF(AND(Assumptions!$C$136=1,'Operating Model'!F$4&gt;Assumptions!$C$126),0,'Operating Model'!F55+(G496-'Operating Model'!F49)-G498-IF('Operating Model'!F$4=Assumptions!$C$126,IF(Assumptions!$C$136=1,-M497,G497-H497+L497),0)+IF(AND(Assumptions!$C$136&lt;&gt;1,'Operating Model'!F$4=Assumptions!$C$154),K497,0))</f>
        <v>4051519.81507469</v>
      </c>
      <c r="H499" s="22" t="n">
        <f aca="false">IFERROR(IRR(B499:G499),"N/A")</f>
        <v>-0.024750940724725</v>
      </c>
      <c r="I499" s="24" t="n">
        <f aca="false">SUM(C499:G499)/F497</f>
        <v>0.89108636306945</v>
      </c>
    </row>
    <row r="501" customFormat="false" ht="15" hidden="false" customHeight="false" outlineLevel="0" collapsed="false">
      <c r="A501" s="2" t="s">
        <v>920</v>
      </c>
      <c r="C501" s="30" t="n">
        <f aca="false">'Unit Mix'!$H$6*(1+('Operating Model'!B$6+D$21))</f>
        <v>1565.5</v>
      </c>
      <c r="D501" s="30" t="n">
        <f aca="false">C501*(1+('Operating Model'!C$6+D$21))</f>
        <v>1592.89625</v>
      </c>
      <c r="E501" s="30" t="n">
        <f aca="false">D501*(1+('Operating Model'!D$6+D$21))</f>
        <v>1632.71865625</v>
      </c>
      <c r="F501" s="30" t="n">
        <f aca="false">E501*(1+('Operating Model'!E$6+D$21))</f>
        <v>1681.7002159375</v>
      </c>
      <c r="G501" s="30" t="n">
        <f aca="false">F501*(1+('Operating Model'!F$6+D$21))</f>
        <v>1732.15122241563</v>
      </c>
      <c r="H501" s="30" t="n">
        <f aca="false">G501*(1+('Operating Model'!G$6+D$21))</f>
        <v>1784.11575908809</v>
      </c>
    </row>
    <row r="502" customFormat="false" ht="15" hidden="false" customHeight="false" outlineLevel="0" collapsed="false">
      <c r="A502" s="2" t="s">
        <v>921</v>
      </c>
      <c r="C502" s="30" t="n">
        <f aca="false">'Unit Mix'!$G$6+Assumptions!$C$48*Assumptions!$C$47*(C501-'Unit Mix'!$G$6)</f>
        <v>1484.48125</v>
      </c>
      <c r="D502" s="30" t="n">
        <f aca="false">C502+Assumptions!$C$48*Assumptions!$C$47*(D501-C502)</f>
        <v>1514.295375</v>
      </c>
      <c r="E502" s="30" t="n">
        <f aca="false">D502+Assumptions!$C$48*Assumptions!$C$47*(E501-D502)</f>
        <v>1546.86177734375</v>
      </c>
      <c r="F502" s="30" t="n">
        <f aca="false">E502+Assumptions!$C$48*Assumptions!$C$47*(F501-E502)</f>
        <v>1583.94234795703</v>
      </c>
      <c r="G502" s="30" t="n">
        <f aca="false">F502+Assumptions!$C$48*Assumptions!$C$47*(G501-F502)</f>
        <v>1624.69978843314</v>
      </c>
      <c r="H502" s="30" t="n">
        <f aca="false">G502+Assumptions!$C$48*Assumptions!$C$47*(H501-G502)</f>
        <v>1668.53918036326</v>
      </c>
    </row>
    <row r="503" customFormat="false" ht="15" hidden="false" customHeight="false" outlineLevel="0" collapsed="false">
      <c r="A503" s="2" t="s">
        <v>922</v>
      </c>
      <c r="C503" s="30" t="n">
        <f aca="false">'Unit Mix'!$H$7*(1+('Operating Model'!B$6+D$21))</f>
        <v>1797.8</v>
      </c>
      <c r="D503" s="30" t="n">
        <f aca="false">C503*(1+('Operating Model'!C$6+D$21))</f>
        <v>1829.2615</v>
      </c>
      <c r="E503" s="30" t="n">
        <f aca="false">D503*(1+('Operating Model'!D$6+D$21))</f>
        <v>1874.9930375</v>
      </c>
      <c r="F503" s="30" t="n">
        <f aca="false">E503*(1+('Operating Model'!E$6+D$21))</f>
        <v>1931.242828625</v>
      </c>
      <c r="G503" s="30" t="n">
        <f aca="false">F503*(1+('Operating Model'!F$6+D$21))</f>
        <v>1989.18011348375</v>
      </c>
      <c r="H503" s="30" t="n">
        <f aca="false">G503*(1+('Operating Model'!G$6+D$21))</f>
        <v>2048.85551688826</v>
      </c>
    </row>
    <row r="504" customFormat="false" ht="15" hidden="false" customHeight="false" outlineLevel="0" collapsed="false">
      <c r="A504" s="2" t="s">
        <v>923</v>
      </c>
      <c r="C504" s="30" t="n">
        <f aca="false">'Unit Mix'!$G$7+Assumptions!$C$48*Assumptions!$C$47*(C503-'Unit Mix'!$G$7)</f>
        <v>1707.50125</v>
      </c>
      <c r="D504" s="30" t="n">
        <f aca="false">C504+Assumptions!$C$48*Assumptions!$C$47*(D503-C504)</f>
        <v>1740.98531875</v>
      </c>
      <c r="E504" s="30" t="n">
        <f aca="false">D504+Assumptions!$C$48*Assumptions!$C$47*(E503-D504)</f>
        <v>1777.83744140625</v>
      </c>
      <c r="F504" s="30" t="n">
        <f aca="false">E504+Assumptions!$C$48*Assumptions!$C$47*(F503-E504)</f>
        <v>1820.02392289141</v>
      </c>
      <c r="G504" s="30" t="n">
        <f aca="false">F504+Assumptions!$C$48*Assumptions!$C$47*(G503-F504)</f>
        <v>1866.5418753043</v>
      </c>
      <c r="H504" s="30" t="n">
        <f aca="false">G504+Assumptions!$C$48*Assumptions!$C$47*(H503-G504)</f>
        <v>1916.67812673989</v>
      </c>
    </row>
    <row r="505" customFormat="false" ht="15" hidden="false" customHeight="false" outlineLevel="0" collapsed="false">
      <c r="A505" s="2" t="s">
        <v>924</v>
      </c>
      <c r="C505" s="30" t="n">
        <f aca="false">'Unit Mix'!$H$8*(1+('Operating Model'!B$6+D$21))</f>
        <v>2070.5</v>
      </c>
      <c r="D505" s="30" t="n">
        <f aca="false">C505*(1+('Operating Model'!C$6+D$21))</f>
        <v>2106.73375</v>
      </c>
      <c r="E505" s="30" t="n">
        <f aca="false">D505*(1+('Operating Model'!D$6+D$21))</f>
        <v>2159.40209375</v>
      </c>
      <c r="F505" s="30" t="n">
        <f aca="false">E505*(1+('Operating Model'!E$6+D$21))</f>
        <v>2224.1841565625</v>
      </c>
      <c r="G505" s="30" t="n">
        <f aca="false">F505*(1+('Operating Model'!F$6+D$21))</f>
        <v>2290.90968125938</v>
      </c>
      <c r="H505" s="30" t="n">
        <f aca="false">G505*(1+('Operating Model'!G$6+D$21))</f>
        <v>2359.63697169716</v>
      </c>
    </row>
    <row r="506" customFormat="false" ht="15" hidden="false" customHeight="false" outlineLevel="0" collapsed="false">
      <c r="A506" s="2" t="s">
        <v>925</v>
      </c>
      <c r="C506" s="30" t="n">
        <f aca="false">'Unit Mix'!$G$8+Assumptions!$C$48*Assumptions!$C$47*(C505-'Unit Mix'!$G$8)</f>
        <v>1966.825</v>
      </c>
      <c r="D506" s="30" t="n">
        <f aca="false">C506+Assumptions!$C$48*Assumptions!$C$47*(D505-C506)</f>
        <v>2005.29990625</v>
      </c>
      <c r="E506" s="30" t="n">
        <f aca="false">D506+Assumptions!$C$48*Assumptions!$C$47*(E505-D506)</f>
        <v>2047.6780078125</v>
      </c>
      <c r="F506" s="30" t="n">
        <f aca="false">E506+Assumptions!$C$48*Assumptions!$C$47*(F505-E506)</f>
        <v>2096.21719871875</v>
      </c>
      <c r="G506" s="30" t="n">
        <f aca="false">F506+Assumptions!$C$48*Assumptions!$C$47*(G505-F506)</f>
        <v>2149.75763141742</v>
      </c>
      <c r="H506" s="30" t="n">
        <f aca="false">G506+Assumptions!$C$48*Assumptions!$C$47*(H505-G506)</f>
        <v>2207.47444999435</v>
      </c>
    </row>
    <row r="507" customFormat="false" ht="15" hidden="false" customHeight="false" outlineLevel="0" collapsed="false">
      <c r="A507" s="2" t="s">
        <v>926</v>
      </c>
      <c r="C507" s="30" t="n">
        <f aca="false">'Unit Mix'!$H$9*(1+('Operating Model'!B$6+D$21))</f>
        <v>2222</v>
      </c>
      <c r="D507" s="30" t="n">
        <f aca="false">C507*(1+('Operating Model'!C$6+D$21))</f>
        <v>2260.885</v>
      </c>
      <c r="E507" s="30" t="n">
        <f aca="false">D507*(1+('Operating Model'!D$6+D$21))</f>
        <v>2317.407125</v>
      </c>
      <c r="F507" s="30" t="n">
        <f aca="false">E507*(1+('Operating Model'!E$6+D$21))</f>
        <v>2386.92933875</v>
      </c>
      <c r="G507" s="30" t="n">
        <f aca="false">F507*(1+('Operating Model'!F$6+D$21))</f>
        <v>2458.5372189125</v>
      </c>
      <c r="H507" s="30" t="n">
        <f aca="false">G507*(1+('Operating Model'!G$6+D$21))</f>
        <v>2532.29333547988</v>
      </c>
    </row>
    <row r="508" customFormat="false" ht="15" hidden="false" customHeight="false" outlineLevel="0" collapsed="false">
      <c r="A508" s="2" t="s">
        <v>927</v>
      </c>
      <c r="C508" s="30" t="n">
        <f aca="false">'Unit Mix'!$G$9+Assumptions!$C$48*Assumptions!$C$47*(C507-'Unit Mix'!$G$9)</f>
        <v>2110.89375</v>
      </c>
      <c r="D508" s="30" t="n">
        <f aca="false">C508+Assumptions!$C$48*Assumptions!$C$47*(D507-C508)</f>
        <v>2152.14134375</v>
      </c>
      <c r="E508" s="30" t="n">
        <f aca="false">D508+Assumptions!$C$48*Assumptions!$C$47*(E507-D508)</f>
        <v>2197.58943359375</v>
      </c>
      <c r="F508" s="30" t="n">
        <f aca="false">E508+Assumptions!$C$48*Assumptions!$C$47*(F507-E508)</f>
        <v>2249.65790751172</v>
      </c>
      <c r="G508" s="30" t="n">
        <f aca="false">F508+Assumptions!$C$48*Assumptions!$C$47*(G507-F508)</f>
        <v>2307.09971814693</v>
      </c>
      <c r="H508" s="30" t="n">
        <f aca="false">G508+Assumptions!$C$48*Assumptions!$C$47*(H507-G508)</f>
        <v>2369.02796291349</v>
      </c>
    </row>
    <row r="509" customFormat="false" ht="15" hidden="false" customHeight="false" outlineLevel="0" collapsed="false">
      <c r="A509" s="2" t="s">
        <v>928</v>
      </c>
      <c r="C509" s="30" t="n">
        <f aca="false">('Unit Mix'!$C$6*('Unit Mix'!$F$6*(1-Assumptions!$C$39)+(C501+Assumptions!$C$37)*Assumptions!$C$39)+'Unit Mix'!$D$6*C502+'Unit Mix'!$C$7*('Unit Mix'!$F$7*(1-Assumptions!$C$39)+(C503+Assumptions!$C$37)*Assumptions!$C$39)+'Unit Mix'!$D$7*C504+'Unit Mix'!$C$8*('Unit Mix'!$F$8*(1-Assumptions!$C$39)+(C505+Assumptions!$C$37)*Assumptions!$C$39)+'Unit Mix'!$D$8*C506+'Unit Mix'!$C$9*('Unit Mix'!$F$9*(1-Assumptions!$C$39)+(C507+Assumptions!$C$37)*Assumptions!$C$39)+'Unit Mix'!$D$9*C508)*12</f>
        <v>2017033.32</v>
      </c>
      <c r="D509" s="30" t="n">
        <f aca="false">('Unit Mix'!$C$6*(D501+Assumptions!$C$37)+'Unit Mix'!$D$6*D502+'Unit Mix'!$C$7*(D503+Assumptions!$C$37)+'Unit Mix'!$D$7*D504+'Unit Mix'!$C$8*(D505+Assumptions!$C$37)+'Unit Mix'!$D$8*D506+'Unit Mix'!$C$9*(D507+Assumptions!$C$37)+'Unit Mix'!$D$9*D508)*12</f>
        <v>2104046.311725</v>
      </c>
      <c r="E509" s="30" t="n">
        <f aca="false">('Unit Mix'!$C$6*(E501+Assumptions!$C$37)+'Unit Mix'!$D$6*E502+'Unit Mix'!$C$7*(E503+Assumptions!$C$37)+'Unit Mix'!$D$7*E504+'Unit Mix'!$C$8*(E505+Assumptions!$C$37)+'Unit Mix'!$D$8*E506+'Unit Mix'!$C$9*(E507+Assumptions!$C$37)+'Unit Mix'!$D$9*E508)*12</f>
        <v>2150704.11144375</v>
      </c>
      <c r="F509" s="30" t="n">
        <f aca="false">('Unit Mix'!$C$6*(F501+Assumptions!$C$37)+'Unit Mix'!$D$6*F502+'Unit Mix'!$C$7*(F503+Assumptions!$C$37)+'Unit Mix'!$D$7*F504+'Unit Mix'!$C$8*(F505+Assumptions!$C$37)+'Unit Mix'!$D$8*F506+'Unit Mix'!$C$9*(F507+Assumptions!$C$37)+'Unit Mix'!$D$9*F508)*12</f>
        <v>2205233.30328326</v>
      </c>
      <c r="G509" s="30" t="n">
        <f aca="false">('Unit Mix'!$C$6*(G501+Assumptions!$C$37)+'Unit Mix'!$D$6*G502+'Unit Mix'!$C$7*(G503+Assumptions!$C$37)+'Unit Mix'!$D$7*G504+'Unit Mix'!$C$8*(G505+Assumptions!$C$37)+'Unit Mix'!$D$8*G506+'Unit Mix'!$C$9*(G507+Assumptions!$C$37)+'Unit Mix'!$D$9*G508)*12</f>
        <v>2264146.15204151</v>
      </c>
      <c r="H509" s="30" t="n">
        <f aca="false">('Unit Mix'!$C$6*(H501+Assumptions!$C$37)+'Unit Mix'!$D$6*H502+'Unit Mix'!$C$7*(H503+Assumptions!$C$37)+'Unit Mix'!$D$7*H504+'Unit Mix'!$C$8*(H505+Assumptions!$C$37)+'Unit Mix'!$D$8*H506+'Unit Mix'!$C$9*(H507+Assumptions!$C$37)+'Unit Mix'!$D$9*H508)*12</f>
        <v>2326818.52760607</v>
      </c>
    </row>
    <row r="510" customFormat="false" ht="15" hidden="false" customHeight="false" outlineLevel="0" collapsed="false">
      <c r="A510" s="2" t="s">
        <v>929</v>
      </c>
      <c r="C510" s="30" t="n">
        <f aca="false">'Operating Model'!B49-'Operating Model'!B42+'Operating Model'!$B$42*1*(1+Assumptions!$C$18+D$21)^('Operating Model'!B$4-1)+((C509-'Operating Model'!B25)+0)*(1-(Assumptions!$C$42+Assumptions!$C$43+Assumptions!$C$44))*(1-Assumptions!$C$75)</f>
        <v>878230.438496</v>
      </c>
      <c r="D510" s="30" t="n">
        <f aca="false">'Operating Model'!C49-'Operating Model'!C42+'Operating Model'!$B$42*1*(1+Assumptions!$C$18+D$21)^('Operating Model'!C$4-1)+((D509-'Operating Model'!C25)+0)*(1-(Assumptions!$C$42+Assumptions!$C$43+Assumptions!$C$44))*(1-Assumptions!$C$75)</f>
        <v>915935.541376455</v>
      </c>
      <c r="E510" s="30" t="n">
        <f aca="false">'Operating Model'!D49-'Operating Model'!D42+'Operating Model'!$B$42*1*(1+Assumptions!$C$18+D$21)^('Operating Model'!D$4-1)+((E509-'Operating Model'!D25)+0)*(1-(Assumptions!$C$42+Assumptions!$C$43+Assumptions!$C$44))*(1-Assumptions!$C$75)</f>
        <v>915855.788618126</v>
      </c>
      <c r="F510" s="30" t="n">
        <f aca="false">'Operating Model'!E49-'Operating Model'!E42+'Operating Model'!$B$42*1*(1+Assumptions!$C$18+D$21)^('Operating Model'!E$4-1)+((F509-'Operating Model'!E25)+0)*(1-(Assumptions!$C$42+Assumptions!$C$43+Assumptions!$C$44))*(1-Assumptions!$C$75)</f>
        <v>920697.053811519</v>
      </c>
      <c r="G510" s="30" t="n">
        <f aca="false">'Operating Model'!F49-'Operating Model'!F42+'Operating Model'!$B$42*1*(1+Assumptions!$C$18+D$21)^('Operating Model'!F$4-1)+((G509-'Operating Model'!F25)+0)*(1-(Assumptions!$C$42+Assumptions!$C$43+Assumptions!$C$44))*(1-Assumptions!$C$75)</f>
        <v>927246.497096234</v>
      </c>
      <c r="H510" s="30" t="n">
        <f aca="false">'Operating Model'!G49-'Operating Model'!G42+'Operating Model'!$B$42*1*(1+Assumptions!$C$18+D$21)^('Operating Model'!G$4-1)+((H509-'Operating Model'!G25)+0)*(1-(Assumptions!$C$42+Assumptions!$C$43+Assumptions!$C$44))*(1-Assumptions!$C$75)</f>
        <v>934826.407527038</v>
      </c>
      <c r="I510" s="30" t="n">
        <f aca="false">H510-'Operating Model'!$B$42*1*(1+Assumptions!$C$18+D$21)^('Operating Model'!G$4-1)</f>
        <v>1209117.41207427</v>
      </c>
    </row>
    <row r="511" customFormat="false" ht="15" hidden="false" customHeight="false" outlineLevel="0" collapsed="false">
      <c r="A511" s="2" t="s">
        <v>930</v>
      </c>
      <c r="B511" s="30" t="n">
        <f aca="false">Assumptions!$C$7*1</f>
        <v>13800000</v>
      </c>
      <c r="C511" s="30" t="n">
        <f aca="false">MAX(0,(Assumptions!$C$124+Assumptions!$C$127)-Assumptions!$C$132*B511)</f>
        <v>0</v>
      </c>
      <c r="D511" s="30" t="n">
        <f aca="false">Assumptions!$C$124-MAX(0,C511-Assumptions!$C$127)</f>
        <v>5887000</v>
      </c>
      <c r="E511" s="30" t="n">
        <f aca="false">Assumptions!$C$127-MIN(C511,Assumptions!$C$127)</f>
        <v>3563000</v>
      </c>
      <c r="F511" s="30" t="n">
        <f aca="false">B511*(1+Assumptions!$C$10)+'Unit Mix'!$D$18*1+(D511+E511)*Assumptions!$C$131-(D511+E511)</f>
        <v>5095290</v>
      </c>
      <c r="G511" s="30" t="n">
        <f aca="false">IF(Assumptions!$C$130=1,D511+E511,-FV(Assumptions!$C$125,Assumptions!$C$126,PMT(Assumptions!$C$125,Assumptions!$C$111,D511),D511)-FV(Assumptions!$C$128,Assumptions!$C$126,PMT(Assumptions!$C$128,Assumptions!$C$111,E511),E511))</f>
        <v>9450000</v>
      </c>
      <c r="H511" s="30" t="n">
        <f aca="false">MIN(INDEX(C510:H510,Assumptions!$C$126+1)/$A$26*Assumptions!$C$108,INDEX(C510:H510,Assumptions!$C$126+1)/(Assumptions!$C$109*-PMT('Debt (Assumed)'!$B$99,Assumptions!$C$111,1)))</f>
        <v>8699030.271278</v>
      </c>
      <c r="I511" s="30" t="n">
        <f aca="false">IF(MAX(0,Assumptions!$C$154-Assumptions!$C$126-'Debt (Assumed)'!$B$100)=0,H511,-FV('Debt (Assumed)'!$B$98,MAX(0,Assumptions!$C$154-Assumptions!$C$126-'Debt (Assumed)'!$B$100),PMT('Debt (Assumed)'!$B$98,Assumptions!$C$111,H511),H511))</f>
        <v>8699030.271278</v>
      </c>
      <c r="J511" s="30" t="n">
        <f aca="false">I511*'Debt (Assumed)'!$B$102</f>
        <v>0</v>
      </c>
      <c r="K511" s="30" t="n">
        <f aca="false">I510/($A$26+Returns!$B$35)*(1-Assumptions!$C$158)-I511-J511</f>
        <v>4022324.72747165</v>
      </c>
      <c r="L511" s="30" t="n">
        <f aca="false">H511*'Debt (Assumed)'!$B$101</f>
        <v>93949.5269298024</v>
      </c>
      <c r="M511" s="30" t="n">
        <f aca="false">(INDEX(C510:H510,Assumptions!$C$126+1)-'Operating Model'!$B$42*1*(1+Assumptions!$C$18+D$21)^Assumptions!$C$126)/($A$26+Returns!$B$35)*(1-Assumptions!$C$158)-G511</f>
        <v>2957036.74373149</v>
      </c>
    </row>
    <row r="512" customFormat="false" ht="15" hidden="false" customHeight="false" outlineLevel="0" collapsed="false">
      <c r="A512" s="2" t="s">
        <v>931</v>
      </c>
      <c r="C512" s="30" t="n">
        <f aca="false">IF('Operating Model'!B$4&lt;=Assumptions!$C$126,IF(Assumptions!$C$130=1,D511*Assumptions!$C$125+E511*Assumptions!$C$128,-PMT(Assumptions!$C$125,Assumptions!$C$111,D511)-PMT(Assumptions!$C$128,Assumptions!$C$111,E511)),IF(Assumptions!$C$136=1,0,IF('Operating Model'!B$4-Assumptions!$C$126&lt;='Debt (Assumed)'!$B$100,H511*'Debt (Assumed)'!$B$98,-PMT('Debt (Assumed)'!$B$98,Assumptions!$C$111,H511))))</f>
        <v>397516</v>
      </c>
      <c r="D512" s="30" t="n">
        <f aca="false">IF('Operating Model'!C$4&lt;=Assumptions!$C$126,IF(Assumptions!$C$130=1,D511*Assumptions!$C$125+E511*Assumptions!$C$128,-PMT(Assumptions!$C$125,Assumptions!$C$111,D511)-PMT(Assumptions!$C$128,Assumptions!$C$111,E511)),IF(Assumptions!$C$136=1,0,IF('Operating Model'!C$4-Assumptions!$C$126&lt;='Debt (Assumed)'!$B$100,H511*'Debt (Assumed)'!$B$98,-PMT('Debt (Assumed)'!$B$98,Assumptions!$C$111,H511))))</f>
        <v>397516</v>
      </c>
      <c r="E512" s="30" t="n">
        <f aca="false">IF('Operating Model'!D$4&lt;=Assumptions!$C$126,IF(Assumptions!$C$130=1,D511*Assumptions!$C$125+E511*Assumptions!$C$128,-PMT(Assumptions!$C$125,Assumptions!$C$111,D511)-PMT(Assumptions!$C$128,Assumptions!$C$111,E511)),IF(Assumptions!$C$136=1,0,IF('Operating Model'!D$4-Assumptions!$C$126&lt;='Debt (Assumed)'!$B$100,H511*'Debt (Assumed)'!$B$98,-PMT('Debt (Assumed)'!$B$98,Assumptions!$C$111,H511))))</f>
        <v>397516</v>
      </c>
      <c r="F512" s="30" t="n">
        <f aca="false">IF('Operating Model'!E$4&lt;=Assumptions!$C$126,IF(Assumptions!$C$130=1,D511*Assumptions!$C$125+E511*Assumptions!$C$128,-PMT(Assumptions!$C$125,Assumptions!$C$111,D511)-PMT(Assumptions!$C$128,Assumptions!$C$111,E511)),IF(Assumptions!$C$136=1,0,IF('Operating Model'!E$4-Assumptions!$C$126&lt;='Debt (Assumed)'!$B$100,H511*'Debt (Assumed)'!$B$98,-PMT('Debt (Assumed)'!$B$98,Assumptions!$C$111,H511))))</f>
        <v>586314.640284137</v>
      </c>
      <c r="G512" s="30" t="n">
        <f aca="false">IF('Operating Model'!F$4&lt;=Assumptions!$C$126,IF(Assumptions!$C$130=1,D511*Assumptions!$C$125+E511*Assumptions!$C$128,-PMT(Assumptions!$C$125,Assumptions!$C$111,D511)-PMT(Assumptions!$C$128,Assumptions!$C$111,E511)),IF(Assumptions!$C$136=1,0,IF('Operating Model'!F$4-Assumptions!$C$126&lt;='Debt (Assumed)'!$B$100,H511*'Debt (Assumed)'!$B$98,-PMT('Debt (Assumed)'!$B$98,Assumptions!$C$111,H511))))</f>
        <v>586314.640284137</v>
      </c>
    </row>
    <row r="513" customFormat="false" ht="15" hidden="false" customHeight="false" outlineLevel="0" collapsed="false">
      <c r="A513" s="2" t="s">
        <v>932</v>
      </c>
      <c r="B513" s="30" t="n">
        <f aca="false">-F511</f>
        <v>-5095290</v>
      </c>
      <c r="C513" s="30" t="n">
        <f aca="false">IF(AND(Assumptions!$C$136=1,'Operating Model'!B$4&gt;Assumptions!$C$126),0,'Operating Model'!B55+(C510-'Operating Model'!B49)-C512-IF('Operating Model'!B$4=Assumptions!$C$126,IF(Assumptions!$C$136=1,-M511,G511-H511+L511),0)+IF(AND(Assumptions!$C$136&lt;&gt;1,'Operating Model'!B$4=Assumptions!$C$154),K511,0))</f>
        <v>451614.438496</v>
      </c>
      <c r="D513" s="30" t="n">
        <f aca="false">IF(AND(Assumptions!$C$136=1,'Operating Model'!C$4&gt;Assumptions!$C$126),0,'Operating Model'!C55+(D510-'Operating Model'!C49)-D512-IF('Operating Model'!C$4=Assumptions!$C$126,IF(Assumptions!$C$136=1,-M511,G511-H511+L511),0)+IF(AND(Assumptions!$C$136&lt;&gt;1,'Operating Model'!C$4=Assumptions!$C$154),K511,0))</f>
        <v>328301.041376455</v>
      </c>
      <c r="E513" s="30" t="n">
        <f aca="false">IF(AND(Assumptions!$C$136=1,'Operating Model'!D$4&gt;Assumptions!$C$126),0,'Operating Model'!D55+(E510-'Operating Model'!D49)-E512-IF('Operating Model'!D$4=Assumptions!$C$126,IF(Assumptions!$C$136=1,-M511,G511-H511+L511),0)+IF(AND(Assumptions!$C$136&lt;&gt;1,'Operating Model'!D$4=Assumptions!$C$154),K511,0))</f>
        <v>-357752.114533679</v>
      </c>
      <c r="F513" s="30" t="n">
        <f aca="false">IF(AND(Assumptions!$C$136=1,'Operating Model'!E$4&gt;Assumptions!$C$126),0,'Operating Model'!E55+(F510-'Operating Model'!E49)-F512-IF('Operating Model'!E$4=Assumptions!$C$126,IF(Assumptions!$C$136=1,-M511,G511-H511+L511),0)+IF(AND(Assumptions!$C$136&lt;&gt;1,'Operating Model'!E$4=Assumptions!$C$154),K511,0))</f>
        <v>302118.723364882</v>
      </c>
      <c r="G513" s="30" t="n">
        <f aca="false">IF(AND(Assumptions!$C$136=1,'Operating Model'!F$4&gt;Assumptions!$C$126),0,'Operating Model'!F55+(G510-'Operating Model'!F49)-G512-IF('Operating Model'!F$4=Assumptions!$C$126,IF(Assumptions!$C$136=1,-M511,G511-H511+L511),0)+IF(AND(Assumptions!$C$136&lt;&gt;1,'Operating Model'!F$4=Assumptions!$C$154),K511,0))</f>
        <v>4329863.66496556</v>
      </c>
      <c r="H513" s="22" t="n">
        <f aca="false">IFERROR(IRR(B513:G513),"N/A")</f>
        <v>-0.00178783081386512</v>
      </c>
      <c r="I513" s="24" t="n">
        <f aca="false">SUM(C513:G513)/F511</f>
        <v>0.991925043259406</v>
      </c>
    </row>
    <row r="515" customFormat="false" ht="15" hidden="false" customHeight="false" outlineLevel="0" collapsed="false">
      <c r="A515" s="2" t="s">
        <v>933</v>
      </c>
      <c r="C515" s="30" t="n">
        <f aca="false">'Unit Mix'!$H$6*(1+('Operating Model'!B$6+E$21))</f>
        <v>1573.25</v>
      </c>
      <c r="D515" s="30" t="n">
        <f aca="false">C515*(1+('Operating Model'!C$6+E$21))</f>
        <v>1608.648125</v>
      </c>
      <c r="E515" s="30" t="n">
        <f aca="false">D515*(1+('Operating Model'!D$6+E$21))</f>
        <v>1656.90756875</v>
      </c>
      <c r="F515" s="30" t="n">
        <f aca="false">E515*(1+('Operating Model'!E$6+E$21))</f>
        <v>1714.89933365625</v>
      </c>
      <c r="G515" s="30" t="n">
        <f aca="false">F515*(1+('Operating Model'!F$6+E$21))</f>
        <v>1774.92081033422</v>
      </c>
      <c r="H515" s="30" t="n">
        <f aca="false">G515*(1+('Operating Model'!G$6+E$21))</f>
        <v>1837.04303869592</v>
      </c>
    </row>
    <row r="516" customFormat="false" ht="15" hidden="false" customHeight="false" outlineLevel="0" collapsed="false">
      <c r="A516" s="2" t="s">
        <v>934</v>
      </c>
      <c r="C516" s="30" t="n">
        <f aca="false">'Unit Mix'!$G$6+Assumptions!$C$48*Assumptions!$C$47*(C515-'Unit Mix'!$G$6)</f>
        <v>1486.6125</v>
      </c>
      <c r="D516" s="30" t="n">
        <f aca="false">C516+Assumptions!$C$48*Assumptions!$C$47*(D515-C516)</f>
        <v>1520.172296875</v>
      </c>
      <c r="E516" s="30" t="n">
        <f aca="false">D516+Assumptions!$C$48*Assumptions!$C$47*(E515-D516)</f>
        <v>1557.77449664062</v>
      </c>
      <c r="F516" s="30" t="n">
        <f aca="false">E516+Assumptions!$C$48*Assumptions!$C$47*(F515-E516)</f>
        <v>1600.98382681992</v>
      </c>
      <c r="G516" s="30" t="n">
        <f aca="false">F516+Assumptions!$C$48*Assumptions!$C$47*(G515-F516)</f>
        <v>1648.81649728635</v>
      </c>
      <c r="H516" s="30" t="n">
        <f aca="false">G516+Assumptions!$C$48*Assumptions!$C$47*(H515-G516)</f>
        <v>1700.57879617398</v>
      </c>
    </row>
    <row r="517" customFormat="false" ht="15" hidden="false" customHeight="false" outlineLevel="0" collapsed="false">
      <c r="A517" s="2" t="s">
        <v>935</v>
      </c>
      <c r="C517" s="30" t="n">
        <f aca="false">'Unit Mix'!$H$7*(1+('Operating Model'!B$6+E$21))</f>
        <v>1806.7</v>
      </c>
      <c r="D517" s="30" t="n">
        <f aca="false">C517*(1+('Operating Model'!C$6+E$21))</f>
        <v>1847.35075</v>
      </c>
      <c r="E517" s="30" t="n">
        <f aca="false">D517*(1+('Operating Model'!D$6+E$21))</f>
        <v>1902.7712725</v>
      </c>
      <c r="F517" s="30" t="n">
        <f aca="false">E517*(1+('Operating Model'!E$6+E$21))</f>
        <v>1969.3682670375</v>
      </c>
      <c r="G517" s="30" t="n">
        <f aca="false">F517*(1+('Operating Model'!F$6+E$21))</f>
        <v>2038.29615638381</v>
      </c>
      <c r="H517" s="30" t="n">
        <f aca="false">G517*(1+('Operating Model'!G$6+E$21))</f>
        <v>2109.63652185725</v>
      </c>
    </row>
    <row r="518" customFormat="false" ht="15" hidden="false" customHeight="false" outlineLevel="0" collapsed="false">
      <c r="A518" s="2" t="s">
        <v>936</v>
      </c>
      <c r="C518" s="30" t="n">
        <f aca="false">'Unit Mix'!$G$7+Assumptions!$C$48*Assumptions!$C$47*(C517-'Unit Mix'!$G$7)</f>
        <v>1709.94875</v>
      </c>
      <c r="D518" s="30" t="n">
        <f aca="false">C518+Assumptions!$C$48*Assumptions!$C$47*(D517-C518)</f>
        <v>1747.7343</v>
      </c>
      <c r="E518" s="30" t="n">
        <f aca="false">D518+Assumptions!$C$48*Assumptions!$C$47*(E517-D518)</f>
        <v>1790.3694674375</v>
      </c>
      <c r="F518" s="30" t="n">
        <f aca="false">E518+Assumptions!$C$48*Assumptions!$C$47*(F517-E518)</f>
        <v>1839.5941373275</v>
      </c>
      <c r="G518" s="30" t="n">
        <f aca="false">F518+Assumptions!$C$48*Assumptions!$C$47*(G517-F518)</f>
        <v>1894.23719256799</v>
      </c>
      <c r="H518" s="30" t="n">
        <f aca="false">G518+Assumptions!$C$48*Assumptions!$C$47*(H517-G518)</f>
        <v>1953.47200812253</v>
      </c>
    </row>
    <row r="519" customFormat="false" ht="15" hidden="false" customHeight="false" outlineLevel="0" collapsed="false">
      <c r="A519" s="2" t="s">
        <v>937</v>
      </c>
      <c r="C519" s="30" t="n">
        <f aca="false">'Unit Mix'!$H$8*(1+('Operating Model'!B$6+E$21))</f>
        <v>2080.75</v>
      </c>
      <c r="D519" s="30" t="n">
        <f aca="false">C519*(1+('Operating Model'!C$6+E$21))</f>
        <v>2127.566875</v>
      </c>
      <c r="E519" s="30" t="n">
        <f aca="false">D519*(1+('Operating Model'!D$6+E$21))</f>
        <v>2191.39388125</v>
      </c>
      <c r="F519" s="30" t="n">
        <f aca="false">E519*(1+('Operating Model'!E$6+E$21))</f>
        <v>2268.09266709375</v>
      </c>
      <c r="G519" s="30" t="n">
        <f aca="false">F519*(1+('Operating Model'!F$6+E$21))</f>
        <v>2347.47591044203</v>
      </c>
      <c r="H519" s="30" t="n">
        <f aca="false">G519*(1+('Operating Model'!G$6+E$21))</f>
        <v>2429.6375673075</v>
      </c>
    </row>
    <row r="520" customFormat="false" ht="15" hidden="false" customHeight="false" outlineLevel="0" collapsed="false">
      <c r="A520" s="2" t="s">
        <v>938</v>
      </c>
      <c r="C520" s="30" t="n">
        <f aca="false">'Unit Mix'!$G$8+Assumptions!$C$48*Assumptions!$C$47*(C519-'Unit Mix'!$G$8)</f>
        <v>1969.64375</v>
      </c>
      <c r="D520" s="30" t="n">
        <f aca="false">C520+Assumptions!$C$48*Assumptions!$C$47*(D519-C520)</f>
        <v>2013.072609375</v>
      </c>
      <c r="E520" s="30" t="n">
        <f aca="false">D520+Assumptions!$C$48*Assumptions!$C$47*(E519-D520)</f>
        <v>2062.11095914063</v>
      </c>
      <c r="F520" s="30" t="n">
        <f aca="false">E520+Assumptions!$C$48*Assumptions!$C$47*(F519-E520)</f>
        <v>2118.75592882773</v>
      </c>
      <c r="G520" s="30" t="n">
        <f aca="false">F520+Assumptions!$C$48*Assumptions!$C$47*(G519-F520)</f>
        <v>2181.65392377167</v>
      </c>
      <c r="H520" s="30" t="n">
        <f aca="false">G520+Assumptions!$C$48*Assumptions!$C$47*(H519-G520)</f>
        <v>2249.84942574402</v>
      </c>
    </row>
    <row r="521" customFormat="false" ht="15" hidden="false" customHeight="false" outlineLevel="0" collapsed="false">
      <c r="A521" s="2" t="s">
        <v>939</v>
      </c>
      <c r="C521" s="30" t="n">
        <f aca="false">'Unit Mix'!$H$9*(1+('Operating Model'!B$6+E$21))</f>
        <v>2233</v>
      </c>
      <c r="D521" s="30" t="n">
        <f aca="false">C521*(1+('Operating Model'!C$6+E$21))</f>
        <v>2283.2425</v>
      </c>
      <c r="E521" s="30" t="n">
        <f aca="false">D521*(1+('Operating Model'!D$6+E$21))</f>
        <v>2351.739775</v>
      </c>
      <c r="F521" s="30" t="n">
        <f aca="false">E521*(1+('Operating Model'!E$6+E$21))</f>
        <v>2434.050667125</v>
      </c>
      <c r="G521" s="30" t="n">
        <f aca="false">F521*(1+('Operating Model'!F$6+E$21))</f>
        <v>2519.24244047437</v>
      </c>
      <c r="H521" s="30" t="n">
        <f aca="false">G521*(1+('Operating Model'!G$6+E$21))</f>
        <v>2607.41592589098</v>
      </c>
    </row>
    <row r="522" customFormat="false" ht="15" hidden="false" customHeight="false" outlineLevel="0" collapsed="false">
      <c r="A522" s="2" t="s">
        <v>940</v>
      </c>
      <c r="C522" s="30" t="n">
        <f aca="false">'Unit Mix'!$G$9+Assumptions!$C$48*Assumptions!$C$47*(C521-'Unit Mix'!$G$9)</f>
        <v>2113.91875</v>
      </c>
      <c r="D522" s="30" t="n">
        <f aca="false">C522+Assumptions!$C$48*Assumptions!$C$47*(D521-C522)</f>
        <v>2160.48278125</v>
      </c>
      <c r="E522" s="30" t="n">
        <f aca="false">D522+Assumptions!$C$48*Assumptions!$C$47*(E521-D522)</f>
        <v>2213.07845453125</v>
      </c>
      <c r="F522" s="30" t="n">
        <f aca="false">E522+Assumptions!$C$48*Assumptions!$C$47*(F521-E522)</f>
        <v>2273.84581299453</v>
      </c>
      <c r="G522" s="30" t="n">
        <f aca="false">F522+Assumptions!$C$48*Assumptions!$C$47*(G521-F522)</f>
        <v>2341.32988555149</v>
      </c>
      <c r="H522" s="30" t="n">
        <f aca="false">G522+Assumptions!$C$48*Assumptions!$C$47*(H521-G522)</f>
        <v>2414.50354664485</v>
      </c>
    </row>
    <row r="523" customFormat="false" ht="15" hidden="false" customHeight="false" outlineLevel="0" collapsed="false">
      <c r="A523" s="2" t="s">
        <v>941</v>
      </c>
      <c r="C523" s="30" t="n">
        <f aca="false">('Unit Mix'!$C$6*('Unit Mix'!$F$6*(1-Assumptions!$C$39)+(C515+Assumptions!$C$37)*Assumptions!$C$39)+'Unit Mix'!$D$6*C516+'Unit Mix'!$C$7*('Unit Mix'!$F$7*(1-Assumptions!$C$39)+(C517+Assumptions!$C$37)*Assumptions!$C$39)+'Unit Mix'!$D$7*C518+'Unit Mix'!$C$8*('Unit Mix'!$F$8*(1-Assumptions!$C$39)+(C519+Assumptions!$C$37)*Assumptions!$C$39)+'Unit Mix'!$D$8*C520+'Unit Mix'!$C$9*('Unit Mix'!$F$9*(1-Assumptions!$C$39)+(C521+Assumptions!$C$37)*Assumptions!$C$39)+'Unit Mix'!$D$9*C522)*12</f>
        <v>2020542.255</v>
      </c>
      <c r="D523" s="30" t="n">
        <f aca="false">('Unit Mix'!$C$6*(D515+Assumptions!$C$37)+'Unit Mix'!$D$6*D516+'Unit Mix'!$C$7*(D517+Assumptions!$C$37)+'Unit Mix'!$D$7*D518+'Unit Mix'!$C$8*(D519+Assumptions!$C$37)+'Unit Mix'!$D$8*D520+'Unit Mix'!$C$9*(D521+Assumptions!$C$37)+'Unit Mix'!$D$9*D522)*12</f>
        <v>2115428.0952375</v>
      </c>
      <c r="E523" s="30" t="n">
        <f aca="false">('Unit Mix'!$C$6*(E515+Assumptions!$C$37)+'Unit Mix'!$D$6*E516+'Unit Mix'!$C$7*(E517+Assumptions!$C$37)+'Unit Mix'!$D$7*E518+'Unit Mix'!$C$8*(E519+Assumptions!$C$37)+'Unit Mix'!$D$8*E520+'Unit Mix'!$C$9*(E521+Assumptions!$C$37)+'Unit Mix'!$D$9*E522)*12</f>
        <v>2170134.86738306</v>
      </c>
      <c r="F523" s="30" t="n">
        <f aca="false">('Unit Mix'!$C$6*(F515+Assumptions!$C$37)+'Unit Mix'!$D$6*F516+'Unit Mix'!$C$7*(F517+Assumptions!$C$37)+'Unit Mix'!$D$7*F518+'Unit Mix'!$C$8*(F519+Assumptions!$C$37)+'Unit Mix'!$D$8*F520+'Unit Mix'!$C$9*(F521+Assumptions!$C$37)+'Unit Mix'!$D$9*F522)*12</f>
        <v>2234036.40618041</v>
      </c>
      <c r="G523" s="30" t="n">
        <f aca="false">('Unit Mix'!$C$6*(G515+Assumptions!$C$37)+'Unit Mix'!$D$6*G516+'Unit Mix'!$C$7*(G517+Assumptions!$C$37)+'Unit Mix'!$D$7*G518+'Unit Mix'!$C$8*(G519+Assumptions!$C$37)+'Unit Mix'!$D$8*G520+'Unit Mix'!$C$9*(G521+Assumptions!$C$37)+'Unit Mix'!$D$9*G522)*12</f>
        <v>2303489.12376496</v>
      </c>
      <c r="H523" s="30" t="n">
        <f aca="false">('Unit Mix'!$C$6*(H515+Assumptions!$C$37)+'Unit Mix'!$D$6*H516+'Unit Mix'!$C$7*(H517+Assumptions!$C$37)+'Unit Mix'!$D$7*H518+'Unit Mix'!$C$8*(H519+Assumptions!$C$37)+'Unit Mix'!$D$8*H520+'Unit Mix'!$C$9*(H521+Assumptions!$C$37)+'Unit Mix'!$D$9*H522)*12</f>
        <v>2377775.78953871</v>
      </c>
    </row>
    <row r="524" customFormat="false" ht="15" hidden="false" customHeight="false" outlineLevel="0" collapsed="false">
      <c r="A524" s="2" t="s">
        <v>942</v>
      </c>
      <c r="C524" s="30" t="n">
        <f aca="false">'Operating Model'!B49-'Operating Model'!B42+'Operating Model'!$B$42*1*(1+Assumptions!$C$18+E$21)^('Operating Model'!B$4-1)+((C523-'Operating Model'!B25)+0)*(1-(Assumptions!$C$42+Assumptions!$C$43+Assumptions!$C$44))*(1-Assumptions!$C$75)</f>
        <v>881345.670989</v>
      </c>
      <c r="D524" s="30" t="n">
        <f aca="false">'Operating Model'!C49-'Operating Model'!C42+'Operating Model'!$B$42*1*(1+Assumptions!$C$18+E$21)^('Operating Model'!C$4-1)+((D523-'Operating Model'!C25)+0)*(1-(Assumptions!$C$42+Assumptions!$C$43+Assumptions!$C$44))*(1-Assumptions!$C$75)</f>
        <v>924857.259628853</v>
      </c>
      <c r="E524" s="30" t="n">
        <f aca="false">'Operating Model'!D49-'Operating Model'!D42+'Operating Model'!$B$42*1*(1+Assumptions!$C$18+E$21)^('Operating Model'!D$4-1)+((E523-'Operating Model'!D25)+0)*(1-(Assumptions!$C$42+Assumptions!$C$43+Assumptions!$C$44))*(1-Assumptions!$C$75)</f>
        <v>930663.458546298</v>
      </c>
      <c r="F524" s="30" t="n">
        <f aca="false">'Operating Model'!E49-'Operating Model'!E42+'Operating Model'!$B$42*1*(1+Assumptions!$C$18+E$21)^('Operating Model'!E$4-1)+((F523-'Operating Model'!E25)+0)*(1-(Assumptions!$C$42+Assumptions!$C$43+Assumptions!$C$44))*(1-Assumptions!$C$75)</f>
        <v>942484.914311808</v>
      </c>
      <c r="G524" s="30" t="n">
        <f aca="false">'Operating Model'!F49-'Operating Model'!F42+'Operating Model'!$B$42*1*(1+Assumptions!$C$18+E$21)^('Operating Model'!F$4-1)+((G523-'Operating Model'!F25)+0)*(1-(Assumptions!$C$42+Assumptions!$C$43+Assumptions!$C$44))*(1-Assumptions!$C$75)</f>
        <v>956966.501547713</v>
      </c>
      <c r="H524" s="30" t="n">
        <f aca="false">'Operating Model'!G49-'Operating Model'!G42+'Operating Model'!$B$42*1*(1+Assumptions!$C$18+E$21)^('Operating Model'!G$4-1)+((H523-'Operating Model'!G25)+0)*(1-(Assumptions!$C$42+Assumptions!$C$43+Assumptions!$C$44))*(1-Assumptions!$C$75)</f>
        <v>973343.765090856</v>
      </c>
      <c r="I524" s="30" t="n">
        <f aca="false">H524-'Operating Model'!$B$42*1*(1+Assumptions!$C$18+E$21)^('Operating Model'!G$4-1)</f>
        <v>1254357.26921807</v>
      </c>
    </row>
    <row r="525" customFormat="false" ht="15" hidden="false" customHeight="false" outlineLevel="0" collapsed="false">
      <c r="A525" s="2" t="s">
        <v>943</v>
      </c>
      <c r="B525" s="30" t="n">
        <f aca="false">Assumptions!$C$7*1</f>
        <v>13800000</v>
      </c>
      <c r="C525" s="30" t="n">
        <f aca="false">MAX(0,(Assumptions!$C$124+Assumptions!$C$127)-Assumptions!$C$132*B525)</f>
        <v>0</v>
      </c>
      <c r="D525" s="30" t="n">
        <f aca="false">Assumptions!$C$124-MAX(0,C525-Assumptions!$C$127)</f>
        <v>5887000</v>
      </c>
      <c r="E525" s="30" t="n">
        <f aca="false">Assumptions!$C$127-MIN(C525,Assumptions!$C$127)</f>
        <v>3563000</v>
      </c>
      <c r="F525" s="30" t="n">
        <f aca="false">B525*(1+Assumptions!$C$10)+'Unit Mix'!$D$18*1+(D525+E525)*Assumptions!$C$131-(D525+E525)</f>
        <v>5095290</v>
      </c>
      <c r="G525" s="30" t="n">
        <f aca="false">IF(Assumptions!$C$130=1,D525+E525,-FV(Assumptions!$C$125,Assumptions!$C$126,PMT(Assumptions!$C$125,Assumptions!$C$111,D525),D525)-FV(Assumptions!$C$128,Assumptions!$C$126,PMT(Assumptions!$C$128,Assumptions!$C$111,E525),E525))</f>
        <v>9450000</v>
      </c>
      <c r="H525" s="30" t="n">
        <f aca="false">MIN(INDEX(C524:H524,Assumptions!$C$126+1)/$A$26*Assumptions!$C$108,INDEX(C524:H524,Assumptions!$C$126+1)/(Assumptions!$C$109*-PMT('Debt (Assumed)'!$B$99,Assumptions!$C$111,1)))</f>
        <v>8904888.71000523</v>
      </c>
      <c r="I525" s="30" t="n">
        <f aca="false">IF(MAX(0,Assumptions!$C$154-Assumptions!$C$126-'Debt (Assumed)'!$B$100)=0,H525,-FV('Debt (Assumed)'!$B$98,MAX(0,Assumptions!$C$154-Assumptions!$C$126-'Debt (Assumed)'!$B$100),PMT('Debt (Assumed)'!$B$98,Assumptions!$C$111,H525),H525))</f>
        <v>8904888.71000523</v>
      </c>
      <c r="J525" s="30" t="n">
        <f aca="false">I525*'Debt (Assumed)'!$B$102</f>
        <v>0</v>
      </c>
      <c r="K525" s="30" t="n">
        <f aca="false">I524/($A$26+Returns!$B$35)*(1-Assumptions!$C$158)-I525-J525</f>
        <v>4292443.45777027</v>
      </c>
      <c r="L525" s="30" t="n">
        <f aca="false">H525*'Debt (Assumed)'!$B$101</f>
        <v>96172.7980680565</v>
      </c>
      <c r="M525" s="30" t="n">
        <f aca="false">(INDEX(C524:H524,Assumptions!$C$126+1)-'Operating Model'!$B$42*1*(1+Assumptions!$C$18+E$21)^Assumptions!$C$126)/($A$26+Returns!$B$35)*(1-Assumptions!$C$158)-G525</f>
        <v>3226078.26708235</v>
      </c>
    </row>
    <row r="526" customFormat="false" ht="15" hidden="false" customHeight="false" outlineLevel="0" collapsed="false">
      <c r="A526" s="2" t="s">
        <v>944</v>
      </c>
      <c r="C526" s="30" t="n">
        <f aca="false">IF('Operating Model'!B$4&lt;=Assumptions!$C$126,IF(Assumptions!$C$130=1,D525*Assumptions!$C$125+E525*Assumptions!$C$128,-PMT(Assumptions!$C$125,Assumptions!$C$111,D525)-PMT(Assumptions!$C$128,Assumptions!$C$111,E525)),IF(Assumptions!$C$136=1,0,IF('Operating Model'!B$4-Assumptions!$C$126&lt;='Debt (Assumed)'!$B$100,H525*'Debt (Assumed)'!$B$98,-PMT('Debt (Assumed)'!$B$98,Assumptions!$C$111,H525))))</f>
        <v>397516</v>
      </c>
      <c r="D526" s="30" t="n">
        <f aca="false">IF('Operating Model'!C$4&lt;=Assumptions!$C$126,IF(Assumptions!$C$130=1,D525*Assumptions!$C$125+E525*Assumptions!$C$128,-PMT(Assumptions!$C$125,Assumptions!$C$111,D525)-PMT(Assumptions!$C$128,Assumptions!$C$111,E525)),IF(Assumptions!$C$136=1,0,IF('Operating Model'!C$4-Assumptions!$C$126&lt;='Debt (Assumed)'!$B$100,H525*'Debt (Assumed)'!$B$98,-PMT('Debt (Assumed)'!$B$98,Assumptions!$C$111,H525))))</f>
        <v>397516</v>
      </c>
      <c r="E526" s="30" t="n">
        <f aca="false">IF('Operating Model'!D$4&lt;=Assumptions!$C$126,IF(Assumptions!$C$130=1,D525*Assumptions!$C$125+E525*Assumptions!$C$128,-PMT(Assumptions!$C$125,Assumptions!$C$111,D525)-PMT(Assumptions!$C$128,Assumptions!$C$111,E525)),IF(Assumptions!$C$136=1,0,IF('Operating Model'!D$4-Assumptions!$C$126&lt;='Debt (Assumed)'!$B$100,H525*'Debt (Assumed)'!$B$98,-PMT('Debt (Assumed)'!$B$98,Assumptions!$C$111,H525))))</f>
        <v>397516</v>
      </c>
      <c r="F526" s="30" t="n">
        <f aca="false">IF('Operating Model'!E$4&lt;=Assumptions!$C$126,IF(Assumptions!$C$130=1,D525*Assumptions!$C$125+E525*Assumptions!$C$128,-PMT(Assumptions!$C$125,Assumptions!$C$111,D525)-PMT(Assumptions!$C$128,Assumptions!$C$111,E525)),IF(Assumptions!$C$136=1,0,IF('Operating Model'!E$4-Assumptions!$C$126&lt;='Debt (Assumed)'!$B$100,H525*'Debt (Assumed)'!$B$98,-PMT('Debt (Assumed)'!$B$98,Assumptions!$C$111,H525))))</f>
        <v>600189.499054352</v>
      </c>
      <c r="G526" s="30" t="n">
        <f aca="false">IF('Operating Model'!F$4&lt;=Assumptions!$C$126,IF(Assumptions!$C$130=1,D525*Assumptions!$C$125+E525*Assumptions!$C$128,-PMT(Assumptions!$C$125,Assumptions!$C$111,D525)-PMT(Assumptions!$C$128,Assumptions!$C$111,E525)),IF(Assumptions!$C$136=1,0,IF('Operating Model'!F$4-Assumptions!$C$126&lt;='Debt (Assumed)'!$B$100,H525*'Debt (Assumed)'!$B$98,-PMT('Debt (Assumed)'!$B$98,Assumptions!$C$111,H525))))</f>
        <v>600189.499054352</v>
      </c>
    </row>
    <row r="527" customFormat="false" ht="15" hidden="false" customHeight="false" outlineLevel="0" collapsed="false">
      <c r="A527" s="2" t="s">
        <v>945</v>
      </c>
      <c r="B527" s="30" t="n">
        <f aca="false">-F525</f>
        <v>-5095290</v>
      </c>
      <c r="C527" s="30" t="n">
        <f aca="false">IF(AND(Assumptions!$C$136=1,'Operating Model'!B$4&gt;Assumptions!$C$126),0,'Operating Model'!B55+(C524-'Operating Model'!B49)-C526-IF('Operating Model'!B$4=Assumptions!$C$126,IF(Assumptions!$C$136=1,-M525,G525-H525+L525),0)+IF(AND(Assumptions!$C$136&lt;&gt;1,'Operating Model'!B$4=Assumptions!$C$154),K525,0))</f>
        <v>454729.670989</v>
      </c>
      <c r="D527" s="30" t="n">
        <f aca="false">IF(AND(Assumptions!$C$136=1,'Operating Model'!C$4&gt;Assumptions!$C$126),0,'Operating Model'!C55+(D524-'Operating Model'!C49)-D526-IF('Operating Model'!C$4=Assumptions!$C$126,IF(Assumptions!$C$136=1,-M525,G525-H525+L525),0)+IF(AND(Assumptions!$C$136&lt;&gt;1,'Operating Model'!C$4=Assumptions!$C$154),K525,0))</f>
        <v>337222.759628853</v>
      </c>
      <c r="E527" s="30" t="n">
        <f aca="false">IF(AND(Assumptions!$C$136=1,'Operating Model'!D$4&gt;Assumptions!$C$126),0,'Operating Model'!D55+(E524-'Operating Model'!D49)-E526-IF('Operating Model'!D$4=Assumptions!$C$126,IF(Assumptions!$C$136=1,-M525,G525-H525+L525),0)+IF(AND(Assumptions!$C$136&lt;&gt;1,'Operating Model'!D$4=Assumptions!$C$154),K525,0))</f>
        <v>-139309.277016531</v>
      </c>
      <c r="F527" s="30" t="n">
        <f aca="false">IF(AND(Assumptions!$C$136=1,'Operating Model'!E$4&gt;Assumptions!$C$126),0,'Operating Model'!E55+(F524-'Operating Model'!E49)-F526-IF('Operating Model'!E$4=Assumptions!$C$126,IF(Assumptions!$C$136=1,-M525,G525-H525+L525),0)+IF(AND(Assumptions!$C$136&lt;&gt;1,'Operating Model'!E$4=Assumptions!$C$154),K525,0))</f>
        <v>310031.725094956</v>
      </c>
      <c r="G527" s="30" t="n">
        <f aca="false">IF(AND(Assumptions!$C$136=1,'Operating Model'!F$4&gt;Assumptions!$C$126),0,'Operating Model'!F55+(G524-'Operating Model'!F49)-G526-IF('Operating Model'!F$4=Assumptions!$C$126,IF(Assumptions!$C$136=1,-M525,G525-H525+L525),0)+IF(AND(Assumptions!$C$136&lt;&gt;1,'Operating Model'!F$4=Assumptions!$C$154),K525,0))</f>
        <v>4615827.54094544</v>
      </c>
      <c r="H527" s="22" t="n">
        <f aca="false">IFERROR(IRR(B527:G527),"N/A")</f>
        <v>0.0204712238759442</v>
      </c>
      <c r="I527" s="24" t="n">
        <f aca="false">SUM(C527:G527)/F525</f>
        <v>1.09483511628224</v>
      </c>
    </row>
    <row r="529" customFormat="false" ht="15" hidden="false" customHeight="false" outlineLevel="0" collapsed="false">
      <c r="A529" s="2" t="s">
        <v>946</v>
      </c>
      <c r="C529" s="30" t="n">
        <f aca="false">'Unit Mix'!$H$6*(1+('Operating Model'!B$6+F$21))</f>
        <v>1581</v>
      </c>
      <c r="D529" s="30" t="n">
        <f aca="false">C529*(1+('Operating Model'!C$6+F$21))</f>
        <v>1624.4775</v>
      </c>
      <c r="E529" s="30" t="n">
        <f aca="false">D529*(1+('Operating Model'!D$6+F$21))</f>
        <v>1681.3342125</v>
      </c>
      <c r="F529" s="30" t="n">
        <f aca="false">E529*(1+('Operating Model'!E$6+F$21))</f>
        <v>1748.587581</v>
      </c>
      <c r="G529" s="30" t="n">
        <f aca="false">F529*(1+('Operating Model'!F$6+F$21))</f>
        <v>1818.53108424</v>
      </c>
      <c r="H529" s="30" t="n">
        <f aca="false">G529*(1+('Operating Model'!G$6+F$21))</f>
        <v>1891.2723276096</v>
      </c>
    </row>
    <row r="530" customFormat="false" ht="15" hidden="false" customHeight="false" outlineLevel="0" collapsed="false">
      <c r="A530" s="2" t="s">
        <v>947</v>
      </c>
      <c r="C530" s="30" t="n">
        <f aca="false">'Unit Mix'!$G$6+Assumptions!$C$48*Assumptions!$C$47*(C529-'Unit Mix'!$G$6)</f>
        <v>1488.74375</v>
      </c>
      <c r="D530" s="30" t="n">
        <f aca="false">C530+Assumptions!$C$48*Assumptions!$C$47*(D529-C530)</f>
        <v>1526.07053125</v>
      </c>
      <c r="E530" s="30" t="n">
        <f aca="false">D530+Assumptions!$C$48*Assumptions!$C$47*(E529-D530)</f>
        <v>1568.76804359375</v>
      </c>
      <c r="F530" s="30" t="n">
        <f aca="false">E530+Assumptions!$C$48*Assumptions!$C$47*(F529-E530)</f>
        <v>1618.21841638047</v>
      </c>
      <c r="G530" s="30" t="n">
        <f aca="false">F530+Assumptions!$C$48*Assumptions!$C$47*(G529-F530)</f>
        <v>1673.30440004184</v>
      </c>
      <c r="H530" s="30" t="n">
        <f aca="false">G530+Assumptions!$C$48*Assumptions!$C$47*(H529-G530)</f>
        <v>1733.24558012297</v>
      </c>
    </row>
    <row r="531" customFormat="false" ht="15" hidden="false" customHeight="false" outlineLevel="0" collapsed="false">
      <c r="A531" s="2" t="s">
        <v>948</v>
      </c>
      <c r="C531" s="30" t="n">
        <f aca="false">'Unit Mix'!$H$7*(1+('Operating Model'!B$6+F$21))</f>
        <v>1815.6</v>
      </c>
      <c r="D531" s="30" t="n">
        <f aca="false">C531*(1+('Operating Model'!C$6+F$21))</f>
        <v>1865.529</v>
      </c>
      <c r="E531" s="30" t="n">
        <f aca="false">D531*(1+('Operating Model'!D$6+F$21))</f>
        <v>1930.822515</v>
      </c>
      <c r="F531" s="30" t="n">
        <f aca="false">E531*(1+('Operating Model'!E$6+F$21))</f>
        <v>2008.0554156</v>
      </c>
      <c r="G531" s="30" t="n">
        <f aca="false">F531*(1+('Operating Model'!F$6+F$21))</f>
        <v>2088.377632224</v>
      </c>
      <c r="H531" s="30" t="n">
        <f aca="false">G531*(1+('Operating Model'!G$6+F$21))</f>
        <v>2171.91273751296</v>
      </c>
    </row>
    <row r="532" customFormat="false" ht="15" hidden="false" customHeight="false" outlineLevel="0" collapsed="false">
      <c r="A532" s="2" t="s">
        <v>949</v>
      </c>
      <c r="C532" s="30" t="n">
        <f aca="false">'Unit Mix'!$G$7+Assumptions!$C$48*Assumptions!$C$47*(C531-'Unit Mix'!$G$7)</f>
        <v>1712.39625</v>
      </c>
      <c r="D532" s="30" t="n">
        <f aca="false">C532+Assumptions!$C$48*Assumptions!$C$47*(D531-C532)</f>
        <v>1754.50775625</v>
      </c>
      <c r="E532" s="30" t="n">
        <f aca="false">D532+Assumptions!$C$48*Assumptions!$C$47*(E531-D532)</f>
        <v>1802.99431490625</v>
      </c>
      <c r="F532" s="30" t="n">
        <f aca="false">E532+Assumptions!$C$48*Assumptions!$C$47*(F531-E532)</f>
        <v>1859.38611759703</v>
      </c>
      <c r="G532" s="30" t="n">
        <f aca="false">F532+Assumptions!$C$48*Assumptions!$C$47*(G531-F532)</f>
        <v>1922.35878411945</v>
      </c>
      <c r="H532" s="30" t="n">
        <f aca="false">G532+Assumptions!$C$48*Assumptions!$C$47*(H531-G532)</f>
        <v>1990.98612130266</v>
      </c>
    </row>
    <row r="533" customFormat="false" ht="15" hidden="false" customHeight="false" outlineLevel="0" collapsed="false">
      <c r="A533" s="2" t="s">
        <v>950</v>
      </c>
      <c r="C533" s="30" t="n">
        <f aca="false">'Unit Mix'!$H$8*(1+('Operating Model'!B$6+F$21))</f>
        <v>2091</v>
      </c>
      <c r="D533" s="30" t="n">
        <f aca="false">C533*(1+('Operating Model'!C$6+F$21))</f>
        <v>2148.5025</v>
      </c>
      <c r="E533" s="30" t="n">
        <f aca="false">D533*(1+('Operating Model'!D$6+F$21))</f>
        <v>2223.7000875</v>
      </c>
      <c r="F533" s="30" t="n">
        <f aca="false">E533*(1+('Operating Model'!E$6+F$21))</f>
        <v>2312.648091</v>
      </c>
      <c r="G533" s="30" t="n">
        <f aca="false">F533*(1+('Operating Model'!F$6+F$21))</f>
        <v>2405.15401464</v>
      </c>
      <c r="H533" s="30" t="n">
        <f aca="false">G533*(1+('Operating Model'!G$6+F$21))</f>
        <v>2501.3601752256</v>
      </c>
    </row>
    <row r="534" customFormat="false" ht="15" hidden="false" customHeight="false" outlineLevel="0" collapsed="false">
      <c r="A534" s="2" t="s">
        <v>951</v>
      </c>
      <c r="C534" s="30" t="n">
        <f aca="false">'Unit Mix'!$G$8+Assumptions!$C$48*Assumptions!$C$47*(C533-'Unit Mix'!$G$8)</f>
        <v>1972.4625</v>
      </c>
      <c r="D534" s="30" t="n">
        <f aca="false">C534+Assumptions!$C$48*Assumptions!$C$47*(D533-C534)</f>
        <v>2020.8735</v>
      </c>
      <c r="E534" s="30" t="n">
        <f aca="false">D534+Assumptions!$C$48*Assumptions!$C$47*(E533-D534)</f>
        <v>2076.6508115625</v>
      </c>
      <c r="F534" s="30" t="n">
        <f aca="false">E534+Assumptions!$C$48*Assumptions!$C$47*(F533-E534)</f>
        <v>2141.55006340781</v>
      </c>
      <c r="G534" s="30" t="n">
        <f aca="false">F534+Assumptions!$C$48*Assumptions!$C$47*(G533-F534)</f>
        <v>2214.04114999666</v>
      </c>
      <c r="H534" s="30" t="n">
        <f aca="false">G534+Assumptions!$C$48*Assumptions!$C$47*(H533-G534)</f>
        <v>2293.05388193462</v>
      </c>
    </row>
    <row r="535" customFormat="false" ht="15" hidden="false" customHeight="false" outlineLevel="0" collapsed="false">
      <c r="A535" s="2" t="s">
        <v>952</v>
      </c>
      <c r="C535" s="30" t="n">
        <f aca="false">'Unit Mix'!$H$9*(1+('Operating Model'!B$6+F$21))</f>
        <v>2244</v>
      </c>
      <c r="D535" s="30" t="n">
        <f aca="false">C535*(1+('Operating Model'!C$6+F$21))</f>
        <v>2305.71</v>
      </c>
      <c r="E535" s="30" t="n">
        <f aca="false">D535*(1+('Operating Model'!D$6+F$21))</f>
        <v>2386.40985</v>
      </c>
      <c r="F535" s="30" t="n">
        <f aca="false">E535*(1+('Operating Model'!E$6+F$21))</f>
        <v>2481.866244</v>
      </c>
      <c r="G535" s="30" t="n">
        <f aca="false">F535*(1+('Operating Model'!F$6+F$21))</f>
        <v>2581.14089376</v>
      </c>
      <c r="H535" s="30" t="n">
        <f aca="false">G535*(1+('Operating Model'!G$6+F$21))</f>
        <v>2684.3865295104</v>
      </c>
    </row>
    <row r="536" customFormat="false" ht="15" hidden="false" customHeight="false" outlineLevel="0" collapsed="false">
      <c r="A536" s="2" t="s">
        <v>953</v>
      </c>
      <c r="C536" s="30" t="n">
        <f aca="false">'Unit Mix'!$G$9+Assumptions!$C$48*Assumptions!$C$47*(C535-'Unit Mix'!$G$9)</f>
        <v>2116.94375</v>
      </c>
      <c r="D536" s="30" t="n">
        <f aca="false">C536+Assumptions!$C$48*Assumptions!$C$47*(D535-C536)</f>
        <v>2168.85446875</v>
      </c>
      <c r="E536" s="30" t="n">
        <f aca="false">D536+Assumptions!$C$48*Assumptions!$C$47*(E535-D536)</f>
        <v>2228.68219859375</v>
      </c>
      <c r="F536" s="30" t="n">
        <f aca="false">E536+Assumptions!$C$48*Assumptions!$C$47*(F535-E536)</f>
        <v>2298.30781108047</v>
      </c>
      <c r="G536" s="30" t="n">
        <f aca="false">F536+Assumptions!$C$48*Assumptions!$C$47*(G535-F536)</f>
        <v>2376.08690881734</v>
      </c>
      <c r="H536" s="30" t="n">
        <f aca="false">G536+Assumptions!$C$48*Assumptions!$C$47*(H535-G536)</f>
        <v>2460.86930450793</v>
      </c>
    </row>
    <row r="537" customFormat="false" ht="15" hidden="false" customHeight="false" outlineLevel="0" collapsed="false">
      <c r="A537" s="2" t="s">
        <v>954</v>
      </c>
      <c r="C537" s="30" t="n">
        <f aca="false">('Unit Mix'!$C$6*('Unit Mix'!$F$6*(1-Assumptions!$C$39)+(C529+Assumptions!$C$37)*Assumptions!$C$39)+'Unit Mix'!$D$6*C530+'Unit Mix'!$C$7*('Unit Mix'!$F$7*(1-Assumptions!$C$39)+(C531+Assumptions!$C$37)*Assumptions!$C$39)+'Unit Mix'!$D$7*C532+'Unit Mix'!$C$8*('Unit Mix'!$F$8*(1-Assumptions!$C$39)+(C533+Assumptions!$C$37)*Assumptions!$C$39)+'Unit Mix'!$D$8*C534+'Unit Mix'!$C$9*('Unit Mix'!$F$9*(1-Assumptions!$C$39)+(C535+Assumptions!$C$37)*Assumptions!$C$39)+'Unit Mix'!$D$9*C536)*12</f>
        <v>2024051.19</v>
      </c>
      <c r="D537" s="30" t="n">
        <f aca="false">('Unit Mix'!$C$6*(D529+Assumptions!$C$37)+'Unit Mix'!$D$6*D530+'Unit Mix'!$C$7*(D531+Assumptions!$C$37)+'Unit Mix'!$D$7*D532+'Unit Mix'!$C$8*(D533+Assumptions!$C$37)+'Unit Mix'!$D$8*D534+'Unit Mix'!$C$9*(D535+Assumptions!$C$37)+'Unit Mix'!$D$9*D536)*12</f>
        <v>2126858.0151</v>
      </c>
      <c r="E537" s="30" t="n">
        <f aca="false">('Unit Mix'!$C$6*(E529+Assumptions!$C$37)+'Unit Mix'!$D$6*E530+'Unit Mix'!$C$7*(E531+Assumptions!$C$37)+'Unit Mix'!$D$7*E532+'Unit Mix'!$C$8*(E533+Assumptions!$C$37)+'Unit Mix'!$D$8*E534+'Unit Mix'!$C$9*(E535+Assumptions!$C$37)+'Unit Mix'!$D$9*E536)*12</f>
        <v>2189729.26227975</v>
      </c>
      <c r="F537" s="30" t="n">
        <f aca="false">('Unit Mix'!$C$6*(F529+Assumptions!$C$37)+'Unit Mix'!$D$6*F530+'Unit Mix'!$C$7*(F531+Assumptions!$C$37)+'Unit Mix'!$D$7*F532+'Unit Mix'!$C$8*(F533+Assumptions!$C$37)+'Unit Mix'!$D$8*F534+'Unit Mix'!$C$9*(F535+Assumptions!$C$37)+'Unit Mix'!$D$9*F536)*12</f>
        <v>2263203.92124911</v>
      </c>
      <c r="G537" s="30" t="n">
        <f aca="false">('Unit Mix'!$C$6*(G529+Assumptions!$C$37)+'Unit Mix'!$D$6*G530+'Unit Mix'!$C$7*(G531+Assumptions!$C$37)+'Unit Mix'!$D$7*G532+'Unit Mix'!$C$8*(G533+Assumptions!$C$37)+'Unit Mix'!$D$8*G534+'Unit Mix'!$C$9*(G535+Assumptions!$C$37)+'Unit Mix'!$D$9*G536)*12</f>
        <v>2343499.05724575</v>
      </c>
      <c r="H537" s="30" t="n">
        <f aca="false">('Unit Mix'!$C$6*(H529+Assumptions!$C$37)+'Unit Mix'!$D$6*H530+'Unit Mix'!$C$7*(H531+Assumptions!$C$37)+'Unit Mix'!$D$7*H532+'Unit Mix'!$C$8*(H533+Assumptions!$C$37)+'Unit Mix'!$D$8*H534+'Unit Mix'!$C$9*(H535+Assumptions!$C$37)+'Unit Mix'!$D$9*H536)*12</f>
        <v>2429820.07941691</v>
      </c>
    </row>
    <row r="538" customFormat="false" ht="15" hidden="false" customHeight="false" outlineLevel="0" collapsed="false">
      <c r="A538" s="2" t="s">
        <v>955</v>
      </c>
      <c r="C538" s="30" t="n">
        <f aca="false">'Operating Model'!B49-'Operating Model'!B42+'Operating Model'!$B$42*1*(1+Assumptions!$C$18+F$21)^('Operating Model'!B$4-1)+((C537-'Operating Model'!B25)+0)*(1-(Assumptions!$C$42+Assumptions!$C$43+Assumptions!$C$44))*(1-Assumptions!$C$75)</f>
        <v>884460.903482</v>
      </c>
      <c r="D538" s="30" t="n">
        <f aca="false">'Operating Model'!C49-'Operating Model'!C42+'Operating Model'!$B$42*1*(1+Assumptions!$C$18+F$21)^('Operating Model'!C$4-1)+((D537-'Operating Model'!C25)+0)*(1-(Assumptions!$C$42+Assumptions!$C$43+Assumptions!$C$44))*(1-Assumptions!$C$75)</f>
        <v>933821.71333278</v>
      </c>
      <c r="E538" s="30" t="n">
        <f aca="false">'Operating Model'!D49-'Operating Model'!D42+'Operating Model'!$B$42*1*(1+Assumptions!$C$18+F$21)^('Operating Model'!D$4-1)+((E537-'Operating Model'!D25)+0)*(1-(Assumptions!$C$42+Assumptions!$C$43+Assumptions!$C$44))*(1-Assumptions!$C$75)</f>
        <v>945604.576849327</v>
      </c>
      <c r="F538" s="30" t="n">
        <f aca="false">'Operating Model'!E49-'Operating Model'!E42+'Operating Model'!$B$42*1*(1+Assumptions!$C$18+F$21)^('Operating Model'!E$4-1)+((F537-'Operating Model'!E25)+0)*(1-(Assumptions!$C$42+Assumptions!$C$43+Assumptions!$C$44))*(1-Assumptions!$C$75)</f>
        <v>964559.566882887</v>
      </c>
      <c r="G538" s="30" t="n">
        <f aca="false">'Operating Model'!F49-'Operating Model'!F42+'Operating Model'!$B$42*1*(1+Assumptions!$C$18+F$21)^('Operating Model'!F$4-1)+((G537-'Operating Model'!F25)+0)*(1-(Assumptions!$C$42+Assumptions!$C$43+Assumptions!$C$44))*(1-Assumptions!$C$75)</f>
        <v>987202.596927516</v>
      </c>
      <c r="H538" s="30" t="n">
        <f aca="false">'Operating Model'!G49-'Operating Model'!G42+'Operating Model'!$B$42*1*(1+Assumptions!$C$18+F$21)^('Operating Model'!G$4-1)+((H537-'Operating Model'!G25)+0)*(1-(Assumptions!$C$42+Assumptions!$C$43+Assumptions!$C$44))*(1-Assumptions!$C$75)</f>
        <v>1012695.01997768</v>
      </c>
      <c r="I538" s="30" t="n">
        <f aca="false">H538-'Operating Model'!$B$42*1*(1+Assumptions!$C$18+F$21)^('Operating Model'!G$4-1)</f>
        <v>1300562.18977194</v>
      </c>
    </row>
    <row r="539" customFormat="false" ht="15" hidden="false" customHeight="false" outlineLevel="0" collapsed="false">
      <c r="A539" s="2" t="s">
        <v>956</v>
      </c>
      <c r="B539" s="30" t="n">
        <f aca="false">Assumptions!$C$7*1</f>
        <v>13800000</v>
      </c>
      <c r="C539" s="30" t="n">
        <f aca="false">MAX(0,(Assumptions!$C$124+Assumptions!$C$127)-Assumptions!$C$132*B539)</f>
        <v>0</v>
      </c>
      <c r="D539" s="30" t="n">
        <f aca="false">Assumptions!$C$124-MAX(0,C539-Assumptions!$C$127)</f>
        <v>5887000</v>
      </c>
      <c r="E539" s="30" t="n">
        <f aca="false">Assumptions!$C$127-MIN(C539,Assumptions!$C$127)</f>
        <v>3563000</v>
      </c>
      <c r="F539" s="30" t="n">
        <f aca="false">B539*(1+Assumptions!$C$10)+'Unit Mix'!$D$18*1+(D539+E539)*Assumptions!$C$131-(D539+E539)</f>
        <v>5095290</v>
      </c>
      <c r="G539" s="30" t="n">
        <f aca="false">IF(Assumptions!$C$130=1,D539+E539,-FV(Assumptions!$C$125,Assumptions!$C$126,PMT(Assumptions!$C$125,Assumptions!$C$111,D539),D539)-FV(Assumptions!$C$128,Assumptions!$C$126,PMT(Assumptions!$C$128,Assumptions!$C$111,E539),E539))</f>
        <v>9450000</v>
      </c>
      <c r="H539" s="30" t="n">
        <f aca="false">MIN(INDEX(C538:H538,Assumptions!$C$126+1)/$A$26*Assumptions!$C$108,INDEX(C538:H538,Assumptions!$C$126+1)/(Assumptions!$C$109*-PMT('Debt (Assumed)'!$B$99,Assumptions!$C$111,1)))</f>
        <v>9113456.8488396</v>
      </c>
      <c r="I539" s="30" t="n">
        <f aca="false">IF(MAX(0,Assumptions!$C$154-Assumptions!$C$126-'Debt (Assumed)'!$B$100)=0,H539,-FV('Debt (Assumed)'!$B$98,MAX(0,Assumptions!$C$154-Assumptions!$C$126-'Debt (Assumed)'!$B$100),PMT('Debt (Assumed)'!$B$98,Assumptions!$C$111,H539),H539))</f>
        <v>9113456.8488396</v>
      </c>
      <c r="J539" s="30" t="n">
        <f aca="false">I539*'Debt (Assumed)'!$B$102</f>
        <v>0</v>
      </c>
      <c r="K539" s="30" t="n">
        <f aca="false">I538/($A$26+Returns!$B$35)*(1-Assumptions!$C$158)-I539-J539</f>
        <v>4570006.1042386</v>
      </c>
      <c r="L539" s="30" t="n">
        <f aca="false">H539*'Debt (Assumed)'!$B$101</f>
        <v>98425.3339674677</v>
      </c>
      <c r="M539" s="30" t="n">
        <f aca="false">(INDEX(C538:H538,Assumptions!$C$126+1)-'Operating Model'!$B$42*1*(1+Assumptions!$C$18+F$21)^Assumptions!$C$126)/($A$26+Returns!$B$35)*(1-Assumptions!$C$158)-G539</f>
        <v>3498523.66001316</v>
      </c>
    </row>
    <row r="540" customFormat="false" ht="15" hidden="false" customHeight="false" outlineLevel="0" collapsed="false">
      <c r="A540" s="2" t="s">
        <v>957</v>
      </c>
      <c r="C540" s="30" t="n">
        <f aca="false">IF('Operating Model'!B$4&lt;=Assumptions!$C$126,IF(Assumptions!$C$130=1,D539*Assumptions!$C$125+E539*Assumptions!$C$128,-PMT(Assumptions!$C$125,Assumptions!$C$111,D539)-PMT(Assumptions!$C$128,Assumptions!$C$111,E539)),IF(Assumptions!$C$136=1,0,IF('Operating Model'!B$4-Assumptions!$C$126&lt;='Debt (Assumed)'!$B$100,H539*'Debt (Assumed)'!$B$98,-PMT('Debt (Assumed)'!$B$98,Assumptions!$C$111,H539))))</f>
        <v>397516</v>
      </c>
      <c r="D540" s="30" t="n">
        <f aca="false">IF('Operating Model'!C$4&lt;=Assumptions!$C$126,IF(Assumptions!$C$130=1,D539*Assumptions!$C$125+E539*Assumptions!$C$128,-PMT(Assumptions!$C$125,Assumptions!$C$111,D539)-PMT(Assumptions!$C$128,Assumptions!$C$111,E539)),IF(Assumptions!$C$136=1,0,IF('Operating Model'!C$4-Assumptions!$C$126&lt;='Debt (Assumed)'!$B$100,H539*'Debt (Assumed)'!$B$98,-PMT('Debt (Assumed)'!$B$98,Assumptions!$C$111,H539))))</f>
        <v>397516</v>
      </c>
      <c r="E540" s="30" t="n">
        <f aca="false">IF('Operating Model'!D$4&lt;=Assumptions!$C$126,IF(Assumptions!$C$130=1,D539*Assumptions!$C$125+E539*Assumptions!$C$128,-PMT(Assumptions!$C$125,Assumptions!$C$111,D539)-PMT(Assumptions!$C$128,Assumptions!$C$111,E539)),IF(Assumptions!$C$136=1,0,IF('Operating Model'!D$4-Assumptions!$C$126&lt;='Debt (Assumed)'!$B$100,H539*'Debt (Assumed)'!$B$98,-PMT('Debt (Assumed)'!$B$98,Assumptions!$C$111,H539))))</f>
        <v>397516</v>
      </c>
      <c r="F540" s="30" t="n">
        <f aca="false">IF('Operating Model'!E$4&lt;=Assumptions!$C$126,IF(Assumptions!$C$130=1,D539*Assumptions!$C$125+E539*Assumptions!$C$128,-PMT(Assumptions!$C$125,Assumptions!$C$111,D539)-PMT(Assumptions!$C$128,Assumptions!$C$111,E539)),IF(Assumptions!$C$136=1,0,IF('Operating Model'!E$4-Assumptions!$C$126&lt;='Debt (Assumed)'!$B$100,H539*'Debt (Assumed)'!$B$98,-PMT('Debt (Assumed)'!$B$98,Assumptions!$C$111,H539))))</f>
        <v>614246.991611789</v>
      </c>
      <c r="G540" s="30" t="n">
        <f aca="false">IF('Operating Model'!F$4&lt;=Assumptions!$C$126,IF(Assumptions!$C$130=1,D539*Assumptions!$C$125+E539*Assumptions!$C$128,-PMT(Assumptions!$C$125,Assumptions!$C$111,D539)-PMT(Assumptions!$C$128,Assumptions!$C$111,E539)),IF(Assumptions!$C$136=1,0,IF('Operating Model'!F$4-Assumptions!$C$126&lt;='Debt (Assumed)'!$B$100,H539*'Debt (Assumed)'!$B$98,-PMT('Debt (Assumed)'!$B$98,Assumptions!$C$111,H539))))</f>
        <v>614246.991611789</v>
      </c>
    </row>
    <row r="541" customFormat="false" ht="15" hidden="false" customHeight="false" outlineLevel="0" collapsed="false">
      <c r="A541" s="2" t="s">
        <v>958</v>
      </c>
      <c r="B541" s="30" t="n">
        <f aca="false">-F539</f>
        <v>-5095290</v>
      </c>
      <c r="C541" s="30" t="n">
        <f aca="false">IF(AND(Assumptions!$C$136=1,'Operating Model'!B$4&gt;Assumptions!$C$126),0,'Operating Model'!B55+(C538-'Operating Model'!B49)-C540-IF('Operating Model'!B$4=Assumptions!$C$126,IF(Assumptions!$C$136=1,-M539,G539-H539+L539),0)+IF(AND(Assumptions!$C$136&lt;&gt;1,'Operating Model'!B$4=Assumptions!$C$154),K539,0))</f>
        <v>457844.903482</v>
      </c>
      <c r="D541" s="30" t="n">
        <f aca="false">IF(AND(Assumptions!$C$136=1,'Operating Model'!C$4&gt;Assumptions!$C$126),0,'Operating Model'!C55+(D538-'Operating Model'!C49)-D540-IF('Operating Model'!C$4=Assumptions!$C$126,IF(Assumptions!$C$136=1,-M539,G539-H539+L539),0)+IF(AND(Assumptions!$C$136&lt;&gt;1,'Operating Model'!C$4=Assumptions!$C$154),K539,0))</f>
        <v>346187.21333278</v>
      </c>
      <c r="E541" s="30" t="n">
        <f aca="false">IF(AND(Assumptions!$C$136=1,'Operating Model'!D$4&gt;Assumptions!$C$126),0,'Operating Model'!D55+(E538-'Operating Model'!D49)-E540-IF('Operating Model'!D$4=Assumptions!$C$126,IF(Assumptions!$C$136=1,-M539,G539-H539+L539),0)+IF(AND(Assumptions!$C$136&lt;&gt;1,'Operating Model'!D$4=Assumptions!$C$154),K539,0))</f>
        <v>81947.4442214627</v>
      </c>
      <c r="F541" s="30" t="n">
        <f aca="false">IF(AND(Assumptions!$C$136=1,'Operating Model'!E$4&gt;Assumptions!$C$126),0,'Operating Model'!E55+(F538-'Operating Model'!E49)-F540-IF('Operating Model'!E$4=Assumptions!$C$126,IF(Assumptions!$C$136=1,-M539,G539-H539+L539),0)+IF(AND(Assumptions!$C$136&lt;&gt;1,'Operating Model'!E$4=Assumptions!$C$154),K539,0))</f>
        <v>318048.885108598</v>
      </c>
      <c r="G541" s="30" t="n">
        <f aca="false">IF(AND(Assumptions!$C$136=1,'Operating Model'!F$4&gt;Assumptions!$C$126),0,'Operating Model'!F55+(G538-'Operating Model'!F49)-G540-IF('Operating Model'!F$4=Assumptions!$C$126,IF(Assumptions!$C$136=1,-M539,G539-H539+L539),0)+IF(AND(Assumptions!$C$136&lt;&gt;1,'Operating Model'!F$4=Assumptions!$C$154),K539,0))</f>
        <v>4909568.79023614</v>
      </c>
      <c r="H541" s="22" t="n">
        <f aca="false">IFERROR(IRR(B541:G541),"N/A")</f>
        <v>0.0420882281433508</v>
      </c>
      <c r="I541" s="24" t="n">
        <f aca="false">SUM(C541:G541)/F539</f>
        <v>1.19985265537015</v>
      </c>
    </row>
    <row r="543" customFormat="false" ht="15" hidden="false" customHeight="false" outlineLevel="0" collapsed="false">
      <c r="A543" s="2" t="s">
        <v>959</v>
      </c>
      <c r="C543" s="30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3" s="30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3" s="30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3" s="30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3" s="30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3" s="30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3" s="30" t="n">
        <f aca="false">H543-'Operating Model'!$B$42*1*(1+Assumptions!$C$18+0)^('Operating Model'!G$4-1)</f>
        <v>1209117.41207427</v>
      </c>
    </row>
    <row r="544" customFormat="false" ht="15" hidden="false" customHeight="false" outlineLevel="0" collapsed="false">
      <c r="A544" s="2" t="s">
        <v>960</v>
      </c>
      <c r="B544" s="30" t="n">
        <f aca="false">Assumptions!$C$7*1</f>
        <v>13800000</v>
      </c>
      <c r="C544" s="30" t="n">
        <f aca="false">MAX(0,(Assumptions!$C$124+Assumptions!$C$127)-Assumptions!$C$132*B544)</f>
        <v>0</v>
      </c>
      <c r="D544" s="30" t="n">
        <f aca="false">Assumptions!$C$124-MAX(0,C544-Assumptions!$C$127)</f>
        <v>5887000</v>
      </c>
      <c r="E544" s="30" t="n">
        <f aca="false">Assumptions!$C$127-MIN(C544,Assumptions!$C$127)</f>
        <v>3563000</v>
      </c>
      <c r="F544" s="30" t="n">
        <f aca="false">B544*(1+Assumptions!$C$10)+'Unit Mix'!$D$18*(B$36/Assumptions!$C$35)+(D544+E544)*Assumptions!$C$131-(D544+E544)</f>
        <v>4997082</v>
      </c>
      <c r="G544" s="30" t="n">
        <f aca="false">IF(Assumptions!$C$130=1,D544+E544,-FV(Assumptions!$C$125,Assumptions!$C$126,PMT(Assumptions!$C$125,Assumptions!$C$111,D544),D544)-FV(Assumptions!$C$128,Assumptions!$C$126,PMT(Assumptions!$C$128,Assumptions!$C$111,E544),E544))</f>
        <v>9450000</v>
      </c>
      <c r="H544" s="30" t="n">
        <f aca="false">MIN(INDEX(C543:H543,Assumptions!$C$126+1)/Assumptions!$C$157*Assumptions!$C$108,INDEX(C543:H543,Assumptions!$C$126+1)/(Assumptions!$C$109*-PMT('Debt (Assumed)'!$B$99,Assumptions!$C$111,1)))</f>
        <v>8699030.271278</v>
      </c>
      <c r="I544" s="30" t="n">
        <f aca="false">IF(MAX(0,Assumptions!$C$154-Assumptions!$C$126-'Debt (Assumed)'!$B$100)=0,H544,-FV('Debt (Assumed)'!$B$98,MAX(0,Assumptions!$C$154-Assumptions!$C$126-'Debt (Assumed)'!$B$100),PMT('Debt (Assumed)'!$B$98,Assumptions!$C$111,H544),H544))</f>
        <v>8699030.271278</v>
      </c>
      <c r="J544" s="30" t="n">
        <f aca="false">I544*'Debt (Assumed)'!$B$102</f>
        <v>0</v>
      </c>
      <c r="K544" s="30" t="n">
        <f aca="false">I543/(Assumptions!$C$157+Returns!$B$35)*(1-Assumptions!$C$158)-I544-J544</f>
        <v>5552338.73291509</v>
      </c>
      <c r="L544" s="30" t="n">
        <f aca="false">H544*'Debt (Assumed)'!$B$101</f>
        <v>93949.5269298024</v>
      </c>
      <c r="M544" s="30" t="n">
        <f aca="false">(INDEX(C543:H543,Assumptions!$C$126+1)-'Operating Model'!$B$42*1*(1+Assumptions!$C$18+0)^Assumptions!$C$126)/(Assumptions!$C$157+Returns!$B$35)*(1-Assumptions!$C$158)-G544</f>
        <v>4449247.28151039</v>
      </c>
    </row>
    <row r="545" customFormat="false" ht="15" hidden="false" customHeight="false" outlineLevel="0" collapsed="false">
      <c r="A545" s="2" t="s">
        <v>961</v>
      </c>
      <c r="C545" s="30" t="n">
        <f aca="false">IF('Operating Model'!B$4&lt;=Assumptions!$C$126,IF(Assumptions!$C$130=1,D544*Assumptions!$C$125+E544*Assumptions!$C$128,-PMT(Assumptions!$C$125,Assumptions!$C$111,D544)-PMT(Assumptions!$C$128,Assumptions!$C$111,E544)),IF(Assumptions!$C$136=1,0,IF('Operating Model'!B$4-Assumptions!$C$126&lt;='Debt (Assumed)'!$B$100,H544*'Debt (Assumed)'!$B$98,-PMT('Debt (Assumed)'!$B$98,Assumptions!$C$111,H544))))</f>
        <v>397516</v>
      </c>
      <c r="D545" s="30" t="n">
        <f aca="false">IF('Operating Model'!C$4&lt;=Assumptions!$C$126,IF(Assumptions!$C$130=1,D544*Assumptions!$C$125+E544*Assumptions!$C$128,-PMT(Assumptions!$C$125,Assumptions!$C$111,D544)-PMT(Assumptions!$C$128,Assumptions!$C$111,E544)),IF(Assumptions!$C$136=1,0,IF('Operating Model'!C$4-Assumptions!$C$126&lt;='Debt (Assumed)'!$B$100,H544*'Debt (Assumed)'!$B$98,-PMT('Debt (Assumed)'!$B$98,Assumptions!$C$111,H544))))</f>
        <v>397516</v>
      </c>
      <c r="E545" s="30" t="n">
        <f aca="false">IF('Operating Model'!D$4&lt;=Assumptions!$C$126,IF(Assumptions!$C$130=1,D544*Assumptions!$C$125+E544*Assumptions!$C$128,-PMT(Assumptions!$C$125,Assumptions!$C$111,D544)-PMT(Assumptions!$C$128,Assumptions!$C$111,E544)),IF(Assumptions!$C$136=1,0,IF('Operating Model'!D$4-Assumptions!$C$126&lt;='Debt (Assumed)'!$B$100,H544*'Debt (Assumed)'!$B$98,-PMT('Debt (Assumed)'!$B$98,Assumptions!$C$111,H544))))</f>
        <v>397516</v>
      </c>
      <c r="F545" s="30" t="n">
        <f aca="false">IF('Operating Model'!E$4&lt;=Assumptions!$C$126,IF(Assumptions!$C$130=1,D544*Assumptions!$C$125+E544*Assumptions!$C$128,-PMT(Assumptions!$C$125,Assumptions!$C$111,D544)-PMT(Assumptions!$C$128,Assumptions!$C$111,E544)),IF(Assumptions!$C$136=1,0,IF('Operating Model'!E$4-Assumptions!$C$126&lt;='Debt (Assumed)'!$B$100,H544*'Debt (Assumed)'!$B$98,-PMT('Debt (Assumed)'!$B$98,Assumptions!$C$111,H544))))</f>
        <v>586314.640284137</v>
      </c>
      <c r="G545" s="30" t="n">
        <f aca="false">IF('Operating Model'!F$4&lt;=Assumptions!$C$126,IF(Assumptions!$C$130=1,D544*Assumptions!$C$125+E544*Assumptions!$C$128,-PMT(Assumptions!$C$125,Assumptions!$C$111,D544)-PMT(Assumptions!$C$128,Assumptions!$C$111,E544)),IF(Assumptions!$C$136=1,0,IF('Operating Model'!F$4-Assumptions!$C$126&lt;='Debt (Assumed)'!$B$100,H544*'Debt (Assumed)'!$B$98,-PMT('Debt (Assumed)'!$B$98,Assumptions!$C$111,H544))))</f>
        <v>586314.640284137</v>
      </c>
    </row>
    <row r="546" customFormat="false" ht="15" hidden="false" customHeight="false" outlineLevel="0" collapsed="false">
      <c r="A546" s="2" t="s">
        <v>962</v>
      </c>
      <c r="B546" s="30" t="n">
        <f aca="false">-F544</f>
        <v>-4997082</v>
      </c>
      <c r="C546" s="30" t="n">
        <f aca="false">IF(AND(Assumptions!$C$136=1,'Operating Model'!B$4&gt;Assumptions!$C$126),0,'Operating Model'!B55+(C543-'Operating Model'!B49)-C545-IF('Operating Model'!B$4=Assumptions!$C$126,IF(Assumptions!$C$136=1,-M544,G544-H544+L544),0)+IF(AND(Assumptions!$C$136&lt;&gt;1,'Operating Model'!B$4=Assumptions!$C$154),K544,0))</f>
        <v>451614.438496</v>
      </c>
      <c r="D546" s="30" t="n">
        <f aca="false">IF(AND(Assumptions!$C$136=1,'Operating Model'!C$4&gt;Assumptions!$C$126),0,'Operating Model'!C55+(D543-'Operating Model'!C49)-D545-IF('Operating Model'!C$4=Assumptions!$C$126,IF(Assumptions!$C$136=1,-M544,G544-H544+L544),0)+IF(AND(Assumptions!$C$136&lt;&gt;1,'Operating Model'!C$4=Assumptions!$C$154),K544,0))</f>
        <v>328301.041376455</v>
      </c>
      <c r="E546" s="30" t="n">
        <f aca="false">IF(AND(Assumptions!$C$136=1,'Operating Model'!D$4&gt;Assumptions!$C$126),0,'Operating Model'!D55+(E543-'Operating Model'!D49)-E545-IF('Operating Model'!D$4=Assumptions!$C$126,IF(Assumptions!$C$136=1,-M544,G544-H544+L544),0)+IF(AND(Assumptions!$C$136&lt;&gt;1,'Operating Model'!D$4=Assumptions!$C$154),K544,0))</f>
        <v>-357752.114533679</v>
      </c>
      <c r="F546" s="30" t="n">
        <f aca="false">IF(AND(Assumptions!$C$136=1,'Operating Model'!E$4&gt;Assumptions!$C$126),0,'Operating Model'!E55+(F543-'Operating Model'!E49)-F545-IF('Operating Model'!E$4=Assumptions!$C$126,IF(Assumptions!$C$136=1,-M544,G544-H544+L544),0)+IF(AND(Assumptions!$C$136&lt;&gt;1,'Operating Model'!E$4=Assumptions!$C$154),K544,0))</f>
        <v>302118.723364882</v>
      </c>
      <c r="G546" s="30" t="n">
        <f aca="false">IF(AND(Assumptions!$C$136=1,'Operating Model'!F$4&gt;Assumptions!$C$126),0,'Operating Model'!F55+(G543-'Operating Model'!F49)-G545-IF('Operating Model'!F$4=Assumptions!$C$126,IF(Assumptions!$C$136=1,-M544,G544-H544+L544),0)+IF(AND(Assumptions!$C$136&lt;&gt;1,'Operating Model'!F$4=Assumptions!$C$154),K544,0))</f>
        <v>5859877.670409</v>
      </c>
      <c r="H546" s="22" t="n">
        <f aca="false">IFERROR(IRR(B546:G546),"N/A")</f>
        <v>0.0618061796546392</v>
      </c>
      <c r="I546" s="24" t="n">
        <f aca="false">SUM(C546:G546)/F544</f>
        <v>1.31760090370994</v>
      </c>
    </row>
    <row r="548" customFormat="false" ht="15" hidden="false" customHeight="false" outlineLevel="0" collapsed="false">
      <c r="A548" s="2" t="s">
        <v>963</v>
      </c>
      <c r="C548" s="30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8" s="30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8" s="30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8" s="30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8" s="30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8" s="30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8" s="30" t="n">
        <f aca="false">H548-'Operating Model'!$B$42*1*(1+Assumptions!$C$18+0)^('Operating Model'!G$4-1)</f>
        <v>1209117.41207427</v>
      </c>
    </row>
    <row r="549" customFormat="false" ht="15" hidden="false" customHeight="false" outlineLevel="0" collapsed="false">
      <c r="A549" s="2" t="s">
        <v>964</v>
      </c>
      <c r="B549" s="30" t="n">
        <f aca="false">Assumptions!$C$7*1</f>
        <v>13800000</v>
      </c>
      <c r="C549" s="30" t="n">
        <f aca="false">MAX(0,(Assumptions!$C$124+Assumptions!$C$127)-Assumptions!$C$132*B549)</f>
        <v>0</v>
      </c>
      <c r="D549" s="30" t="n">
        <f aca="false">Assumptions!$C$124-MAX(0,C549-Assumptions!$C$127)</f>
        <v>5887000</v>
      </c>
      <c r="E549" s="30" t="n">
        <f aca="false">Assumptions!$C$127-MIN(C549,Assumptions!$C$127)</f>
        <v>3563000</v>
      </c>
      <c r="F549" s="30" t="n">
        <f aca="false">B549*(1+Assumptions!$C$10)+'Unit Mix'!$D$18*(C$36/Assumptions!$C$35)+(D549+E549)*Assumptions!$C$131-(D549+E549)</f>
        <v>5046186</v>
      </c>
      <c r="G549" s="30" t="n">
        <f aca="false">IF(Assumptions!$C$130=1,D549+E549,-FV(Assumptions!$C$125,Assumptions!$C$126,PMT(Assumptions!$C$125,Assumptions!$C$111,D549),D549)-FV(Assumptions!$C$128,Assumptions!$C$126,PMT(Assumptions!$C$128,Assumptions!$C$111,E549),E549))</f>
        <v>9450000</v>
      </c>
      <c r="H549" s="30" t="n">
        <f aca="false">MIN(INDEX(C548:H548,Assumptions!$C$126+1)/Assumptions!$C$157*Assumptions!$C$108,INDEX(C548:H548,Assumptions!$C$126+1)/(Assumptions!$C$109*-PMT('Debt (Assumed)'!$B$99,Assumptions!$C$111,1)))</f>
        <v>8699030.271278</v>
      </c>
      <c r="I549" s="30" t="n">
        <f aca="false">IF(MAX(0,Assumptions!$C$154-Assumptions!$C$126-'Debt (Assumed)'!$B$100)=0,H549,-FV('Debt (Assumed)'!$B$98,MAX(0,Assumptions!$C$154-Assumptions!$C$126-'Debt (Assumed)'!$B$100),PMT('Debt (Assumed)'!$B$98,Assumptions!$C$111,H549),H549))</f>
        <v>8699030.271278</v>
      </c>
      <c r="J549" s="30" t="n">
        <f aca="false">I549*'Debt (Assumed)'!$B$102</f>
        <v>0</v>
      </c>
      <c r="K549" s="30" t="n">
        <f aca="false">I548/(Assumptions!$C$157+Returns!$B$35)*(1-Assumptions!$C$158)-I549-J549</f>
        <v>5552338.73291509</v>
      </c>
      <c r="L549" s="30" t="n">
        <f aca="false">H549*'Debt (Assumed)'!$B$101</f>
        <v>93949.5269298024</v>
      </c>
      <c r="M549" s="30" t="n">
        <f aca="false">(INDEX(C548:H548,Assumptions!$C$126+1)-'Operating Model'!$B$42*1*(1+Assumptions!$C$18+0)^Assumptions!$C$126)/(Assumptions!$C$157+Returns!$B$35)*(1-Assumptions!$C$158)-G549</f>
        <v>4449247.28151039</v>
      </c>
    </row>
    <row r="550" customFormat="false" ht="15" hidden="false" customHeight="false" outlineLevel="0" collapsed="false">
      <c r="A550" s="2" t="s">
        <v>965</v>
      </c>
      <c r="C550" s="30" t="n">
        <f aca="false">IF('Operating Model'!B$4&lt;=Assumptions!$C$126,IF(Assumptions!$C$130=1,D549*Assumptions!$C$125+E549*Assumptions!$C$128,-PMT(Assumptions!$C$125,Assumptions!$C$111,D549)-PMT(Assumptions!$C$128,Assumptions!$C$111,E549)),IF(Assumptions!$C$136=1,0,IF('Operating Model'!B$4-Assumptions!$C$126&lt;='Debt (Assumed)'!$B$100,H549*'Debt (Assumed)'!$B$98,-PMT('Debt (Assumed)'!$B$98,Assumptions!$C$111,H549))))</f>
        <v>397516</v>
      </c>
      <c r="D550" s="30" t="n">
        <f aca="false">IF('Operating Model'!C$4&lt;=Assumptions!$C$126,IF(Assumptions!$C$130=1,D549*Assumptions!$C$125+E549*Assumptions!$C$128,-PMT(Assumptions!$C$125,Assumptions!$C$111,D549)-PMT(Assumptions!$C$128,Assumptions!$C$111,E549)),IF(Assumptions!$C$136=1,0,IF('Operating Model'!C$4-Assumptions!$C$126&lt;='Debt (Assumed)'!$B$100,H549*'Debt (Assumed)'!$B$98,-PMT('Debt (Assumed)'!$B$98,Assumptions!$C$111,H549))))</f>
        <v>397516</v>
      </c>
      <c r="E550" s="30" t="n">
        <f aca="false">IF('Operating Model'!D$4&lt;=Assumptions!$C$126,IF(Assumptions!$C$130=1,D549*Assumptions!$C$125+E549*Assumptions!$C$128,-PMT(Assumptions!$C$125,Assumptions!$C$111,D549)-PMT(Assumptions!$C$128,Assumptions!$C$111,E549)),IF(Assumptions!$C$136=1,0,IF('Operating Model'!D$4-Assumptions!$C$126&lt;='Debt (Assumed)'!$B$100,H549*'Debt (Assumed)'!$B$98,-PMT('Debt (Assumed)'!$B$98,Assumptions!$C$111,H549))))</f>
        <v>397516</v>
      </c>
      <c r="F550" s="30" t="n">
        <f aca="false">IF('Operating Model'!E$4&lt;=Assumptions!$C$126,IF(Assumptions!$C$130=1,D549*Assumptions!$C$125+E549*Assumptions!$C$128,-PMT(Assumptions!$C$125,Assumptions!$C$111,D549)-PMT(Assumptions!$C$128,Assumptions!$C$111,E549)),IF(Assumptions!$C$136=1,0,IF('Operating Model'!E$4-Assumptions!$C$126&lt;='Debt (Assumed)'!$B$100,H549*'Debt (Assumed)'!$B$98,-PMT('Debt (Assumed)'!$B$98,Assumptions!$C$111,H549))))</f>
        <v>586314.640284137</v>
      </c>
      <c r="G550" s="30" t="n">
        <f aca="false">IF('Operating Model'!F$4&lt;=Assumptions!$C$126,IF(Assumptions!$C$130=1,D549*Assumptions!$C$125+E549*Assumptions!$C$128,-PMT(Assumptions!$C$125,Assumptions!$C$111,D549)-PMT(Assumptions!$C$128,Assumptions!$C$111,E549)),IF(Assumptions!$C$136=1,0,IF('Operating Model'!F$4-Assumptions!$C$126&lt;='Debt (Assumed)'!$B$100,H549*'Debt (Assumed)'!$B$98,-PMT('Debt (Assumed)'!$B$98,Assumptions!$C$111,H549))))</f>
        <v>586314.640284137</v>
      </c>
    </row>
    <row r="551" customFormat="false" ht="15" hidden="false" customHeight="false" outlineLevel="0" collapsed="false">
      <c r="A551" s="2" t="s">
        <v>966</v>
      </c>
      <c r="B551" s="30" t="n">
        <f aca="false">-F549</f>
        <v>-5046186</v>
      </c>
      <c r="C551" s="30" t="n">
        <f aca="false">IF(AND(Assumptions!$C$136=1,'Operating Model'!B$4&gt;Assumptions!$C$126),0,'Operating Model'!B55+(C548-'Operating Model'!B49)-C550-IF('Operating Model'!B$4=Assumptions!$C$126,IF(Assumptions!$C$136=1,-M549,G549-H549+L549),0)+IF(AND(Assumptions!$C$136&lt;&gt;1,'Operating Model'!B$4=Assumptions!$C$154),K549,0))</f>
        <v>451614.438496</v>
      </c>
      <c r="D551" s="30" t="n">
        <f aca="false">IF(AND(Assumptions!$C$136=1,'Operating Model'!C$4&gt;Assumptions!$C$126),0,'Operating Model'!C55+(D548-'Operating Model'!C49)-D550-IF('Operating Model'!C$4=Assumptions!$C$126,IF(Assumptions!$C$136=1,-M549,G549-H549+L549),0)+IF(AND(Assumptions!$C$136&lt;&gt;1,'Operating Model'!C$4=Assumptions!$C$154),K549,0))</f>
        <v>328301.041376455</v>
      </c>
      <c r="E551" s="30" t="n">
        <f aca="false">IF(AND(Assumptions!$C$136=1,'Operating Model'!D$4&gt;Assumptions!$C$126),0,'Operating Model'!D55+(E548-'Operating Model'!D49)-E550-IF('Operating Model'!D$4=Assumptions!$C$126,IF(Assumptions!$C$136=1,-M549,G549-H549+L549),0)+IF(AND(Assumptions!$C$136&lt;&gt;1,'Operating Model'!D$4=Assumptions!$C$154),K549,0))</f>
        <v>-357752.114533679</v>
      </c>
      <c r="F551" s="30" t="n">
        <f aca="false">IF(AND(Assumptions!$C$136=1,'Operating Model'!E$4&gt;Assumptions!$C$126),0,'Operating Model'!E55+(F548-'Operating Model'!E49)-F550-IF('Operating Model'!E$4=Assumptions!$C$126,IF(Assumptions!$C$136=1,-M549,G549-H549+L549),0)+IF(AND(Assumptions!$C$136&lt;&gt;1,'Operating Model'!E$4=Assumptions!$C$154),K549,0))</f>
        <v>302118.723364882</v>
      </c>
      <c r="G551" s="30" t="n">
        <f aca="false">IF(AND(Assumptions!$C$136=1,'Operating Model'!F$4&gt;Assumptions!$C$126),0,'Operating Model'!F55+(G548-'Operating Model'!F49)-G550-IF('Operating Model'!F$4=Assumptions!$C$126,IF(Assumptions!$C$136=1,-M549,G549-H549+L549),0)+IF(AND(Assumptions!$C$136&lt;&gt;1,'Operating Model'!F$4=Assumptions!$C$154),K549,0))</f>
        <v>5859877.670409</v>
      </c>
      <c r="H551" s="22" t="n">
        <f aca="false">IFERROR(IRR(B551:G551),"N/A")</f>
        <v>0.0595308449042706</v>
      </c>
      <c r="I551" s="24" t="n">
        <f aca="false">SUM(C551:G551)/F549</f>
        <v>1.30477944315026</v>
      </c>
    </row>
    <row r="553" customFormat="false" ht="15" hidden="false" customHeight="false" outlineLevel="0" collapsed="false">
      <c r="A553" s="2" t="s">
        <v>967</v>
      </c>
      <c r="C553" s="30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3" s="30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3" s="30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3" s="30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3" s="30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3" s="30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3" s="30" t="n">
        <f aca="false">H553-'Operating Model'!$B$42*1*(1+Assumptions!$C$18+0)^('Operating Model'!G$4-1)</f>
        <v>1209117.41207427</v>
      </c>
    </row>
    <row r="554" customFormat="false" ht="15" hidden="false" customHeight="false" outlineLevel="0" collapsed="false">
      <c r="A554" s="2" t="s">
        <v>968</v>
      </c>
      <c r="B554" s="30" t="n">
        <f aca="false">Assumptions!$C$7*1</f>
        <v>13800000</v>
      </c>
      <c r="C554" s="30" t="n">
        <f aca="false">MAX(0,(Assumptions!$C$124+Assumptions!$C$127)-Assumptions!$C$132*B554)</f>
        <v>0</v>
      </c>
      <c r="D554" s="30" t="n">
        <f aca="false">Assumptions!$C$124-MAX(0,C554-Assumptions!$C$127)</f>
        <v>5887000</v>
      </c>
      <c r="E554" s="30" t="n">
        <f aca="false">Assumptions!$C$127-MIN(C554,Assumptions!$C$127)</f>
        <v>3563000</v>
      </c>
      <c r="F554" s="30" t="n">
        <f aca="false">B554*(1+Assumptions!$C$10)+'Unit Mix'!$D$18*(D$36/Assumptions!$C$35)+(D554+E554)*Assumptions!$C$131-(D554+E554)</f>
        <v>5095290</v>
      </c>
      <c r="G554" s="30" t="n">
        <f aca="false">IF(Assumptions!$C$130=1,D554+E554,-FV(Assumptions!$C$125,Assumptions!$C$126,PMT(Assumptions!$C$125,Assumptions!$C$111,D554),D554)-FV(Assumptions!$C$128,Assumptions!$C$126,PMT(Assumptions!$C$128,Assumptions!$C$111,E554),E554))</f>
        <v>9450000</v>
      </c>
      <c r="H554" s="30" t="n">
        <f aca="false">MIN(INDEX(C553:H553,Assumptions!$C$126+1)/Assumptions!$C$157*Assumptions!$C$108,INDEX(C553:H553,Assumptions!$C$126+1)/(Assumptions!$C$109*-PMT('Debt (Assumed)'!$B$99,Assumptions!$C$111,1)))</f>
        <v>8699030.271278</v>
      </c>
      <c r="I554" s="30" t="n">
        <f aca="false">IF(MAX(0,Assumptions!$C$154-Assumptions!$C$126-'Debt (Assumed)'!$B$100)=0,H554,-FV('Debt (Assumed)'!$B$98,MAX(0,Assumptions!$C$154-Assumptions!$C$126-'Debt (Assumed)'!$B$100),PMT('Debt (Assumed)'!$B$98,Assumptions!$C$111,H554),H554))</f>
        <v>8699030.271278</v>
      </c>
      <c r="J554" s="30" t="n">
        <f aca="false">I554*'Debt (Assumed)'!$B$102</f>
        <v>0</v>
      </c>
      <c r="K554" s="30" t="n">
        <f aca="false">I553/(Assumptions!$C$157+Returns!$B$35)*(1-Assumptions!$C$158)-I554-J554</f>
        <v>5552338.73291509</v>
      </c>
      <c r="L554" s="30" t="n">
        <f aca="false">H554*'Debt (Assumed)'!$B$101</f>
        <v>93949.5269298024</v>
      </c>
      <c r="M554" s="30" t="n">
        <f aca="false">(INDEX(C553:H553,Assumptions!$C$126+1)-'Operating Model'!$B$42*1*(1+Assumptions!$C$18+0)^Assumptions!$C$126)/(Assumptions!$C$157+Returns!$B$35)*(1-Assumptions!$C$158)-G554</f>
        <v>4449247.28151039</v>
      </c>
    </row>
    <row r="555" customFormat="false" ht="15" hidden="false" customHeight="false" outlineLevel="0" collapsed="false">
      <c r="A555" s="2" t="s">
        <v>969</v>
      </c>
      <c r="C555" s="30" t="n">
        <f aca="false">IF('Operating Model'!B$4&lt;=Assumptions!$C$126,IF(Assumptions!$C$130=1,D554*Assumptions!$C$125+E554*Assumptions!$C$128,-PMT(Assumptions!$C$125,Assumptions!$C$111,D554)-PMT(Assumptions!$C$128,Assumptions!$C$111,E554)),IF(Assumptions!$C$136=1,0,IF('Operating Model'!B$4-Assumptions!$C$126&lt;='Debt (Assumed)'!$B$100,H554*'Debt (Assumed)'!$B$98,-PMT('Debt (Assumed)'!$B$98,Assumptions!$C$111,H554))))</f>
        <v>397516</v>
      </c>
      <c r="D555" s="30" t="n">
        <f aca="false">IF('Operating Model'!C$4&lt;=Assumptions!$C$126,IF(Assumptions!$C$130=1,D554*Assumptions!$C$125+E554*Assumptions!$C$128,-PMT(Assumptions!$C$125,Assumptions!$C$111,D554)-PMT(Assumptions!$C$128,Assumptions!$C$111,E554)),IF(Assumptions!$C$136=1,0,IF('Operating Model'!C$4-Assumptions!$C$126&lt;='Debt (Assumed)'!$B$100,H554*'Debt (Assumed)'!$B$98,-PMT('Debt (Assumed)'!$B$98,Assumptions!$C$111,H554))))</f>
        <v>397516</v>
      </c>
      <c r="E555" s="30" t="n">
        <f aca="false">IF('Operating Model'!D$4&lt;=Assumptions!$C$126,IF(Assumptions!$C$130=1,D554*Assumptions!$C$125+E554*Assumptions!$C$128,-PMT(Assumptions!$C$125,Assumptions!$C$111,D554)-PMT(Assumptions!$C$128,Assumptions!$C$111,E554)),IF(Assumptions!$C$136=1,0,IF('Operating Model'!D$4-Assumptions!$C$126&lt;='Debt (Assumed)'!$B$100,H554*'Debt (Assumed)'!$B$98,-PMT('Debt (Assumed)'!$B$98,Assumptions!$C$111,H554))))</f>
        <v>397516</v>
      </c>
      <c r="F555" s="30" t="n">
        <f aca="false">IF('Operating Model'!E$4&lt;=Assumptions!$C$126,IF(Assumptions!$C$130=1,D554*Assumptions!$C$125+E554*Assumptions!$C$128,-PMT(Assumptions!$C$125,Assumptions!$C$111,D554)-PMT(Assumptions!$C$128,Assumptions!$C$111,E554)),IF(Assumptions!$C$136=1,0,IF('Operating Model'!E$4-Assumptions!$C$126&lt;='Debt (Assumed)'!$B$100,H554*'Debt (Assumed)'!$B$98,-PMT('Debt (Assumed)'!$B$98,Assumptions!$C$111,H554))))</f>
        <v>586314.640284137</v>
      </c>
      <c r="G555" s="30" t="n">
        <f aca="false">IF('Operating Model'!F$4&lt;=Assumptions!$C$126,IF(Assumptions!$C$130=1,D554*Assumptions!$C$125+E554*Assumptions!$C$128,-PMT(Assumptions!$C$125,Assumptions!$C$111,D554)-PMT(Assumptions!$C$128,Assumptions!$C$111,E554)),IF(Assumptions!$C$136=1,0,IF('Operating Model'!F$4-Assumptions!$C$126&lt;='Debt (Assumed)'!$B$100,H554*'Debt (Assumed)'!$B$98,-PMT('Debt (Assumed)'!$B$98,Assumptions!$C$111,H554))))</f>
        <v>586314.640284137</v>
      </c>
    </row>
    <row r="556" customFormat="false" ht="15" hidden="false" customHeight="false" outlineLevel="0" collapsed="false">
      <c r="A556" s="2" t="s">
        <v>970</v>
      </c>
      <c r="B556" s="30" t="n">
        <f aca="false">-F554</f>
        <v>-5095290</v>
      </c>
      <c r="C556" s="30" t="n">
        <f aca="false">IF(AND(Assumptions!$C$136=1,'Operating Model'!B$4&gt;Assumptions!$C$126),0,'Operating Model'!B55+(C553-'Operating Model'!B49)-C555-IF('Operating Model'!B$4=Assumptions!$C$126,IF(Assumptions!$C$136=1,-M554,G554-H554+L554),0)+IF(AND(Assumptions!$C$136&lt;&gt;1,'Operating Model'!B$4=Assumptions!$C$154),K554,0))</f>
        <v>451614.438496</v>
      </c>
      <c r="D556" s="30" t="n">
        <f aca="false">IF(AND(Assumptions!$C$136=1,'Operating Model'!C$4&gt;Assumptions!$C$126),0,'Operating Model'!C55+(D553-'Operating Model'!C49)-D555-IF('Operating Model'!C$4=Assumptions!$C$126,IF(Assumptions!$C$136=1,-M554,G554-H554+L554),0)+IF(AND(Assumptions!$C$136&lt;&gt;1,'Operating Model'!C$4=Assumptions!$C$154),K554,0))</f>
        <v>328301.041376455</v>
      </c>
      <c r="E556" s="30" t="n">
        <f aca="false">IF(AND(Assumptions!$C$136=1,'Operating Model'!D$4&gt;Assumptions!$C$126),0,'Operating Model'!D55+(E553-'Operating Model'!D49)-E555-IF('Operating Model'!D$4=Assumptions!$C$126,IF(Assumptions!$C$136=1,-M554,G554-H554+L554),0)+IF(AND(Assumptions!$C$136&lt;&gt;1,'Operating Model'!D$4=Assumptions!$C$154),K554,0))</f>
        <v>-357752.114533679</v>
      </c>
      <c r="F556" s="30" t="n">
        <f aca="false">IF(AND(Assumptions!$C$136=1,'Operating Model'!E$4&gt;Assumptions!$C$126),0,'Operating Model'!E55+(F553-'Operating Model'!E49)-F555-IF('Operating Model'!E$4=Assumptions!$C$126,IF(Assumptions!$C$136=1,-M554,G554-H554+L554),0)+IF(AND(Assumptions!$C$136&lt;&gt;1,'Operating Model'!E$4=Assumptions!$C$154),K554,0))</f>
        <v>302118.723364882</v>
      </c>
      <c r="G556" s="30" t="n">
        <f aca="false">IF(AND(Assumptions!$C$136=1,'Operating Model'!F$4&gt;Assumptions!$C$126),0,'Operating Model'!F55+(G553-'Operating Model'!F49)-G555-IF('Operating Model'!F$4=Assumptions!$C$126,IF(Assumptions!$C$136=1,-M554,G554-H554+L554),0)+IF(AND(Assumptions!$C$136&lt;&gt;1,'Operating Model'!F$4=Assumptions!$C$154),K554,0))</f>
        <v>5859877.670409</v>
      </c>
      <c r="H556" s="22" t="n">
        <f aca="false">IFERROR(IRR(B556:G556),"N/A")</f>
        <v>0.0572839138202697</v>
      </c>
      <c r="I556" s="24" t="n">
        <f aca="false">SUM(C556:G556)/F554</f>
        <v>1.29220510689532</v>
      </c>
    </row>
    <row r="558" customFormat="false" ht="15" hidden="false" customHeight="false" outlineLevel="0" collapsed="false">
      <c r="A558" s="2" t="s">
        <v>971</v>
      </c>
      <c r="C558" s="30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8" s="30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8" s="30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8" s="30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8" s="30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8" s="30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8" s="30" t="n">
        <f aca="false">H558-'Operating Model'!$B$42*1*(1+Assumptions!$C$18+0)^('Operating Model'!G$4-1)</f>
        <v>1209117.41207427</v>
      </c>
    </row>
    <row r="559" customFormat="false" ht="15" hidden="false" customHeight="false" outlineLevel="0" collapsed="false">
      <c r="A559" s="2" t="s">
        <v>972</v>
      </c>
      <c r="B559" s="30" t="n">
        <f aca="false">Assumptions!$C$7*1</f>
        <v>13800000</v>
      </c>
      <c r="C559" s="30" t="n">
        <f aca="false">MAX(0,(Assumptions!$C$124+Assumptions!$C$127)-Assumptions!$C$132*B559)</f>
        <v>0</v>
      </c>
      <c r="D559" s="30" t="n">
        <f aca="false">Assumptions!$C$124-MAX(0,C559-Assumptions!$C$127)</f>
        <v>5887000</v>
      </c>
      <c r="E559" s="30" t="n">
        <f aca="false">Assumptions!$C$127-MIN(C559,Assumptions!$C$127)</f>
        <v>3563000</v>
      </c>
      <c r="F559" s="30" t="n">
        <f aca="false">B559*(1+Assumptions!$C$10)+'Unit Mix'!$D$18*(E$36/Assumptions!$C$35)+(D559+E559)*Assumptions!$C$131-(D559+E559)</f>
        <v>5144394</v>
      </c>
      <c r="G559" s="30" t="n">
        <f aca="false">IF(Assumptions!$C$130=1,D559+E559,-FV(Assumptions!$C$125,Assumptions!$C$126,PMT(Assumptions!$C$125,Assumptions!$C$111,D559),D559)-FV(Assumptions!$C$128,Assumptions!$C$126,PMT(Assumptions!$C$128,Assumptions!$C$111,E559),E559))</f>
        <v>9450000</v>
      </c>
      <c r="H559" s="30" t="n">
        <f aca="false">MIN(INDEX(C558:H558,Assumptions!$C$126+1)/Assumptions!$C$157*Assumptions!$C$108,INDEX(C558:H558,Assumptions!$C$126+1)/(Assumptions!$C$109*-PMT('Debt (Assumed)'!$B$99,Assumptions!$C$111,1)))</f>
        <v>8699030.271278</v>
      </c>
      <c r="I559" s="30" t="n">
        <f aca="false">IF(MAX(0,Assumptions!$C$154-Assumptions!$C$126-'Debt (Assumed)'!$B$100)=0,H559,-FV('Debt (Assumed)'!$B$98,MAX(0,Assumptions!$C$154-Assumptions!$C$126-'Debt (Assumed)'!$B$100),PMT('Debt (Assumed)'!$B$98,Assumptions!$C$111,H559),H559))</f>
        <v>8699030.271278</v>
      </c>
      <c r="J559" s="30" t="n">
        <f aca="false">I559*'Debt (Assumed)'!$B$102</f>
        <v>0</v>
      </c>
      <c r="K559" s="30" t="n">
        <f aca="false">I558/(Assumptions!$C$157+Returns!$B$35)*(1-Assumptions!$C$158)-I559-J559</f>
        <v>5552338.73291509</v>
      </c>
      <c r="L559" s="30" t="n">
        <f aca="false">H559*'Debt (Assumed)'!$B$101</f>
        <v>93949.5269298024</v>
      </c>
      <c r="M559" s="30" t="n">
        <f aca="false">(INDEX(C558:H558,Assumptions!$C$126+1)-'Operating Model'!$B$42*1*(1+Assumptions!$C$18+0)^Assumptions!$C$126)/(Assumptions!$C$157+Returns!$B$35)*(1-Assumptions!$C$158)-G559</f>
        <v>4449247.28151039</v>
      </c>
    </row>
    <row r="560" customFormat="false" ht="15" hidden="false" customHeight="false" outlineLevel="0" collapsed="false">
      <c r="A560" s="2" t="s">
        <v>973</v>
      </c>
      <c r="C560" s="30" t="n">
        <f aca="false">IF('Operating Model'!B$4&lt;=Assumptions!$C$126,IF(Assumptions!$C$130=1,D559*Assumptions!$C$125+E559*Assumptions!$C$128,-PMT(Assumptions!$C$125,Assumptions!$C$111,D559)-PMT(Assumptions!$C$128,Assumptions!$C$111,E559)),IF(Assumptions!$C$136=1,0,IF('Operating Model'!B$4-Assumptions!$C$126&lt;='Debt (Assumed)'!$B$100,H559*'Debt (Assumed)'!$B$98,-PMT('Debt (Assumed)'!$B$98,Assumptions!$C$111,H559))))</f>
        <v>397516</v>
      </c>
      <c r="D560" s="30" t="n">
        <f aca="false">IF('Operating Model'!C$4&lt;=Assumptions!$C$126,IF(Assumptions!$C$130=1,D559*Assumptions!$C$125+E559*Assumptions!$C$128,-PMT(Assumptions!$C$125,Assumptions!$C$111,D559)-PMT(Assumptions!$C$128,Assumptions!$C$111,E559)),IF(Assumptions!$C$136=1,0,IF('Operating Model'!C$4-Assumptions!$C$126&lt;='Debt (Assumed)'!$B$100,H559*'Debt (Assumed)'!$B$98,-PMT('Debt (Assumed)'!$B$98,Assumptions!$C$111,H559))))</f>
        <v>397516</v>
      </c>
      <c r="E560" s="30" t="n">
        <f aca="false">IF('Operating Model'!D$4&lt;=Assumptions!$C$126,IF(Assumptions!$C$130=1,D559*Assumptions!$C$125+E559*Assumptions!$C$128,-PMT(Assumptions!$C$125,Assumptions!$C$111,D559)-PMT(Assumptions!$C$128,Assumptions!$C$111,E559)),IF(Assumptions!$C$136=1,0,IF('Operating Model'!D$4-Assumptions!$C$126&lt;='Debt (Assumed)'!$B$100,H559*'Debt (Assumed)'!$B$98,-PMT('Debt (Assumed)'!$B$98,Assumptions!$C$111,H559))))</f>
        <v>397516</v>
      </c>
      <c r="F560" s="30" t="n">
        <f aca="false">IF('Operating Model'!E$4&lt;=Assumptions!$C$126,IF(Assumptions!$C$130=1,D559*Assumptions!$C$125+E559*Assumptions!$C$128,-PMT(Assumptions!$C$125,Assumptions!$C$111,D559)-PMT(Assumptions!$C$128,Assumptions!$C$111,E559)),IF(Assumptions!$C$136=1,0,IF('Operating Model'!E$4-Assumptions!$C$126&lt;='Debt (Assumed)'!$B$100,H559*'Debt (Assumed)'!$B$98,-PMT('Debt (Assumed)'!$B$98,Assumptions!$C$111,H559))))</f>
        <v>586314.640284137</v>
      </c>
      <c r="G560" s="30" t="n">
        <f aca="false">IF('Operating Model'!F$4&lt;=Assumptions!$C$126,IF(Assumptions!$C$130=1,D559*Assumptions!$C$125+E559*Assumptions!$C$128,-PMT(Assumptions!$C$125,Assumptions!$C$111,D559)-PMT(Assumptions!$C$128,Assumptions!$C$111,E559)),IF(Assumptions!$C$136=1,0,IF('Operating Model'!F$4-Assumptions!$C$126&lt;='Debt (Assumed)'!$B$100,H559*'Debt (Assumed)'!$B$98,-PMT('Debt (Assumed)'!$B$98,Assumptions!$C$111,H559))))</f>
        <v>586314.640284137</v>
      </c>
    </row>
    <row r="561" customFormat="false" ht="15" hidden="false" customHeight="false" outlineLevel="0" collapsed="false">
      <c r="A561" s="2" t="s">
        <v>974</v>
      </c>
      <c r="B561" s="30" t="n">
        <f aca="false">-F559</f>
        <v>-5144394</v>
      </c>
      <c r="C561" s="30" t="n">
        <f aca="false">IF(AND(Assumptions!$C$136=1,'Operating Model'!B$4&gt;Assumptions!$C$126),0,'Operating Model'!B55+(C558-'Operating Model'!B49)-C560-IF('Operating Model'!B$4=Assumptions!$C$126,IF(Assumptions!$C$136=1,-M559,G559-H559+L559),0)+IF(AND(Assumptions!$C$136&lt;&gt;1,'Operating Model'!B$4=Assumptions!$C$154),K559,0))</f>
        <v>451614.438496</v>
      </c>
      <c r="D561" s="30" t="n">
        <f aca="false">IF(AND(Assumptions!$C$136=1,'Operating Model'!C$4&gt;Assumptions!$C$126),0,'Operating Model'!C55+(D558-'Operating Model'!C49)-D560-IF('Operating Model'!C$4=Assumptions!$C$126,IF(Assumptions!$C$136=1,-M559,G559-H559+L559),0)+IF(AND(Assumptions!$C$136&lt;&gt;1,'Operating Model'!C$4=Assumptions!$C$154),K559,0))</f>
        <v>328301.041376455</v>
      </c>
      <c r="E561" s="30" t="n">
        <f aca="false">IF(AND(Assumptions!$C$136=1,'Operating Model'!D$4&gt;Assumptions!$C$126),0,'Operating Model'!D55+(E558-'Operating Model'!D49)-E560-IF('Operating Model'!D$4=Assumptions!$C$126,IF(Assumptions!$C$136=1,-M559,G559-H559+L559),0)+IF(AND(Assumptions!$C$136&lt;&gt;1,'Operating Model'!D$4=Assumptions!$C$154),K559,0))</f>
        <v>-357752.114533679</v>
      </c>
      <c r="F561" s="30" t="n">
        <f aca="false">IF(AND(Assumptions!$C$136=1,'Operating Model'!E$4&gt;Assumptions!$C$126),0,'Operating Model'!E55+(F558-'Operating Model'!E49)-F560-IF('Operating Model'!E$4=Assumptions!$C$126,IF(Assumptions!$C$136=1,-M559,G559-H559+L559),0)+IF(AND(Assumptions!$C$136&lt;&gt;1,'Operating Model'!E$4=Assumptions!$C$154),K559,0))</f>
        <v>302118.723364882</v>
      </c>
      <c r="G561" s="30" t="n">
        <f aca="false">IF(AND(Assumptions!$C$136=1,'Operating Model'!F$4&gt;Assumptions!$C$126),0,'Operating Model'!F55+(G558-'Operating Model'!F49)-G560-IF('Operating Model'!F$4=Assumptions!$C$126,IF(Assumptions!$C$136=1,-M559,G559-H559+L559),0)+IF(AND(Assumptions!$C$136&lt;&gt;1,'Operating Model'!F$4=Assumptions!$C$154),K559,0))</f>
        <v>5859877.670409</v>
      </c>
      <c r="H561" s="22" t="n">
        <f aca="false">IFERROR(IRR(B561:G561),"N/A")</f>
        <v>0.0550647480581682</v>
      </c>
      <c r="I561" s="24" t="n">
        <f aca="false">SUM(C561:G561)/F559</f>
        <v>1.27987081843122</v>
      </c>
    </row>
    <row r="563" customFormat="false" ht="15" hidden="false" customHeight="false" outlineLevel="0" collapsed="false">
      <c r="A563" s="2" t="s">
        <v>975</v>
      </c>
      <c r="C563" s="30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63" s="30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63" s="30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63" s="30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63" s="30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63" s="30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63" s="30" t="n">
        <f aca="false">H563-'Operating Model'!$B$42*1*(1+Assumptions!$C$18+0)^('Operating Model'!G$4-1)</f>
        <v>1209117.41207427</v>
      </c>
    </row>
    <row r="564" customFormat="false" ht="15" hidden="false" customHeight="false" outlineLevel="0" collapsed="false">
      <c r="A564" s="2" t="s">
        <v>976</v>
      </c>
      <c r="B564" s="30" t="n">
        <f aca="false">Assumptions!$C$7*1</f>
        <v>13800000</v>
      </c>
      <c r="C564" s="30" t="n">
        <f aca="false">MAX(0,(Assumptions!$C$124+Assumptions!$C$127)-Assumptions!$C$132*B564)</f>
        <v>0</v>
      </c>
      <c r="D564" s="30" t="n">
        <f aca="false">Assumptions!$C$124-MAX(0,C564-Assumptions!$C$127)</f>
        <v>5887000</v>
      </c>
      <c r="E564" s="30" t="n">
        <f aca="false">Assumptions!$C$127-MIN(C564,Assumptions!$C$127)</f>
        <v>3563000</v>
      </c>
      <c r="F564" s="30" t="n">
        <f aca="false">B564*(1+Assumptions!$C$10)+'Unit Mix'!$D$18*(F$36/Assumptions!$C$35)+(D564+E564)*Assumptions!$C$131-(D564+E564)</f>
        <v>5193498</v>
      </c>
      <c r="G564" s="30" t="n">
        <f aca="false">IF(Assumptions!$C$130=1,D564+E564,-FV(Assumptions!$C$125,Assumptions!$C$126,PMT(Assumptions!$C$125,Assumptions!$C$111,D564),D564)-FV(Assumptions!$C$128,Assumptions!$C$126,PMT(Assumptions!$C$128,Assumptions!$C$111,E564),E564))</f>
        <v>9450000</v>
      </c>
      <c r="H564" s="30" t="n">
        <f aca="false">MIN(INDEX(C563:H563,Assumptions!$C$126+1)/Assumptions!$C$157*Assumptions!$C$108,INDEX(C563:H563,Assumptions!$C$126+1)/(Assumptions!$C$109*-PMT('Debt (Assumed)'!$B$99,Assumptions!$C$111,1)))</f>
        <v>8699030.271278</v>
      </c>
      <c r="I564" s="30" t="n">
        <f aca="false">IF(MAX(0,Assumptions!$C$154-Assumptions!$C$126-'Debt (Assumed)'!$B$100)=0,H564,-FV('Debt (Assumed)'!$B$98,MAX(0,Assumptions!$C$154-Assumptions!$C$126-'Debt (Assumed)'!$B$100),PMT('Debt (Assumed)'!$B$98,Assumptions!$C$111,H564),H564))</f>
        <v>8699030.271278</v>
      </c>
      <c r="J564" s="30" t="n">
        <f aca="false">I564*'Debt (Assumed)'!$B$102</f>
        <v>0</v>
      </c>
      <c r="K564" s="30" t="n">
        <f aca="false">I563/(Assumptions!$C$157+Returns!$B$35)*(1-Assumptions!$C$158)-I564-J564</f>
        <v>5552338.73291509</v>
      </c>
      <c r="L564" s="30" t="n">
        <f aca="false">H564*'Debt (Assumed)'!$B$101</f>
        <v>93949.5269298024</v>
      </c>
      <c r="M564" s="30" t="n">
        <f aca="false">(INDEX(C563:H563,Assumptions!$C$126+1)-'Operating Model'!$B$42*1*(1+Assumptions!$C$18+0)^Assumptions!$C$126)/(Assumptions!$C$157+Returns!$B$35)*(1-Assumptions!$C$158)-G564</f>
        <v>4449247.28151039</v>
      </c>
    </row>
    <row r="565" customFormat="false" ht="15" hidden="false" customHeight="false" outlineLevel="0" collapsed="false">
      <c r="A565" s="2" t="s">
        <v>977</v>
      </c>
      <c r="C565" s="30" t="n">
        <f aca="false">IF('Operating Model'!B$4&lt;=Assumptions!$C$126,IF(Assumptions!$C$130=1,D564*Assumptions!$C$125+E564*Assumptions!$C$128,-PMT(Assumptions!$C$125,Assumptions!$C$111,D564)-PMT(Assumptions!$C$128,Assumptions!$C$111,E564)),IF(Assumptions!$C$136=1,0,IF('Operating Model'!B$4-Assumptions!$C$126&lt;='Debt (Assumed)'!$B$100,H564*'Debt (Assumed)'!$B$98,-PMT('Debt (Assumed)'!$B$98,Assumptions!$C$111,H564))))</f>
        <v>397516</v>
      </c>
      <c r="D565" s="30" t="n">
        <f aca="false">IF('Operating Model'!C$4&lt;=Assumptions!$C$126,IF(Assumptions!$C$130=1,D564*Assumptions!$C$125+E564*Assumptions!$C$128,-PMT(Assumptions!$C$125,Assumptions!$C$111,D564)-PMT(Assumptions!$C$128,Assumptions!$C$111,E564)),IF(Assumptions!$C$136=1,0,IF('Operating Model'!C$4-Assumptions!$C$126&lt;='Debt (Assumed)'!$B$100,H564*'Debt (Assumed)'!$B$98,-PMT('Debt (Assumed)'!$B$98,Assumptions!$C$111,H564))))</f>
        <v>397516</v>
      </c>
      <c r="E565" s="30" t="n">
        <f aca="false">IF('Operating Model'!D$4&lt;=Assumptions!$C$126,IF(Assumptions!$C$130=1,D564*Assumptions!$C$125+E564*Assumptions!$C$128,-PMT(Assumptions!$C$125,Assumptions!$C$111,D564)-PMT(Assumptions!$C$128,Assumptions!$C$111,E564)),IF(Assumptions!$C$136=1,0,IF('Operating Model'!D$4-Assumptions!$C$126&lt;='Debt (Assumed)'!$B$100,H564*'Debt (Assumed)'!$B$98,-PMT('Debt (Assumed)'!$B$98,Assumptions!$C$111,H564))))</f>
        <v>397516</v>
      </c>
      <c r="F565" s="30" t="n">
        <f aca="false">IF('Operating Model'!E$4&lt;=Assumptions!$C$126,IF(Assumptions!$C$130=1,D564*Assumptions!$C$125+E564*Assumptions!$C$128,-PMT(Assumptions!$C$125,Assumptions!$C$111,D564)-PMT(Assumptions!$C$128,Assumptions!$C$111,E564)),IF(Assumptions!$C$136=1,0,IF('Operating Model'!E$4-Assumptions!$C$126&lt;='Debt (Assumed)'!$B$100,H564*'Debt (Assumed)'!$B$98,-PMT('Debt (Assumed)'!$B$98,Assumptions!$C$111,H564))))</f>
        <v>586314.640284137</v>
      </c>
      <c r="G565" s="30" t="n">
        <f aca="false">IF('Operating Model'!F$4&lt;=Assumptions!$C$126,IF(Assumptions!$C$130=1,D564*Assumptions!$C$125+E564*Assumptions!$C$128,-PMT(Assumptions!$C$125,Assumptions!$C$111,D564)-PMT(Assumptions!$C$128,Assumptions!$C$111,E564)),IF(Assumptions!$C$136=1,0,IF('Operating Model'!F$4-Assumptions!$C$126&lt;='Debt (Assumed)'!$B$100,H564*'Debt (Assumed)'!$B$98,-PMT('Debt (Assumed)'!$B$98,Assumptions!$C$111,H564))))</f>
        <v>586314.640284137</v>
      </c>
    </row>
    <row r="566" customFormat="false" ht="15" hidden="false" customHeight="false" outlineLevel="0" collapsed="false">
      <c r="A566" s="2" t="s">
        <v>978</v>
      </c>
      <c r="B566" s="30" t="n">
        <f aca="false">-F564</f>
        <v>-5193498</v>
      </c>
      <c r="C566" s="30" t="n">
        <f aca="false">IF(AND(Assumptions!$C$136=1,'Operating Model'!B$4&gt;Assumptions!$C$126),0,'Operating Model'!B55+(C563-'Operating Model'!B49)-C565-IF('Operating Model'!B$4=Assumptions!$C$126,IF(Assumptions!$C$136=1,-M564,G564-H564+L564),0)+IF(AND(Assumptions!$C$136&lt;&gt;1,'Operating Model'!B$4=Assumptions!$C$154),K564,0))</f>
        <v>451614.438496</v>
      </c>
      <c r="D566" s="30" t="n">
        <f aca="false">IF(AND(Assumptions!$C$136=1,'Operating Model'!C$4&gt;Assumptions!$C$126),0,'Operating Model'!C55+(D563-'Operating Model'!C49)-D565-IF('Operating Model'!C$4=Assumptions!$C$126,IF(Assumptions!$C$136=1,-M564,G564-H564+L564),0)+IF(AND(Assumptions!$C$136&lt;&gt;1,'Operating Model'!C$4=Assumptions!$C$154),K564,0))</f>
        <v>328301.041376455</v>
      </c>
      <c r="E566" s="30" t="n">
        <f aca="false">IF(AND(Assumptions!$C$136=1,'Operating Model'!D$4&gt;Assumptions!$C$126),0,'Operating Model'!D55+(E563-'Operating Model'!D49)-E565-IF('Operating Model'!D$4=Assumptions!$C$126,IF(Assumptions!$C$136=1,-M564,G564-H564+L564),0)+IF(AND(Assumptions!$C$136&lt;&gt;1,'Operating Model'!D$4=Assumptions!$C$154),K564,0))</f>
        <v>-357752.114533679</v>
      </c>
      <c r="F566" s="30" t="n">
        <f aca="false">IF(AND(Assumptions!$C$136=1,'Operating Model'!E$4&gt;Assumptions!$C$126),0,'Operating Model'!E55+(F563-'Operating Model'!E49)-F565-IF('Operating Model'!E$4=Assumptions!$C$126,IF(Assumptions!$C$136=1,-M564,G564-H564+L564),0)+IF(AND(Assumptions!$C$136&lt;&gt;1,'Operating Model'!E$4=Assumptions!$C$154),K564,0))</f>
        <v>302118.723364882</v>
      </c>
      <c r="G566" s="30" t="n">
        <f aca="false">IF(AND(Assumptions!$C$136=1,'Operating Model'!F$4&gt;Assumptions!$C$126),0,'Operating Model'!F55+(G563-'Operating Model'!F49)-G565-IF('Operating Model'!F$4=Assumptions!$C$126,IF(Assumptions!$C$136=1,-M564,G564-H564+L564),0)+IF(AND(Assumptions!$C$136&lt;&gt;1,'Operating Model'!F$4=Assumptions!$C$154),K564,0))</f>
        <v>5859877.670409</v>
      </c>
      <c r="H566" s="22" t="n">
        <f aca="false">IFERROR(IRR(B566:G566),"N/A")</f>
        <v>0.0528727298310777</v>
      </c>
      <c r="I566" s="24" t="n">
        <f aca="false">SUM(C566:G566)/F564</f>
        <v>1.26776976887498</v>
      </c>
    </row>
    <row r="568" customFormat="false" ht="15" hidden="false" customHeight="false" outlineLevel="0" collapsed="false">
      <c r="A568" s="2" t="s">
        <v>979</v>
      </c>
      <c r="C568" s="30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68" s="30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68" s="30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68" s="30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68" s="30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68" s="30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68" s="30" t="n">
        <f aca="false">H568-'Operating Model'!$B$42*1*(1+Assumptions!$C$18+0)^('Operating Model'!G$4-1)</f>
        <v>1221901.73207427</v>
      </c>
    </row>
    <row r="569" customFormat="false" ht="15" hidden="false" customHeight="false" outlineLevel="0" collapsed="false">
      <c r="A569" s="2" t="s">
        <v>980</v>
      </c>
      <c r="B569" s="30" t="n">
        <f aca="false">Assumptions!$C$7*1</f>
        <v>13800000</v>
      </c>
      <c r="C569" s="30" t="n">
        <f aca="false">MAX(0,(Assumptions!$C$124+Assumptions!$C$127)-Assumptions!$C$132*B569)</f>
        <v>0</v>
      </c>
      <c r="D569" s="30" t="n">
        <f aca="false">Assumptions!$C$124-MAX(0,C569-Assumptions!$C$127)</f>
        <v>5887000</v>
      </c>
      <c r="E569" s="30" t="n">
        <f aca="false">Assumptions!$C$127-MIN(C569,Assumptions!$C$127)</f>
        <v>3563000</v>
      </c>
      <c r="F569" s="30" t="n">
        <f aca="false">B569*(1+Assumptions!$C$10)+'Unit Mix'!$D$18*(B$36/Assumptions!$C$35)+(D569+E569)*Assumptions!$C$131-(D569+E569)</f>
        <v>4997082</v>
      </c>
      <c r="G569" s="30" t="n">
        <f aca="false">IF(Assumptions!$C$130=1,D569+E569,-FV(Assumptions!$C$125,Assumptions!$C$126,PMT(Assumptions!$C$125,Assumptions!$C$111,D569),D569)-FV(Assumptions!$C$128,Assumptions!$C$126,PMT(Assumptions!$C$128,Assumptions!$C$111,E569),E569))</f>
        <v>9450000</v>
      </c>
      <c r="H569" s="30" t="n">
        <f aca="false">MIN(INDEX(C568:H568,Assumptions!$C$126+1)/Assumptions!$C$157*Assumptions!$C$108,INDEX(C568:H568,Assumptions!$C$126+1)/(Assumptions!$C$109*-PMT('Debt (Assumed)'!$B$99,Assumptions!$C$111,1)))</f>
        <v>8819820.47715224</v>
      </c>
      <c r="I569" s="30" t="n">
        <f aca="false">IF(MAX(0,Assumptions!$C$154-Assumptions!$C$126-'Debt (Assumed)'!$B$100)=0,H569,-FV('Debt (Assumed)'!$B$98,MAX(0,Assumptions!$C$154-Assumptions!$C$126-'Debt (Assumed)'!$B$100),PMT('Debt (Assumed)'!$B$98,Assumptions!$C$111,H569),H569))</f>
        <v>8819820.47715224</v>
      </c>
      <c r="J569" s="30" t="n">
        <f aca="false">I569*'Debt (Assumed)'!$B$102</f>
        <v>0</v>
      </c>
      <c r="K569" s="30" t="n">
        <f aca="false">I568/(Assumptions!$C$157+Returns!$B$35)*(1-Assumptions!$C$158)-I569-J569</f>
        <v>5582232.04211414</v>
      </c>
      <c r="L569" s="30" t="n">
        <f aca="false">H569*'Debt (Assumed)'!$B$101</f>
        <v>95254.0611532442</v>
      </c>
      <c r="M569" s="30" t="n">
        <f aca="false">(INDEX(C568:H568,Assumptions!$C$126+1)-'Operating Model'!$B$42*1*(1+Assumptions!$C$18+0)^Assumptions!$C$126)/(Assumptions!$C$157+Returns!$B$35)*(1-Assumptions!$C$158)-G569</f>
        <v>4599930.79658369</v>
      </c>
    </row>
    <row r="570" customFormat="false" ht="15" hidden="false" customHeight="false" outlineLevel="0" collapsed="false">
      <c r="A570" s="2" t="s">
        <v>981</v>
      </c>
      <c r="C570" s="30" t="n">
        <f aca="false">IF('Operating Model'!B$4&lt;=Assumptions!$C$126,IF(Assumptions!$C$130=1,D569*Assumptions!$C$125+E569*Assumptions!$C$128,-PMT(Assumptions!$C$125,Assumptions!$C$111,D569)-PMT(Assumptions!$C$128,Assumptions!$C$111,E569)),IF(Assumptions!$C$136=1,0,IF('Operating Model'!B$4-Assumptions!$C$126&lt;='Debt (Assumed)'!$B$100,H569*'Debt (Assumed)'!$B$98,-PMT('Debt (Assumed)'!$B$98,Assumptions!$C$111,H569))))</f>
        <v>397516</v>
      </c>
      <c r="D570" s="30" t="n">
        <f aca="false">IF('Operating Model'!C$4&lt;=Assumptions!$C$126,IF(Assumptions!$C$130=1,D569*Assumptions!$C$125+E569*Assumptions!$C$128,-PMT(Assumptions!$C$125,Assumptions!$C$111,D569)-PMT(Assumptions!$C$128,Assumptions!$C$111,E569)),IF(Assumptions!$C$136=1,0,IF('Operating Model'!C$4-Assumptions!$C$126&lt;='Debt (Assumed)'!$B$100,H569*'Debt (Assumed)'!$B$98,-PMT('Debt (Assumed)'!$B$98,Assumptions!$C$111,H569))))</f>
        <v>397516</v>
      </c>
      <c r="E570" s="30" t="n">
        <f aca="false">IF('Operating Model'!D$4&lt;=Assumptions!$C$126,IF(Assumptions!$C$130=1,D569*Assumptions!$C$125+E569*Assumptions!$C$128,-PMT(Assumptions!$C$125,Assumptions!$C$111,D569)-PMT(Assumptions!$C$128,Assumptions!$C$111,E569)),IF(Assumptions!$C$136=1,0,IF('Operating Model'!D$4-Assumptions!$C$126&lt;='Debt (Assumed)'!$B$100,H569*'Debt (Assumed)'!$B$98,-PMT('Debt (Assumed)'!$B$98,Assumptions!$C$111,H569))))</f>
        <v>397516</v>
      </c>
      <c r="F570" s="30" t="n">
        <f aca="false">IF('Operating Model'!E$4&lt;=Assumptions!$C$126,IF(Assumptions!$C$130=1,D569*Assumptions!$C$125+E569*Assumptions!$C$128,-PMT(Assumptions!$C$125,Assumptions!$C$111,D569)-PMT(Assumptions!$C$128,Assumptions!$C$111,E569)),IF(Assumptions!$C$136=1,0,IF('Operating Model'!E$4-Assumptions!$C$126&lt;='Debt (Assumed)'!$B$100,H569*'Debt (Assumed)'!$B$98,-PMT('Debt (Assumed)'!$B$98,Assumptions!$C$111,H569))))</f>
        <v>594455.900160061</v>
      </c>
      <c r="G570" s="30" t="n">
        <f aca="false">IF('Operating Model'!F$4&lt;=Assumptions!$C$126,IF(Assumptions!$C$130=1,D569*Assumptions!$C$125+E569*Assumptions!$C$128,-PMT(Assumptions!$C$125,Assumptions!$C$111,D569)-PMT(Assumptions!$C$128,Assumptions!$C$111,E569)),IF(Assumptions!$C$136=1,0,IF('Operating Model'!F$4-Assumptions!$C$126&lt;='Debt (Assumed)'!$B$100,H569*'Debt (Assumed)'!$B$98,-PMT('Debt (Assumed)'!$B$98,Assumptions!$C$111,H569))))</f>
        <v>594455.900160061</v>
      </c>
    </row>
    <row r="571" customFormat="false" ht="15" hidden="false" customHeight="false" outlineLevel="0" collapsed="false">
      <c r="A571" s="2" t="s">
        <v>982</v>
      </c>
      <c r="B571" s="30" t="n">
        <f aca="false">-F569</f>
        <v>-4997082</v>
      </c>
      <c r="C571" s="30" t="n">
        <f aca="false">IF(AND(Assumptions!$C$136=1,'Operating Model'!B$4&gt;Assumptions!$C$126),0,'Operating Model'!B55+(C568-'Operating Model'!B49)-C570-IF('Operating Model'!B$4=Assumptions!$C$126,IF(Assumptions!$C$136=1,-M569,G569-H569+L569),0)+IF(AND(Assumptions!$C$136&lt;&gt;1,'Operating Model'!B$4=Assumptions!$C$154),K569,0))</f>
        <v>458006.598496</v>
      </c>
      <c r="D571" s="30" t="n">
        <f aca="false">IF(AND(Assumptions!$C$136=1,'Operating Model'!C$4&gt;Assumptions!$C$126),0,'Operating Model'!C55+(D568-'Operating Model'!C49)-D570-IF('Operating Model'!C$4=Assumptions!$C$126,IF(Assumptions!$C$136=1,-M569,G569-H569+L569),0)+IF(AND(Assumptions!$C$136&lt;&gt;1,'Operating Model'!C$4=Assumptions!$C$154),K569,0))</f>
        <v>341085.361376455</v>
      </c>
      <c r="E571" s="30" t="n">
        <f aca="false">IF(AND(Assumptions!$C$136=1,'Operating Model'!D$4&gt;Assumptions!$C$126),0,'Operating Model'!D55+(E568-'Operating Model'!D49)-E570-IF('Operating Model'!D$4=Assumptions!$C$126,IF(Assumptions!$C$136=1,-M569,G569-H569+L569),0)+IF(AND(Assumptions!$C$136&lt;&gt;1,'Operating Model'!D$4=Assumptions!$C$154),K569,0))</f>
        <v>-225482.122882875</v>
      </c>
      <c r="F571" s="30" t="n">
        <f aca="false">IF(AND(Assumptions!$C$136=1,'Operating Model'!E$4&gt;Assumptions!$C$126),0,'Operating Model'!E55+(F568-'Operating Model'!E49)-F570-IF('Operating Model'!E$4=Assumptions!$C$126,IF(Assumptions!$C$136=1,-M569,G569-H569+L569),0)+IF(AND(Assumptions!$C$136&lt;&gt;1,'Operating Model'!E$4=Assumptions!$C$154),K569,0))</f>
        <v>306761.783488957</v>
      </c>
      <c r="G571" s="30" t="n">
        <f aca="false">IF(AND(Assumptions!$C$136=1,'Operating Model'!F$4&gt;Assumptions!$C$126),0,'Operating Model'!F55+(G568-'Operating Model'!F49)-G570-IF('Operating Model'!F$4=Assumptions!$C$126,IF(Assumptions!$C$136=1,-M569,G569-H569+L569),0)+IF(AND(Assumptions!$C$136&lt;&gt;1,'Operating Model'!F$4=Assumptions!$C$154),K569,0))</f>
        <v>5894414.03973213</v>
      </c>
      <c r="H571" s="22" t="n">
        <f aca="false">IFERROR(IRR(B571:G571),"N/A")</f>
        <v>0.0691183433912913</v>
      </c>
      <c r="I571" s="24" t="n">
        <f aca="false">SUM(C571:G571)/F569</f>
        <v>1.35574834677731</v>
      </c>
    </row>
    <row r="573" customFormat="false" ht="15" hidden="false" customHeight="false" outlineLevel="0" collapsed="false">
      <c r="A573" s="2" t="s">
        <v>983</v>
      </c>
      <c r="C573" s="30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3" s="30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3" s="30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3" s="30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3" s="30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3" s="30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3" s="30" t="n">
        <f aca="false">H573-'Operating Model'!$B$42*1*(1+Assumptions!$C$18+0)^('Operating Model'!G$4-1)</f>
        <v>1221901.73207427</v>
      </c>
    </row>
    <row r="574" customFormat="false" ht="15" hidden="false" customHeight="false" outlineLevel="0" collapsed="false">
      <c r="A574" s="2" t="s">
        <v>984</v>
      </c>
      <c r="B574" s="30" t="n">
        <f aca="false">Assumptions!$C$7*1</f>
        <v>13800000</v>
      </c>
      <c r="C574" s="30" t="n">
        <f aca="false">MAX(0,(Assumptions!$C$124+Assumptions!$C$127)-Assumptions!$C$132*B574)</f>
        <v>0</v>
      </c>
      <c r="D574" s="30" t="n">
        <f aca="false">Assumptions!$C$124-MAX(0,C574-Assumptions!$C$127)</f>
        <v>5887000</v>
      </c>
      <c r="E574" s="30" t="n">
        <f aca="false">Assumptions!$C$127-MIN(C574,Assumptions!$C$127)</f>
        <v>3563000</v>
      </c>
      <c r="F574" s="30" t="n">
        <f aca="false">B574*(1+Assumptions!$C$10)+'Unit Mix'!$D$18*(C$36/Assumptions!$C$35)+(D574+E574)*Assumptions!$C$131-(D574+E574)</f>
        <v>5046186</v>
      </c>
      <c r="G574" s="30" t="n">
        <f aca="false">IF(Assumptions!$C$130=1,D574+E574,-FV(Assumptions!$C$125,Assumptions!$C$126,PMT(Assumptions!$C$125,Assumptions!$C$111,D574),D574)-FV(Assumptions!$C$128,Assumptions!$C$126,PMT(Assumptions!$C$128,Assumptions!$C$111,E574),E574))</f>
        <v>9450000</v>
      </c>
      <c r="H574" s="30" t="n">
        <f aca="false">MIN(INDEX(C573:H573,Assumptions!$C$126+1)/Assumptions!$C$157*Assumptions!$C$108,INDEX(C573:H573,Assumptions!$C$126+1)/(Assumptions!$C$109*-PMT('Debt (Assumed)'!$B$99,Assumptions!$C$111,1)))</f>
        <v>8819820.47715224</v>
      </c>
      <c r="I574" s="30" t="n">
        <f aca="false">IF(MAX(0,Assumptions!$C$154-Assumptions!$C$126-'Debt (Assumed)'!$B$100)=0,H574,-FV('Debt (Assumed)'!$B$98,MAX(0,Assumptions!$C$154-Assumptions!$C$126-'Debt (Assumed)'!$B$100),PMT('Debt (Assumed)'!$B$98,Assumptions!$C$111,H574),H574))</f>
        <v>8819820.47715224</v>
      </c>
      <c r="J574" s="30" t="n">
        <f aca="false">I574*'Debt (Assumed)'!$B$102</f>
        <v>0</v>
      </c>
      <c r="K574" s="30" t="n">
        <f aca="false">I573/(Assumptions!$C$157+Returns!$B$35)*(1-Assumptions!$C$158)-I574-J574</f>
        <v>5582232.04211414</v>
      </c>
      <c r="L574" s="30" t="n">
        <f aca="false">H574*'Debt (Assumed)'!$B$101</f>
        <v>95254.0611532442</v>
      </c>
      <c r="M574" s="30" t="n">
        <f aca="false">(INDEX(C573:H573,Assumptions!$C$126+1)-'Operating Model'!$B$42*1*(1+Assumptions!$C$18+0)^Assumptions!$C$126)/(Assumptions!$C$157+Returns!$B$35)*(1-Assumptions!$C$158)-G574</f>
        <v>4599930.79658369</v>
      </c>
    </row>
    <row r="575" customFormat="false" ht="15" hidden="false" customHeight="false" outlineLevel="0" collapsed="false">
      <c r="A575" s="2" t="s">
        <v>985</v>
      </c>
      <c r="C575" s="30" t="n">
        <f aca="false">IF('Operating Model'!B$4&lt;=Assumptions!$C$126,IF(Assumptions!$C$130=1,D574*Assumptions!$C$125+E574*Assumptions!$C$128,-PMT(Assumptions!$C$125,Assumptions!$C$111,D574)-PMT(Assumptions!$C$128,Assumptions!$C$111,E574)),IF(Assumptions!$C$136=1,0,IF('Operating Model'!B$4-Assumptions!$C$126&lt;='Debt (Assumed)'!$B$100,H574*'Debt (Assumed)'!$B$98,-PMT('Debt (Assumed)'!$B$98,Assumptions!$C$111,H574))))</f>
        <v>397516</v>
      </c>
      <c r="D575" s="30" t="n">
        <f aca="false">IF('Operating Model'!C$4&lt;=Assumptions!$C$126,IF(Assumptions!$C$130=1,D574*Assumptions!$C$125+E574*Assumptions!$C$128,-PMT(Assumptions!$C$125,Assumptions!$C$111,D574)-PMT(Assumptions!$C$128,Assumptions!$C$111,E574)),IF(Assumptions!$C$136=1,0,IF('Operating Model'!C$4-Assumptions!$C$126&lt;='Debt (Assumed)'!$B$100,H574*'Debt (Assumed)'!$B$98,-PMT('Debt (Assumed)'!$B$98,Assumptions!$C$111,H574))))</f>
        <v>397516</v>
      </c>
      <c r="E575" s="30" t="n">
        <f aca="false">IF('Operating Model'!D$4&lt;=Assumptions!$C$126,IF(Assumptions!$C$130=1,D574*Assumptions!$C$125+E574*Assumptions!$C$128,-PMT(Assumptions!$C$125,Assumptions!$C$111,D574)-PMT(Assumptions!$C$128,Assumptions!$C$111,E574)),IF(Assumptions!$C$136=1,0,IF('Operating Model'!D$4-Assumptions!$C$126&lt;='Debt (Assumed)'!$B$100,H574*'Debt (Assumed)'!$B$98,-PMT('Debt (Assumed)'!$B$98,Assumptions!$C$111,H574))))</f>
        <v>397516</v>
      </c>
      <c r="F575" s="30" t="n">
        <f aca="false">IF('Operating Model'!E$4&lt;=Assumptions!$C$126,IF(Assumptions!$C$130=1,D574*Assumptions!$C$125+E574*Assumptions!$C$128,-PMT(Assumptions!$C$125,Assumptions!$C$111,D574)-PMT(Assumptions!$C$128,Assumptions!$C$111,E574)),IF(Assumptions!$C$136=1,0,IF('Operating Model'!E$4-Assumptions!$C$126&lt;='Debt (Assumed)'!$B$100,H574*'Debt (Assumed)'!$B$98,-PMT('Debt (Assumed)'!$B$98,Assumptions!$C$111,H574))))</f>
        <v>594455.900160061</v>
      </c>
      <c r="G575" s="30" t="n">
        <f aca="false">IF('Operating Model'!F$4&lt;=Assumptions!$C$126,IF(Assumptions!$C$130=1,D574*Assumptions!$C$125+E574*Assumptions!$C$128,-PMT(Assumptions!$C$125,Assumptions!$C$111,D574)-PMT(Assumptions!$C$128,Assumptions!$C$111,E574)),IF(Assumptions!$C$136=1,0,IF('Operating Model'!F$4-Assumptions!$C$126&lt;='Debt (Assumed)'!$B$100,H574*'Debt (Assumed)'!$B$98,-PMT('Debt (Assumed)'!$B$98,Assumptions!$C$111,H574))))</f>
        <v>594455.900160061</v>
      </c>
    </row>
    <row r="576" customFormat="false" ht="15" hidden="false" customHeight="false" outlineLevel="0" collapsed="false">
      <c r="A576" s="2" t="s">
        <v>986</v>
      </c>
      <c r="B576" s="30" t="n">
        <f aca="false">-F574</f>
        <v>-5046186</v>
      </c>
      <c r="C576" s="30" t="n">
        <f aca="false">IF(AND(Assumptions!$C$136=1,'Operating Model'!B$4&gt;Assumptions!$C$126),0,'Operating Model'!B55+(C573-'Operating Model'!B49)-C575-IF('Operating Model'!B$4=Assumptions!$C$126,IF(Assumptions!$C$136=1,-M574,G574-H574+L574),0)+IF(AND(Assumptions!$C$136&lt;&gt;1,'Operating Model'!B$4=Assumptions!$C$154),K574,0))</f>
        <v>458006.598496</v>
      </c>
      <c r="D576" s="30" t="n">
        <f aca="false">IF(AND(Assumptions!$C$136=1,'Operating Model'!C$4&gt;Assumptions!$C$126),0,'Operating Model'!C55+(D573-'Operating Model'!C49)-D575-IF('Operating Model'!C$4=Assumptions!$C$126,IF(Assumptions!$C$136=1,-M574,G574-H574+L574),0)+IF(AND(Assumptions!$C$136&lt;&gt;1,'Operating Model'!C$4=Assumptions!$C$154),K574,0))</f>
        <v>341085.361376455</v>
      </c>
      <c r="E576" s="30" t="n">
        <f aca="false">IF(AND(Assumptions!$C$136=1,'Operating Model'!D$4&gt;Assumptions!$C$126),0,'Operating Model'!D55+(E573-'Operating Model'!D49)-E575-IF('Operating Model'!D$4=Assumptions!$C$126,IF(Assumptions!$C$136=1,-M574,G574-H574+L574),0)+IF(AND(Assumptions!$C$136&lt;&gt;1,'Operating Model'!D$4=Assumptions!$C$154),K574,0))</f>
        <v>-225482.122882875</v>
      </c>
      <c r="F576" s="30" t="n">
        <f aca="false">IF(AND(Assumptions!$C$136=1,'Operating Model'!E$4&gt;Assumptions!$C$126),0,'Operating Model'!E55+(F573-'Operating Model'!E49)-F575-IF('Operating Model'!E$4=Assumptions!$C$126,IF(Assumptions!$C$136=1,-M574,G574-H574+L574),0)+IF(AND(Assumptions!$C$136&lt;&gt;1,'Operating Model'!E$4=Assumptions!$C$154),K574,0))</f>
        <v>306761.783488957</v>
      </c>
      <c r="G576" s="30" t="n">
        <f aca="false">IF(AND(Assumptions!$C$136=1,'Operating Model'!F$4&gt;Assumptions!$C$126),0,'Operating Model'!F55+(G573-'Operating Model'!F49)-G575-IF('Operating Model'!F$4=Assumptions!$C$126,IF(Assumptions!$C$136=1,-M574,G574-H574+L574),0)+IF(AND(Assumptions!$C$136&lt;&gt;1,'Operating Model'!F$4=Assumptions!$C$154),K574,0))</f>
        <v>5894414.03973213</v>
      </c>
      <c r="H576" s="22" t="n">
        <f aca="false">IFERROR(IRR(B576:G576),"N/A")</f>
        <v>0.0668009926008493</v>
      </c>
      <c r="I576" s="24" t="n">
        <f aca="false">SUM(C576:G576)/F574</f>
        <v>1.34255567674491</v>
      </c>
    </row>
    <row r="578" customFormat="false" ht="15" hidden="false" customHeight="false" outlineLevel="0" collapsed="false">
      <c r="A578" s="2" t="s">
        <v>987</v>
      </c>
      <c r="C578" s="30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8" s="30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8" s="30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8" s="30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8" s="30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8" s="30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8" s="30" t="n">
        <f aca="false">H578-'Operating Model'!$B$42*1*(1+Assumptions!$C$18+0)^('Operating Model'!G$4-1)</f>
        <v>1221901.73207427</v>
      </c>
    </row>
    <row r="579" customFormat="false" ht="15" hidden="false" customHeight="false" outlineLevel="0" collapsed="false">
      <c r="A579" s="2" t="s">
        <v>988</v>
      </c>
      <c r="B579" s="30" t="n">
        <f aca="false">Assumptions!$C$7*1</f>
        <v>13800000</v>
      </c>
      <c r="C579" s="30" t="n">
        <f aca="false">MAX(0,(Assumptions!$C$124+Assumptions!$C$127)-Assumptions!$C$132*B579)</f>
        <v>0</v>
      </c>
      <c r="D579" s="30" t="n">
        <f aca="false">Assumptions!$C$124-MAX(0,C579-Assumptions!$C$127)</f>
        <v>5887000</v>
      </c>
      <c r="E579" s="30" t="n">
        <f aca="false">Assumptions!$C$127-MIN(C579,Assumptions!$C$127)</f>
        <v>3563000</v>
      </c>
      <c r="F579" s="30" t="n">
        <f aca="false">B579*(1+Assumptions!$C$10)+'Unit Mix'!$D$18*(D$36/Assumptions!$C$35)+(D579+E579)*Assumptions!$C$131-(D579+E579)</f>
        <v>5095290</v>
      </c>
      <c r="G579" s="30" t="n">
        <f aca="false">IF(Assumptions!$C$130=1,D579+E579,-FV(Assumptions!$C$125,Assumptions!$C$126,PMT(Assumptions!$C$125,Assumptions!$C$111,D579),D579)-FV(Assumptions!$C$128,Assumptions!$C$126,PMT(Assumptions!$C$128,Assumptions!$C$111,E579),E579))</f>
        <v>9450000</v>
      </c>
      <c r="H579" s="30" t="n">
        <f aca="false">MIN(INDEX(C578:H578,Assumptions!$C$126+1)/Assumptions!$C$157*Assumptions!$C$108,INDEX(C578:H578,Assumptions!$C$126+1)/(Assumptions!$C$109*-PMT('Debt (Assumed)'!$B$99,Assumptions!$C$111,1)))</f>
        <v>8819820.47715224</v>
      </c>
      <c r="I579" s="30" t="n">
        <f aca="false">IF(MAX(0,Assumptions!$C$154-Assumptions!$C$126-'Debt (Assumed)'!$B$100)=0,H579,-FV('Debt (Assumed)'!$B$98,MAX(0,Assumptions!$C$154-Assumptions!$C$126-'Debt (Assumed)'!$B$100),PMT('Debt (Assumed)'!$B$98,Assumptions!$C$111,H579),H579))</f>
        <v>8819820.47715224</v>
      </c>
      <c r="J579" s="30" t="n">
        <f aca="false">I579*'Debt (Assumed)'!$B$102</f>
        <v>0</v>
      </c>
      <c r="K579" s="30" t="n">
        <f aca="false">I578/(Assumptions!$C$157+Returns!$B$35)*(1-Assumptions!$C$158)-I579-J579</f>
        <v>5582232.04211414</v>
      </c>
      <c r="L579" s="30" t="n">
        <f aca="false">H579*'Debt (Assumed)'!$B$101</f>
        <v>95254.0611532442</v>
      </c>
      <c r="M579" s="30" t="n">
        <f aca="false">(INDEX(C578:H578,Assumptions!$C$126+1)-'Operating Model'!$B$42*1*(1+Assumptions!$C$18+0)^Assumptions!$C$126)/(Assumptions!$C$157+Returns!$B$35)*(1-Assumptions!$C$158)-G579</f>
        <v>4599930.79658369</v>
      </c>
    </row>
    <row r="580" customFormat="false" ht="15" hidden="false" customHeight="false" outlineLevel="0" collapsed="false">
      <c r="A580" s="2" t="s">
        <v>989</v>
      </c>
      <c r="C580" s="30" t="n">
        <f aca="false">IF('Operating Model'!B$4&lt;=Assumptions!$C$126,IF(Assumptions!$C$130=1,D579*Assumptions!$C$125+E579*Assumptions!$C$128,-PMT(Assumptions!$C$125,Assumptions!$C$111,D579)-PMT(Assumptions!$C$128,Assumptions!$C$111,E579)),IF(Assumptions!$C$136=1,0,IF('Operating Model'!B$4-Assumptions!$C$126&lt;='Debt (Assumed)'!$B$100,H579*'Debt (Assumed)'!$B$98,-PMT('Debt (Assumed)'!$B$98,Assumptions!$C$111,H579))))</f>
        <v>397516</v>
      </c>
      <c r="D580" s="30" t="n">
        <f aca="false">IF('Operating Model'!C$4&lt;=Assumptions!$C$126,IF(Assumptions!$C$130=1,D579*Assumptions!$C$125+E579*Assumptions!$C$128,-PMT(Assumptions!$C$125,Assumptions!$C$111,D579)-PMT(Assumptions!$C$128,Assumptions!$C$111,E579)),IF(Assumptions!$C$136=1,0,IF('Operating Model'!C$4-Assumptions!$C$126&lt;='Debt (Assumed)'!$B$100,H579*'Debt (Assumed)'!$B$98,-PMT('Debt (Assumed)'!$B$98,Assumptions!$C$111,H579))))</f>
        <v>397516</v>
      </c>
      <c r="E580" s="30" t="n">
        <f aca="false">IF('Operating Model'!D$4&lt;=Assumptions!$C$126,IF(Assumptions!$C$130=1,D579*Assumptions!$C$125+E579*Assumptions!$C$128,-PMT(Assumptions!$C$125,Assumptions!$C$111,D579)-PMT(Assumptions!$C$128,Assumptions!$C$111,E579)),IF(Assumptions!$C$136=1,0,IF('Operating Model'!D$4-Assumptions!$C$126&lt;='Debt (Assumed)'!$B$100,H579*'Debt (Assumed)'!$B$98,-PMT('Debt (Assumed)'!$B$98,Assumptions!$C$111,H579))))</f>
        <v>397516</v>
      </c>
      <c r="F580" s="30" t="n">
        <f aca="false">IF('Operating Model'!E$4&lt;=Assumptions!$C$126,IF(Assumptions!$C$130=1,D579*Assumptions!$C$125+E579*Assumptions!$C$128,-PMT(Assumptions!$C$125,Assumptions!$C$111,D579)-PMT(Assumptions!$C$128,Assumptions!$C$111,E579)),IF(Assumptions!$C$136=1,0,IF('Operating Model'!E$4-Assumptions!$C$126&lt;='Debt (Assumed)'!$B$100,H579*'Debt (Assumed)'!$B$98,-PMT('Debt (Assumed)'!$B$98,Assumptions!$C$111,H579))))</f>
        <v>594455.900160061</v>
      </c>
      <c r="G580" s="30" t="n">
        <f aca="false">IF('Operating Model'!F$4&lt;=Assumptions!$C$126,IF(Assumptions!$C$130=1,D579*Assumptions!$C$125+E579*Assumptions!$C$128,-PMT(Assumptions!$C$125,Assumptions!$C$111,D579)-PMT(Assumptions!$C$128,Assumptions!$C$111,E579)),IF(Assumptions!$C$136=1,0,IF('Operating Model'!F$4-Assumptions!$C$126&lt;='Debt (Assumed)'!$B$100,H579*'Debt (Assumed)'!$B$98,-PMT('Debt (Assumed)'!$B$98,Assumptions!$C$111,H579))))</f>
        <v>594455.900160061</v>
      </c>
    </row>
    <row r="581" customFormat="false" ht="15" hidden="false" customHeight="false" outlineLevel="0" collapsed="false">
      <c r="A581" s="2" t="s">
        <v>990</v>
      </c>
      <c r="B581" s="30" t="n">
        <f aca="false">-F579</f>
        <v>-5095290</v>
      </c>
      <c r="C581" s="30" t="n">
        <f aca="false">IF(AND(Assumptions!$C$136=1,'Operating Model'!B$4&gt;Assumptions!$C$126),0,'Operating Model'!B55+(C578-'Operating Model'!B49)-C580-IF('Operating Model'!B$4=Assumptions!$C$126,IF(Assumptions!$C$136=1,-M579,G579-H579+L579),0)+IF(AND(Assumptions!$C$136&lt;&gt;1,'Operating Model'!B$4=Assumptions!$C$154),K579,0))</f>
        <v>458006.598496</v>
      </c>
      <c r="D581" s="30" t="n">
        <f aca="false">IF(AND(Assumptions!$C$136=1,'Operating Model'!C$4&gt;Assumptions!$C$126),0,'Operating Model'!C55+(D578-'Operating Model'!C49)-D580-IF('Operating Model'!C$4=Assumptions!$C$126,IF(Assumptions!$C$136=1,-M579,G579-H579+L579),0)+IF(AND(Assumptions!$C$136&lt;&gt;1,'Operating Model'!C$4=Assumptions!$C$154),K579,0))</f>
        <v>341085.361376455</v>
      </c>
      <c r="E581" s="30" t="n">
        <f aca="false">IF(AND(Assumptions!$C$136=1,'Operating Model'!D$4&gt;Assumptions!$C$126),0,'Operating Model'!D55+(E578-'Operating Model'!D49)-E580-IF('Operating Model'!D$4=Assumptions!$C$126,IF(Assumptions!$C$136=1,-M579,G579-H579+L579),0)+IF(AND(Assumptions!$C$136&lt;&gt;1,'Operating Model'!D$4=Assumptions!$C$154),K579,0))</f>
        <v>-225482.122882875</v>
      </c>
      <c r="F581" s="30" t="n">
        <f aca="false">IF(AND(Assumptions!$C$136=1,'Operating Model'!E$4&gt;Assumptions!$C$126),0,'Operating Model'!E55+(F578-'Operating Model'!E49)-F580-IF('Operating Model'!E$4=Assumptions!$C$126,IF(Assumptions!$C$136=1,-M579,G579-H579+L579),0)+IF(AND(Assumptions!$C$136&lt;&gt;1,'Operating Model'!E$4=Assumptions!$C$154),K579,0))</f>
        <v>306761.783488957</v>
      </c>
      <c r="G581" s="30" t="n">
        <f aca="false">IF(AND(Assumptions!$C$136=1,'Operating Model'!F$4&gt;Assumptions!$C$126),0,'Operating Model'!F55+(G578-'Operating Model'!F49)-G580-IF('Operating Model'!F$4=Assumptions!$C$126,IF(Assumptions!$C$136=1,-M579,G579-H579+L579),0)+IF(AND(Assumptions!$C$136&lt;&gt;1,'Operating Model'!F$4=Assumptions!$C$154),K579,0))</f>
        <v>5894414.03973213</v>
      </c>
      <c r="H581" s="22" t="n">
        <f aca="false">IFERROR(IRR(B581:G581),"N/A")</f>
        <v>0.0645127342551888</v>
      </c>
      <c r="I581" s="24" t="n">
        <f aca="false">SUM(C581:G581)/F579</f>
        <v>1.32961728580918</v>
      </c>
    </row>
    <row r="583" customFormat="false" ht="15" hidden="false" customHeight="false" outlineLevel="0" collapsed="false">
      <c r="A583" s="2" t="s">
        <v>991</v>
      </c>
      <c r="C583" s="30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3" s="30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3" s="30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3" s="30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3" s="30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3" s="30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3" s="30" t="n">
        <f aca="false">H583-'Operating Model'!$B$42*1*(1+Assumptions!$C$18+0)^('Operating Model'!G$4-1)</f>
        <v>1221901.73207427</v>
      </c>
    </row>
    <row r="584" customFormat="false" ht="15" hidden="false" customHeight="false" outlineLevel="0" collapsed="false">
      <c r="A584" s="2" t="s">
        <v>992</v>
      </c>
      <c r="B584" s="30" t="n">
        <f aca="false">Assumptions!$C$7*1</f>
        <v>13800000</v>
      </c>
      <c r="C584" s="30" t="n">
        <f aca="false">MAX(0,(Assumptions!$C$124+Assumptions!$C$127)-Assumptions!$C$132*B584)</f>
        <v>0</v>
      </c>
      <c r="D584" s="30" t="n">
        <f aca="false">Assumptions!$C$124-MAX(0,C584-Assumptions!$C$127)</f>
        <v>5887000</v>
      </c>
      <c r="E584" s="30" t="n">
        <f aca="false">Assumptions!$C$127-MIN(C584,Assumptions!$C$127)</f>
        <v>3563000</v>
      </c>
      <c r="F584" s="30" t="n">
        <f aca="false">B584*(1+Assumptions!$C$10)+'Unit Mix'!$D$18*(E$36/Assumptions!$C$35)+(D584+E584)*Assumptions!$C$131-(D584+E584)</f>
        <v>5144394</v>
      </c>
      <c r="G584" s="30" t="n">
        <f aca="false">IF(Assumptions!$C$130=1,D584+E584,-FV(Assumptions!$C$125,Assumptions!$C$126,PMT(Assumptions!$C$125,Assumptions!$C$111,D584),D584)-FV(Assumptions!$C$128,Assumptions!$C$126,PMT(Assumptions!$C$128,Assumptions!$C$111,E584),E584))</f>
        <v>9450000</v>
      </c>
      <c r="H584" s="30" t="n">
        <f aca="false">MIN(INDEX(C583:H583,Assumptions!$C$126+1)/Assumptions!$C$157*Assumptions!$C$108,INDEX(C583:H583,Assumptions!$C$126+1)/(Assumptions!$C$109*-PMT('Debt (Assumed)'!$B$99,Assumptions!$C$111,1)))</f>
        <v>8819820.47715224</v>
      </c>
      <c r="I584" s="30" t="n">
        <f aca="false">IF(MAX(0,Assumptions!$C$154-Assumptions!$C$126-'Debt (Assumed)'!$B$100)=0,H584,-FV('Debt (Assumed)'!$B$98,MAX(0,Assumptions!$C$154-Assumptions!$C$126-'Debt (Assumed)'!$B$100),PMT('Debt (Assumed)'!$B$98,Assumptions!$C$111,H584),H584))</f>
        <v>8819820.47715224</v>
      </c>
      <c r="J584" s="30" t="n">
        <f aca="false">I584*'Debt (Assumed)'!$B$102</f>
        <v>0</v>
      </c>
      <c r="K584" s="30" t="n">
        <f aca="false">I583/(Assumptions!$C$157+Returns!$B$35)*(1-Assumptions!$C$158)-I584-J584</f>
        <v>5582232.04211414</v>
      </c>
      <c r="L584" s="30" t="n">
        <f aca="false">H584*'Debt (Assumed)'!$B$101</f>
        <v>95254.0611532442</v>
      </c>
      <c r="M584" s="30" t="n">
        <f aca="false">(INDEX(C583:H583,Assumptions!$C$126+1)-'Operating Model'!$B$42*1*(1+Assumptions!$C$18+0)^Assumptions!$C$126)/(Assumptions!$C$157+Returns!$B$35)*(1-Assumptions!$C$158)-G584</f>
        <v>4599930.79658369</v>
      </c>
    </row>
    <row r="585" customFormat="false" ht="15" hidden="false" customHeight="false" outlineLevel="0" collapsed="false">
      <c r="A585" s="2" t="s">
        <v>993</v>
      </c>
      <c r="C585" s="30" t="n">
        <f aca="false">IF('Operating Model'!B$4&lt;=Assumptions!$C$126,IF(Assumptions!$C$130=1,D584*Assumptions!$C$125+E584*Assumptions!$C$128,-PMT(Assumptions!$C$125,Assumptions!$C$111,D584)-PMT(Assumptions!$C$128,Assumptions!$C$111,E584)),IF(Assumptions!$C$136=1,0,IF('Operating Model'!B$4-Assumptions!$C$126&lt;='Debt (Assumed)'!$B$100,H584*'Debt (Assumed)'!$B$98,-PMT('Debt (Assumed)'!$B$98,Assumptions!$C$111,H584))))</f>
        <v>397516</v>
      </c>
      <c r="D585" s="30" t="n">
        <f aca="false">IF('Operating Model'!C$4&lt;=Assumptions!$C$126,IF(Assumptions!$C$130=1,D584*Assumptions!$C$125+E584*Assumptions!$C$128,-PMT(Assumptions!$C$125,Assumptions!$C$111,D584)-PMT(Assumptions!$C$128,Assumptions!$C$111,E584)),IF(Assumptions!$C$136=1,0,IF('Operating Model'!C$4-Assumptions!$C$126&lt;='Debt (Assumed)'!$B$100,H584*'Debt (Assumed)'!$B$98,-PMT('Debt (Assumed)'!$B$98,Assumptions!$C$111,H584))))</f>
        <v>397516</v>
      </c>
      <c r="E585" s="30" t="n">
        <f aca="false">IF('Operating Model'!D$4&lt;=Assumptions!$C$126,IF(Assumptions!$C$130=1,D584*Assumptions!$C$125+E584*Assumptions!$C$128,-PMT(Assumptions!$C$125,Assumptions!$C$111,D584)-PMT(Assumptions!$C$128,Assumptions!$C$111,E584)),IF(Assumptions!$C$136=1,0,IF('Operating Model'!D$4-Assumptions!$C$126&lt;='Debt (Assumed)'!$B$100,H584*'Debt (Assumed)'!$B$98,-PMT('Debt (Assumed)'!$B$98,Assumptions!$C$111,H584))))</f>
        <v>397516</v>
      </c>
      <c r="F585" s="30" t="n">
        <f aca="false">IF('Operating Model'!E$4&lt;=Assumptions!$C$126,IF(Assumptions!$C$130=1,D584*Assumptions!$C$125+E584*Assumptions!$C$128,-PMT(Assumptions!$C$125,Assumptions!$C$111,D584)-PMT(Assumptions!$C$128,Assumptions!$C$111,E584)),IF(Assumptions!$C$136=1,0,IF('Operating Model'!E$4-Assumptions!$C$126&lt;='Debt (Assumed)'!$B$100,H584*'Debt (Assumed)'!$B$98,-PMT('Debt (Assumed)'!$B$98,Assumptions!$C$111,H584))))</f>
        <v>594455.900160061</v>
      </c>
      <c r="G585" s="30" t="n">
        <f aca="false">IF('Operating Model'!F$4&lt;=Assumptions!$C$126,IF(Assumptions!$C$130=1,D584*Assumptions!$C$125+E584*Assumptions!$C$128,-PMT(Assumptions!$C$125,Assumptions!$C$111,D584)-PMT(Assumptions!$C$128,Assumptions!$C$111,E584)),IF(Assumptions!$C$136=1,0,IF('Operating Model'!F$4-Assumptions!$C$126&lt;='Debt (Assumed)'!$B$100,H584*'Debt (Assumed)'!$B$98,-PMT('Debt (Assumed)'!$B$98,Assumptions!$C$111,H584))))</f>
        <v>594455.900160061</v>
      </c>
    </row>
    <row r="586" customFormat="false" ht="15" hidden="false" customHeight="false" outlineLevel="0" collapsed="false">
      <c r="A586" s="2" t="s">
        <v>994</v>
      </c>
      <c r="B586" s="30" t="n">
        <f aca="false">-F584</f>
        <v>-5144394</v>
      </c>
      <c r="C586" s="30" t="n">
        <f aca="false">IF(AND(Assumptions!$C$136=1,'Operating Model'!B$4&gt;Assumptions!$C$126),0,'Operating Model'!B55+(C583-'Operating Model'!B49)-C585-IF('Operating Model'!B$4=Assumptions!$C$126,IF(Assumptions!$C$136=1,-M584,G584-H584+L584),0)+IF(AND(Assumptions!$C$136&lt;&gt;1,'Operating Model'!B$4=Assumptions!$C$154),K584,0))</f>
        <v>458006.598496</v>
      </c>
      <c r="D586" s="30" t="n">
        <f aca="false">IF(AND(Assumptions!$C$136=1,'Operating Model'!C$4&gt;Assumptions!$C$126),0,'Operating Model'!C55+(D583-'Operating Model'!C49)-D585-IF('Operating Model'!C$4=Assumptions!$C$126,IF(Assumptions!$C$136=1,-M584,G584-H584+L584),0)+IF(AND(Assumptions!$C$136&lt;&gt;1,'Operating Model'!C$4=Assumptions!$C$154),K584,0))</f>
        <v>341085.361376455</v>
      </c>
      <c r="E586" s="30" t="n">
        <f aca="false">IF(AND(Assumptions!$C$136=1,'Operating Model'!D$4&gt;Assumptions!$C$126),0,'Operating Model'!D55+(E583-'Operating Model'!D49)-E585-IF('Operating Model'!D$4=Assumptions!$C$126,IF(Assumptions!$C$136=1,-M584,G584-H584+L584),0)+IF(AND(Assumptions!$C$136&lt;&gt;1,'Operating Model'!D$4=Assumptions!$C$154),K584,0))</f>
        <v>-225482.122882875</v>
      </c>
      <c r="F586" s="30" t="n">
        <f aca="false">IF(AND(Assumptions!$C$136=1,'Operating Model'!E$4&gt;Assumptions!$C$126),0,'Operating Model'!E55+(F583-'Operating Model'!E49)-F585-IF('Operating Model'!E$4=Assumptions!$C$126,IF(Assumptions!$C$136=1,-M584,G584-H584+L584),0)+IF(AND(Assumptions!$C$136&lt;&gt;1,'Operating Model'!E$4=Assumptions!$C$154),K584,0))</f>
        <v>306761.783488957</v>
      </c>
      <c r="G586" s="30" t="n">
        <f aca="false">IF(AND(Assumptions!$C$136=1,'Operating Model'!F$4&gt;Assumptions!$C$126),0,'Operating Model'!F55+(G583-'Operating Model'!F49)-G585-IF('Operating Model'!F$4=Assumptions!$C$126,IF(Assumptions!$C$136=1,-M584,G584-H584+L584),0)+IF(AND(Assumptions!$C$136&lt;&gt;1,'Operating Model'!F$4=Assumptions!$C$154),K584,0))</f>
        <v>5894414.03973213</v>
      </c>
      <c r="H586" s="22" t="n">
        <f aca="false">IFERROR(IRR(B586:G586),"N/A")</f>
        <v>0.0622529119045141</v>
      </c>
      <c r="I586" s="24" t="n">
        <f aca="false">SUM(C586:G586)/F584</f>
        <v>1.31692589257562</v>
      </c>
    </row>
    <row r="588" customFormat="false" ht="15" hidden="false" customHeight="false" outlineLevel="0" collapsed="false">
      <c r="A588" s="2" t="s">
        <v>995</v>
      </c>
      <c r="C588" s="30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8" s="30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8" s="30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8" s="30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8" s="30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8" s="30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8" s="30" t="n">
        <f aca="false">H588-'Operating Model'!$B$42*1*(1+Assumptions!$C$18+0)^('Operating Model'!G$4-1)</f>
        <v>1221901.73207427</v>
      </c>
    </row>
    <row r="589" customFormat="false" ht="15" hidden="false" customHeight="false" outlineLevel="0" collapsed="false">
      <c r="A589" s="2" t="s">
        <v>996</v>
      </c>
      <c r="B589" s="30" t="n">
        <f aca="false">Assumptions!$C$7*1</f>
        <v>13800000</v>
      </c>
      <c r="C589" s="30" t="n">
        <f aca="false">MAX(0,(Assumptions!$C$124+Assumptions!$C$127)-Assumptions!$C$132*B589)</f>
        <v>0</v>
      </c>
      <c r="D589" s="30" t="n">
        <f aca="false">Assumptions!$C$124-MAX(0,C589-Assumptions!$C$127)</f>
        <v>5887000</v>
      </c>
      <c r="E589" s="30" t="n">
        <f aca="false">Assumptions!$C$127-MIN(C589,Assumptions!$C$127)</f>
        <v>3563000</v>
      </c>
      <c r="F589" s="30" t="n">
        <f aca="false">B589*(1+Assumptions!$C$10)+'Unit Mix'!$D$18*(F$36/Assumptions!$C$35)+(D589+E589)*Assumptions!$C$131-(D589+E589)</f>
        <v>5193498</v>
      </c>
      <c r="G589" s="30" t="n">
        <f aca="false">IF(Assumptions!$C$130=1,D589+E589,-FV(Assumptions!$C$125,Assumptions!$C$126,PMT(Assumptions!$C$125,Assumptions!$C$111,D589),D589)-FV(Assumptions!$C$128,Assumptions!$C$126,PMT(Assumptions!$C$128,Assumptions!$C$111,E589),E589))</f>
        <v>9450000</v>
      </c>
      <c r="H589" s="30" t="n">
        <f aca="false">MIN(INDEX(C588:H588,Assumptions!$C$126+1)/Assumptions!$C$157*Assumptions!$C$108,INDEX(C588:H588,Assumptions!$C$126+1)/(Assumptions!$C$109*-PMT('Debt (Assumed)'!$B$99,Assumptions!$C$111,1)))</f>
        <v>8819820.47715224</v>
      </c>
      <c r="I589" s="30" t="n">
        <f aca="false">IF(MAX(0,Assumptions!$C$154-Assumptions!$C$126-'Debt (Assumed)'!$B$100)=0,H589,-FV('Debt (Assumed)'!$B$98,MAX(0,Assumptions!$C$154-Assumptions!$C$126-'Debt (Assumed)'!$B$100),PMT('Debt (Assumed)'!$B$98,Assumptions!$C$111,H589),H589))</f>
        <v>8819820.47715224</v>
      </c>
      <c r="J589" s="30" t="n">
        <f aca="false">I589*'Debt (Assumed)'!$B$102</f>
        <v>0</v>
      </c>
      <c r="K589" s="30" t="n">
        <f aca="false">I588/(Assumptions!$C$157+Returns!$B$35)*(1-Assumptions!$C$158)-I589-J589</f>
        <v>5582232.04211414</v>
      </c>
      <c r="L589" s="30" t="n">
        <f aca="false">H589*'Debt (Assumed)'!$B$101</f>
        <v>95254.0611532442</v>
      </c>
      <c r="M589" s="30" t="n">
        <f aca="false">(INDEX(C588:H588,Assumptions!$C$126+1)-'Operating Model'!$B$42*1*(1+Assumptions!$C$18+0)^Assumptions!$C$126)/(Assumptions!$C$157+Returns!$B$35)*(1-Assumptions!$C$158)-G589</f>
        <v>4599930.79658369</v>
      </c>
    </row>
    <row r="590" customFormat="false" ht="15" hidden="false" customHeight="false" outlineLevel="0" collapsed="false">
      <c r="A590" s="2" t="s">
        <v>997</v>
      </c>
      <c r="C590" s="30" t="n">
        <f aca="false">IF('Operating Model'!B$4&lt;=Assumptions!$C$126,IF(Assumptions!$C$130=1,D589*Assumptions!$C$125+E589*Assumptions!$C$128,-PMT(Assumptions!$C$125,Assumptions!$C$111,D589)-PMT(Assumptions!$C$128,Assumptions!$C$111,E589)),IF(Assumptions!$C$136=1,0,IF('Operating Model'!B$4-Assumptions!$C$126&lt;='Debt (Assumed)'!$B$100,H589*'Debt (Assumed)'!$B$98,-PMT('Debt (Assumed)'!$B$98,Assumptions!$C$111,H589))))</f>
        <v>397516</v>
      </c>
      <c r="D590" s="30" t="n">
        <f aca="false">IF('Operating Model'!C$4&lt;=Assumptions!$C$126,IF(Assumptions!$C$130=1,D589*Assumptions!$C$125+E589*Assumptions!$C$128,-PMT(Assumptions!$C$125,Assumptions!$C$111,D589)-PMT(Assumptions!$C$128,Assumptions!$C$111,E589)),IF(Assumptions!$C$136=1,0,IF('Operating Model'!C$4-Assumptions!$C$126&lt;='Debt (Assumed)'!$B$100,H589*'Debt (Assumed)'!$B$98,-PMT('Debt (Assumed)'!$B$98,Assumptions!$C$111,H589))))</f>
        <v>397516</v>
      </c>
      <c r="E590" s="30" t="n">
        <f aca="false">IF('Operating Model'!D$4&lt;=Assumptions!$C$126,IF(Assumptions!$C$130=1,D589*Assumptions!$C$125+E589*Assumptions!$C$128,-PMT(Assumptions!$C$125,Assumptions!$C$111,D589)-PMT(Assumptions!$C$128,Assumptions!$C$111,E589)),IF(Assumptions!$C$136=1,0,IF('Operating Model'!D$4-Assumptions!$C$126&lt;='Debt (Assumed)'!$B$100,H589*'Debt (Assumed)'!$B$98,-PMT('Debt (Assumed)'!$B$98,Assumptions!$C$111,H589))))</f>
        <v>397516</v>
      </c>
      <c r="F590" s="30" t="n">
        <f aca="false">IF('Operating Model'!E$4&lt;=Assumptions!$C$126,IF(Assumptions!$C$130=1,D589*Assumptions!$C$125+E589*Assumptions!$C$128,-PMT(Assumptions!$C$125,Assumptions!$C$111,D589)-PMT(Assumptions!$C$128,Assumptions!$C$111,E589)),IF(Assumptions!$C$136=1,0,IF('Operating Model'!E$4-Assumptions!$C$126&lt;='Debt (Assumed)'!$B$100,H589*'Debt (Assumed)'!$B$98,-PMT('Debt (Assumed)'!$B$98,Assumptions!$C$111,H589))))</f>
        <v>594455.900160061</v>
      </c>
      <c r="G590" s="30" t="n">
        <f aca="false">IF('Operating Model'!F$4&lt;=Assumptions!$C$126,IF(Assumptions!$C$130=1,D589*Assumptions!$C$125+E589*Assumptions!$C$128,-PMT(Assumptions!$C$125,Assumptions!$C$111,D589)-PMT(Assumptions!$C$128,Assumptions!$C$111,E589)),IF(Assumptions!$C$136=1,0,IF('Operating Model'!F$4-Assumptions!$C$126&lt;='Debt (Assumed)'!$B$100,H589*'Debt (Assumed)'!$B$98,-PMT('Debt (Assumed)'!$B$98,Assumptions!$C$111,H589))))</f>
        <v>594455.900160061</v>
      </c>
    </row>
    <row r="591" customFormat="false" ht="15" hidden="false" customHeight="false" outlineLevel="0" collapsed="false">
      <c r="A591" s="2" t="s">
        <v>998</v>
      </c>
      <c r="B591" s="30" t="n">
        <f aca="false">-F589</f>
        <v>-5193498</v>
      </c>
      <c r="C591" s="30" t="n">
        <f aca="false">IF(AND(Assumptions!$C$136=1,'Operating Model'!B$4&gt;Assumptions!$C$126),0,'Operating Model'!B55+(C588-'Operating Model'!B49)-C590-IF('Operating Model'!B$4=Assumptions!$C$126,IF(Assumptions!$C$136=1,-M589,G589-H589+L589),0)+IF(AND(Assumptions!$C$136&lt;&gt;1,'Operating Model'!B$4=Assumptions!$C$154),K589,0))</f>
        <v>458006.598496</v>
      </c>
      <c r="D591" s="30" t="n">
        <f aca="false">IF(AND(Assumptions!$C$136=1,'Operating Model'!C$4&gt;Assumptions!$C$126),0,'Operating Model'!C55+(D588-'Operating Model'!C49)-D590-IF('Operating Model'!C$4=Assumptions!$C$126,IF(Assumptions!$C$136=1,-M589,G589-H589+L589),0)+IF(AND(Assumptions!$C$136&lt;&gt;1,'Operating Model'!C$4=Assumptions!$C$154),K589,0))</f>
        <v>341085.361376455</v>
      </c>
      <c r="E591" s="30" t="n">
        <f aca="false">IF(AND(Assumptions!$C$136=1,'Operating Model'!D$4&gt;Assumptions!$C$126),0,'Operating Model'!D55+(E588-'Operating Model'!D49)-E590-IF('Operating Model'!D$4=Assumptions!$C$126,IF(Assumptions!$C$136=1,-M589,G589-H589+L589),0)+IF(AND(Assumptions!$C$136&lt;&gt;1,'Operating Model'!D$4=Assumptions!$C$154),K589,0))</f>
        <v>-225482.122882875</v>
      </c>
      <c r="F591" s="30" t="n">
        <f aca="false">IF(AND(Assumptions!$C$136=1,'Operating Model'!E$4&gt;Assumptions!$C$126),0,'Operating Model'!E55+(F588-'Operating Model'!E49)-F590-IF('Operating Model'!E$4=Assumptions!$C$126,IF(Assumptions!$C$136=1,-M589,G589-H589+L589),0)+IF(AND(Assumptions!$C$136&lt;&gt;1,'Operating Model'!E$4=Assumptions!$C$154),K589,0))</f>
        <v>306761.783488957</v>
      </c>
      <c r="G591" s="30" t="n">
        <f aca="false">IF(AND(Assumptions!$C$136=1,'Operating Model'!F$4&gt;Assumptions!$C$126),0,'Operating Model'!F55+(G588-'Operating Model'!F49)-G590-IF('Operating Model'!F$4=Assumptions!$C$126,IF(Assumptions!$C$136=1,-M589,G589-H589+L589),0)+IF(AND(Assumptions!$C$136&lt;&gt;1,'Operating Model'!F$4=Assumptions!$C$154),K589,0))</f>
        <v>5894414.03973213</v>
      </c>
      <c r="H591" s="22" t="n">
        <f aca="false">IFERROR(IRR(B591:G591),"N/A")</f>
        <v>0.0600208903063652</v>
      </c>
      <c r="I591" s="24" t="n">
        <f aca="false">SUM(C591:G591)/F589</f>
        <v>1.3044744910291</v>
      </c>
    </row>
    <row r="593" customFormat="false" ht="15" hidden="false" customHeight="false" outlineLevel="0" collapsed="false">
      <c r="A593" s="2" t="s">
        <v>999</v>
      </c>
      <c r="C593" s="30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3" s="30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3" s="30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3" s="30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3" s="30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3" s="30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3" s="30" t="n">
        <f aca="false">H593-'Operating Model'!$B$42*1*(1+Assumptions!$C$18+0)^('Operating Model'!G$4-1)</f>
        <v>1234686.05207427</v>
      </c>
    </row>
    <row r="594" customFormat="false" ht="15" hidden="false" customHeight="false" outlineLevel="0" collapsed="false">
      <c r="A594" s="2" t="s">
        <v>1000</v>
      </c>
      <c r="B594" s="30" t="n">
        <f aca="false">Assumptions!$C$7*1</f>
        <v>13800000</v>
      </c>
      <c r="C594" s="30" t="n">
        <f aca="false">MAX(0,(Assumptions!$C$124+Assumptions!$C$127)-Assumptions!$C$132*B594)</f>
        <v>0</v>
      </c>
      <c r="D594" s="30" t="n">
        <f aca="false">Assumptions!$C$124-MAX(0,C594-Assumptions!$C$127)</f>
        <v>5887000</v>
      </c>
      <c r="E594" s="30" t="n">
        <f aca="false">Assumptions!$C$127-MIN(C594,Assumptions!$C$127)</f>
        <v>3563000</v>
      </c>
      <c r="F594" s="30" t="n">
        <f aca="false">B594*(1+Assumptions!$C$10)+'Unit Mix'!$D$18*(B$36/Assumptions!$C$35)+(D594+E594)*Assumptions!$C$131-(D594+E594)</f>
        <v>4997082</v>
      </c>
      <c r="G594" s="30" t="n">
        <f aca="false">IF(Assumptions!$C$130=1,D594+E594,-FV(Assumptions!$C$125,Assumptions!$C$126,PMT(Assumptions!$C$125,Assumptions!$C$111,D594),D594)-FV(Assumptions!$C$128,Assumptions!$C$126,PMT(Assumptions!$C$128,Assumptions!$C$111,E594),E594))</f>
        <v>9450000</v>
      </c>
      <c r="H594" s="30" t="n">
        <f aca="false">MIN(INDEX(C593:H593,Assumptions!$C$126+1)/Assumptions!$C$157*Assumptions!$C$108,INDEX(C593:H593,Assumptions!$C$126+1)/(Assumptions!$C$109*-PMT('Debt (Assumed)'!$B$99,Assumptions!$C$111,1)))</f>
        <v>8940610.68302649</v>
      </c>
      <c r="I594" s="30" t="n">
        <f aca="false">IF(MAX(0,Assumptions!$C$154-Assumptions!$C$126-'Debt (Assumed)'!$B$100)=0,H594,-FV('Debt (Assumed)'!$B$98,MAX(0,Assumptions!$C$154-Assumptions!$C$126-'Debt (Assumed)'!$B$100),PMT('Debt (Assumed)'!$B$98,Assumptions!$C$111,H594),H594))</f>
        <v>8940610.68302649</v>
      </c>
      <c r="J594" s="30" t="n">
        <f aca="false">I594*'Debt (Assumed)'!$B$102</f>
        <v>0</v>
      </c>
      <c r="K594" s="30" t="n">
        <f aca="false">I593/(Assumptions!$C$157+Returns!$B$35)*(1-Assumptions!$C$158)-I594-J594</f>
        <v>5612125.3513132</v>
      </c>
      <c r="L594" s="30" t="n">
        <f aca="false">H594*'Debt (Assumed)'!$B$101</f>
        <v>96558.5953766861</v>
      </c>
      <c r="M594" s="30" t="n">
        <f aca="false">(INDEX(C593:H593,Assumptions!$C$126+1)-'Operating Model'!$B$42*1*(1+Assumptions!$C$18+0)^Assumptions!$C$126)/(Assumptions!$C$157+Returns!$B$35)*(1-Assumptions!$C$158)-G594</f>
        <v>4750614.311657</v>
      </c>
    </row>
    <row r="595" customFormat="false" ht="15" hidden="false" customHeight="false" outlineLevel="0" collapsed="false">
      <c r="A595" s="2" t="s">
        <v>1001</v>
      </c>
      <c r="C595" s="30" t="n">
        <f aca="false">IF('Operating Model'!B$4&lt;=Assumptions!$C$126,IF(Assumptions!$C$130=1,D594*Assumptions!$C$125+E594*Assumptions!$C$128,-PMT(Assumptions!$C$125,Assumptions!$C$111,D594)-PMT(Assumptions!$C$128,Assumptions!$C$111,E594)),IF(Assumptions!$C$136=1,0,IF('Operating Model'!B$4-Assumptions!$C$126&lt;='Debt (Assumed)'!$B$100,H594*'Debt (Assumed)'!$B$98,-PMT('Debt (Assumed)'!$B$98,Assumptions!$C$111,H594))))</f>
        <v>397516</v>
      </c>
      <c r="D595" s="30" t="n">
        <f aca="false">IF('Operating Model'!C$4&lt;=Assumptions!$C$126,IF(Assumptions!$C$130=1,D594*Assumptions!$C$125+E594*Assumptions!$C$128,-PMT(Assumptions!$C$125,Assumptions!$C$111,D594)-PMT(Assumptions!$C$128,Assumptions!$C$111,E594)),IF(Assumptions!$C$136=1,0,IF('Operating Model'!C$4-Assumptions!$C$126&lt;='Debt (Assumed)'!$B$100,H594*'Debt (Assumed)'!$B$98,-PMT('Debt (Assumed)'!$B$98,Assumptions!$C$111,H594))))</f>
        <v>397516</v>
      </c>
      <c r="E595" s="30" t="n">
        <f aca="false">IF('Operating Model'!D$4&lt;=Assumptions!$C$126,IF(Assumptions!$C$130=1,D594*Assumptions!$C$125+E594*Assumptions!$C$128,-PMT(Assumptions!$C$125,Assumptions!$C$111,D594)-PMT(Assumptions!$C$128,Assumptions!$C$111,E594)),IF(Assumptions!$C$136=1,0,IF('Operating Model'!D$4-Assumptions!$C$126&lt;='Debt (Assumed)'!$B$100,H594*'Debt (Assumed)'!$B$98,-PMT('Debt (Assumed)'!$B$98,Assumptions!$C$111,H594))))</f>
        <v>397516</v>
      </c>
      <c r="F595" s="30" t="n">
        <f aca="false">IF('Operating Model'!E$4&lt;=Assumptions!$C$126,IF(Assumptions!$C$130=1,D594*Assumptions!$C$125+E594*Assumptions!$C$128,-PMT(Assumptions!$C$125,Assumptions!$C$111,D594)-PMT(Assumptions!$C$128,Assumptions!$C$111,E594)),IF(Assumptions!$C$136=1,0,IF('Operating Model'!E$4-Assumptions!$C$126&lt;='Debt (Assumed)'!$B$100,H594*'Debt (Assumed)'!$B$98,-PMT('Debt (Assumed)'!$B$98,Assumptions!$C$111,H594))))</f>
        <v>602597.160035985</v>
      </c>
      <c r="G595" s="30" t="n">
        <f aca="false">IF('Operating Model'!F$4&lt;=Assumptions!$C$126,IF(Assumptions!$C$130=1,D594*Assumptions!$C$125+E594*Assumptions!$C$128,-PMT(Assumptions!$C$125,Assumptions!$C$111,D594)-PMT(Assumptions!$C$128,Assumptions!$C$111,E594)),IF(Assumptions!$C$136=1,0,IF('Operating Model'!F$4-Assumptions!$C$126&lt;='Debt (Assumed)'!$B$100,H594*'Debt (Assumed)'!$B$98,-PMT('Debt (Assumed)'!$B$98,Assumptions!$C$111,H594))))</f>
        <v>602597.160035985</v>
      </c>
    </row>
    <row r="596" customFormat="false" ht="15" hidden="false" customHeight="false" outlineLevel="0" collapsed="false">
      <c r="A596" s="2" t="s">
        <v>1002</v>
      </c>
      <c r="B596" s="30" t="n">
        <f aca="false">-F594</f>
        <v>-4997082</v>
      </c>
      <c r="C596" s="30" t="n">
        <f aca="false">IF(AND(Assumptions!$C$136=1,'Operating Model'!B$4&gt;Assumptions!$C$126),0,'Operating Model'!B55+(C593-'Operating Model'!B49)-C595-IF('Operating Model'!B$4=Assumptions!$C$126,IF(Assumptions!$C$136=1,-M594,G594-H594+L594),0)+IF(AND(Assumptions!$C$136&lt;&gt;1,'Operating Model'!B$4=Assumptions!$C$154),K594,0))</f>
        <v>464398.758496</v>
      </c>
      <c r="D596" s="30" t="n">
        <f aca="false">IF(AND(Assumptions!$C$136=1,'Operating Model'!C$4&gt;Assumptions!$C$126),0,'Operating Model'!C55+(D593-'Operating Model'!C49)-D595-IF('Operating Model'!C$4=Assumptions!$C$126,IF(Assumptions!$C$136=1,-M594,G594-H594+L594),0)+IF(AND(Assumptions!$C$136&lt;&gt;1,'Operating Model'!C$4=Assumptions!$C$154),K594,0))</f>
        <v>353869.681376455</v>
      </c>
      <c r="E596" s="30" t="n">
        <f aca="false">IF(AND(Assumptions!$C$136=1,'Operating Model'!D$4&gt;Assumptions!$C$126),0,'Operating Model'!D55+(E593-'Operating Model'!D49)-E595-IF('Operating Model'!D$4=Assumptions!$C$126,IF(Assumptions!$C$136=1,-M594,G594-H594+L594),0)+IF(AND(Assumptions!$C$136&lt;&gt;1,'Operating Model'!D$4=Assumptions!$C$154),K594,0))</f>
        <v>-93212.1312320711</v>
      </c>
      <c r="F596" s="30" t="n">
        <f aca="false">IF(AND(Assumptions!$C$136=1,'Operating Model'!E$4&gt;Assumptions!$C$126),0,'Operating Model'!E55+(F593-'Operating Model'!E49)-F595-IF('Operating Model'!E$4=Assumptions!$C$126,IF(Assumptions!$C$136=1,-M594,G594-H594+L594),0)+IF(AND(Assumptions!$C$136&lt;&gt;1,'Operating Model'!E$4=Assumptions!$C$154),K594,0))</f>
        <v>311404.843613033</v>
      </c>
      <c r="G596" s="30" t="n">
        <f aca="false">IF(AND(Assumptions!$C$136=1,'Operating Model'!F$4&gt;Assumptions!$C$126),0,'Operating Model'!F55+(G593-'Operating Model'!F49)-G595-IF('Operating Model'!F$4=Assumptions!$C$126,IF(Assumptions!$C$136=1,-M594,G594-H594+L594),0)+IF(AND(Assumptions!$C$136&lt;&gt;1,'Operating Model'!F$4=Assumptions!$C$154),K594,0))</f>
        <v>5928950.40905527</v>
      </c>
      <c r="H596" s="22" t="n">
        <f aca="false">IFERROR(IRR(B596:G596),"N/A")</f>
        <v>0.076403761104891</v>
      </c>
      <c r="I596" s="24" t="n">
        <f aca="false">SUM(C596:G596)/F594</f>
        <v>1.39389578984469</v>
      </c>
    </row>
    <row r="598" customFormat="false" ht="15" hidden="false" customHeight="false" outlineLevel="0" collapsed="false">
      <c r="A598" s="2" t="s">
        <v>1003</v>
      </c>
      <c r="C598" s="30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8" s="30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8" s="30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8" s="30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8" s="30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8" s="30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8" s="30" t="n">
        <f aca="false">H598-'Operating Model'!$B$42*1*(1+Assumptions!$C$18+0)^('Operating Model'!G$4-1)</f>
        <v>1234686.05207427</v>
      </c>
    </row>
    <row r="599" customFormat="false" ht="15" hidden="false" customHeight="false" outlineLevel="0" collapsed="false">
      <c r="A599" s="2" t="s">
        <v>1004</v>
      </c>
      <c r="B599" s="30" t="n">
        <f aca="false">Assumptions!$C$7*1</f>
        <v>13800000</v>
      </c>
      <c r="C599" s="30" t="n">
        <f aca="false">MAX(0,(Assumptions!$C$124+Assumptions!$C$127)-Assumptions!$C$132*B599)</f>
        <v>0</v>
      </c>
      <c r="D599" s="30" t="n">
        <f aca="false">Assumptions!$C$124-MAX(0,C599-Assumptions!$C$127)</f>
        <v>5887000</v>
      </c>
      <c r="E599" s="30" t="n">
        <f aca="false">Assumptions!$C$127-MIN(C599,Assumptions!$C$127)</f>
        <v>3563000</v>
      </c>
      <c r="F599" s="30" t="n">
        <f aca="false">B599*(1+Assumptions!$C$10)+'Unit Mix'!$D$18*(C$36/Assumptions!$C$35)+(D599+E599)*Assumptions!$C$131-(D599+E599)</f>
        <v>5046186</v>
      </c>
      <c r="G599" s="30" t="n">
        <f aca="false">IF(Assumptions!$C$130=1,D599+E599,-FV(Assumptions!$C$125,Assumptions!$C$126,PMT(Assumptions!$C$125,Assumptions!$C$111,D599),D599)-FV(Assumptions!$C$128,Assumptions!$C$126,PMT(Assumptions!$C$128,Assumptions!$C$111,E599),E599))</f>
        <v>9450000</v>
      </c>
      <c r="H599" s="30" t="n">
        <f aca="false">MIN(INDEX(C598:H598,Assumptions!$C$126+1)/Assumptions!$C$157*Assumptions!$C$108,INDEX(C598:H598,Assumptions!$C$126+1)/(Assumptions!$C$109*-PMT('Debt (Assumed)'!$B$99,Assumptions!$C$111,1)))</f>
        <v>8940610.68302649</v>
      </c>
      <c r="I599" s="30" t="n">
        <f aca="false">IF(MAX(0,Assumptions!$C$154-Assumptions!$C$126-'Debt (Assumed)'!$B$100)=0,H599,-FV('Debt (Assumed)'!$B$98,MAX(0,Assumptions!$C$154-Assumptions!$C$126-'Debt (Assumed)'!$B$100),PMT('Debt (Assumed)'!$B$98,Assumptions!$C$111,H599),H599))</f>
        <v>8940610.68302649</v>
      </c>
      <c r="J599" s="30" t="n">
        <f aca="false">I599*'Debt (Assumed)'!$B$102</f>
        <v>0</v>
      </c>
      <c r="K599" s="30" t="n">
        <f aca="false">I598/(Assumptions!$C$157+Returns!$B$35)*(1-Assumptions!$C$158)-I599-J599</f>
        <v>5612125.3513132</v>
      </c>
      <c r="L599" s="30" t="n">
        <f aca="false">H599*'Debt (Assumed)'!$B$101</f>
        <v>96558.5953766861</v>
      </c>
      <c r="M599" s="30" t="n">
        <f aca="false">(INDEX(C598:H598,Assumptions!$C$126+1)-'Operating Model'!$B$42*1*(1+Assumptions!$C$18+0)^Assumptions!$C$126)/(Assumptions!$C$157+Returns!$B$35)*(1-Assumptions!$C$158)-G599</f>
        <v>4750614.311657</v>
      </c>
    </row>
    <row r="600" customFormat="false" ht="15" hidden="false" customHeight="false" outlineLevel="0" collapsed="false">
      <c r="A600" s="2" t="s">
        <v>1005</v>
      </c>
      <c r="C600" s="30" t="n">
        <f aca="false">IF('Operating Model'!B$4&lt;=Assumptions!$C$126,IF(Assumptions!$C$130=1,D599*Assumptions!$C$125+E599*Assumptions!$C$128,-PMT(Assumptions!$C$125,Assumptions!$C$111,D599)-PMT(Assumptions!$C$128,Assumptions!$C$111,E599)),IF(Assumptions!$C$136=1,0,IF('Operating Model'!B$4-Assumptions!$C$126&lt;='Debt (Assumed)'!$B$100,H599*'Debt (Assumed)'!$B$98,-PMT('Debt (Assumed)'!$B$98,Assumptions!$C$111,H599))))</f>
        <v>397516</v>
      </c>
      <c r="D600" s="30" t="n">
        <f aca="false">IF('Operating Model'!C$4&lt;=Assumptions!$C$126,IF(Assumptions!$C$130=1,D599*Assumptions!$C$125+E599*Assumptions!$C$128,-PMT(Assumptions!$C$125,Assumptions!$C$111,D599)-PMT(Assumptions!$C$128,Assumptions!$C$111,E599)),IF(Assumptions!$C$136=1,0,IF('Operating Model'!C$4-Assumptions!$C$126&lt;='Debt (Assumed)'!$B$100,H599*'Debt (Assumed)'!$B$98,-PMT('Debt (Assumed)'!$B$98,Assumptions!$C$111,H599))))</f>
        <v>397516</v>
      </c>
      <c r="E600" s="30" t="n">
        <f aca="false">IF('Operating Model'!D$4&lt;=Assumptions!$C$126,IF(Assumptions!$C$130=1,D599*Assumptions!$C$125+E599*Assumptions!$C$128,-PMT(Assumptions!$C$125,Assumptions!$C$111,D599)-PMT(Assumptions!$C$128,Assumptions!$C$111,E599)),IF(Assumptions!$C$136=1,0,IF('Operating Model'!D$4-Assumptions!$C$126&lt;='Debt (Assumed)'!$B$100,H599*'Debt (Assumed)'!$B$98,-PMT('Debt (Assumed)'!$B$98,Assumptions!$C$111,H599))))</f>
        <v>397516</v>
      </c>
      <c r="F600" s="30" t="n">
        <f aca="false">IF('Operating Model'!E$4&lt;=Assumptions!$C$126,IF(Assumptions!$C$130=1,D599*Assumptions!$C$125+E599*Assumptions!$C$128,-PMT(Assumptions!$C$125,Assumptions!$C$111,D599)-PMT(Assumptions!$C$128,Assumptions!$C$111,E599)),IF(Assumptions!$C$136=1,0,IF('Operating Model'!E$4-Assumptions!$C$126&lt;='Debt (Assumed)'!$B$100,H599*'Debt (Assumed)'!$B$98,-PMT('Debt (Assumed)'!$B$98,Assumptions!$C$111,H599))))</f>
        <v>602597.160035985</v>
      </c>
      <c r="G600" s="30" t="n">
        <f aca="false">IF('Operating Model'!F$4&lt;=Assumptions!$C$126,IF(Assumptions!$C$130=1,D599*Assumptions!$C$125+E599*Assumptions!$C$128,-PMT(Assumptions!$C$125,Assumptions!$C$111,D599)-PMT(Assumptions!$C$128,Assumptions!$C$111,E599)),IF(Assumptions!$C$136=1,0,IF('Operating Model'!F$4-Assumptions!$C$126&lt;='Debt (Assumed)'!$B$100,H599*'Debt (Assumed)'!$B$98,-PMT('Debt (Assumed)'!$B$98,Assumptions!$C$111,H599))))</f>
        <v>602597.160035985</v>
      </c>
    </row>
    <row r="601" customFormat="false" ht="15" hidden="false" customHeight="false" outlineLevel="0" collapsed="false">
      <c r="A601" s="2" t="s">
        <v>1006</v>
      </c>
      <c r="B601" s="30" t="n">
        <f aca="false">-F599</f>
        <v>-5046186</v>
      </c>
      <c r="C601" s="30" t="n">
        <f aca="false">IF(AND(Assumptions!$C$136=1,'Operating Model'!B$4&gt;Assumptions!$C$126),0,'Operating Model'!B55+(C598-'Operating Model'!B49)-C600-IF('Operating Model'!B$4=Assumptions!$C$126,IF(Assumptions!$C$136=1,-M599,G599-H599+L599),0)+IF(AND(Assumptions!$C$136&lt;&gt;1,'Operating Model'!B$4=Assumptions!$C$154),K599,0))</f>
        <v>464398.758496</v>
      </c>
      <c r="D601" s="30" t="n">
        <f aca="false">IF(AND(Assumptions!$C$136=1,'Operating Model'!C$4&gt;Assumptions!$C$126),0,'Operating Model'!C55+(D598-'Operating Model'!C49)-D600-IF('Operating Model'!C$4=Assumptions!$C$126,IF(Assumptions!$C$136=1,-M599,G599-H599+L599),0)+IF(AND(Assumptions!$C$136&lt;&gt;1,'Operating Model'!C$4=Assumptions!$C$154),K599,0))</f>
        <v>353869.681376455</v>
      </c>
      <c r="E601" s="30" t="n">
        <f aca="false">IF(AND(Assumptions!$C$136=1,'Operating Model'!D$4&gt;Assumptions!$C$126),0,'Operating Model'!D55+(E598-'Operating Model'!D49)-E600-IF('Operating Model'!D$4=Assumptions!$C$126,IF(Assumptions!$C$136=1,-M599,G599-H599+L599),0)+IF(AND(Assumptions!$C$136&lt;&gt;1,'Operating Model'!D$4=Assumptions!$C$154),K599,0))</f>
        <v>-93212.1312320711</v>
      </c>
      <c r="F601" s="30" t="n">
        <f aca="false">IF(AND(Assumptions!$C$136=1,'Operating Model'!E$4&gt;Assumptions!$C$126),0,'Operating Model'!E55+(F598-'Operating Model'!E49)-F600-IF('Operating Model'!E$4=Assumptions!$C$126,IF(Assumptions!$C$136=1,-M599,G599-H599+L599),0)+IF(AND(Assumptions!$C$136&lt;&gt;1,'Operating Model'!E$4=Assumptions!$C$154),K599,0))</f>
        <v>311404.843613033</v>
      </c>
      <c r="G601" s="30" t="n">
        <f aca="false">IF(AND(Assumptions!$C$136=1,'Operating Model'!F$4&gt;Assumptions!$C$126),0,'Operating Model'!F55+(G598-'Operating Model'!F49)-G600-IF('Operating Model'!F$4=Assumptions!$C$126,IF(Assumptions!$C$136=1,-M599,G599-H599+L599),0)+IF(AND(Assumptions!$C$136&lt;&gt;1,'Operating Model'!F$4=Assumptions!$C$154),K599,0))</f>
        <v>5928950.40905527</v>
      </c>
      <c r="H601" s="22" t="n">
        <f aca="false">IFERROR(IRR(B601:G601),"N/A")</f>
        <v>0.0740445092537567</v>
      </c>
      <c r="I601" s="24" t="n">
        <f aca="false">SUM(C601:G601)/F599</f>
        <v>1.38033191033955</v>
      </c>
    </row>
    <row r="603" customFormat="false" ht="15" hidden="false" customHeight="false" outlineLevel="0" collapsed="false">
      <c r="A603" s="2" t="s">
        <v>1007</v>
      </c>
      <c r="C603" s="30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3" s="30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3" s="30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3" s="30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3" s="30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3" s="30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3" s="30" t="n">
        <f aca="false">H603-'Operating Model'!$B$42*1*(1+Assumptions!$C$18+0)^('Operating Model'!G$4-1)</f>
        <v>1234686.05207427</v>
      </c>
    </row>
    <row r="604" customFormat="false" ht="15" hidden="false" customHeight="false" outlineLevel="0" collapsed="false">
      <c r="A604" s="2" t="s">
        <v>1008</v>
      </c>
      <c r="B604" s="30" t="n">
        <f aca="false">Assumptions!$C$7*1</f>
        <v>13800000</v>
      </c>
      <c r="C604" s="30" t="n">
        <f aca="false">MAX(0,(Assumptions!$C$124+Assumptions!$C$127)-Assumptions!$C$132*B604)</f>
        <v>0</v>
      </c>
      <c r="D604" s="30" t="n">
        <f aca="false">Assumptions!$C$124-MAX(0,C604-Assumptions!$C$127)</f>
        <v>5887000</v>
      </c>
      <c r="E604" s="30" t="n">
        <f aca="false">Assumptions!$C$127-MIN(C604,Assumptions!$C$127)</f>
        <v>3563000</v>
      </c>
      <c r="F604" s="30" t="n">
        <f aca="false">B604*(1+Assumptions!$C$10)+'Unit Mix'!$D$18*(D$36/Assumptions!$C$35)+(D604+E604)*Assumptions!$C$131-(D604+E604)</f>
        <v>5095290</v>
      </c>
      <c r="G604" s="30" t="n">
        <f aca="false">IF(Assumptions!$C$130=1,D604+E604,-FV(Assumptions!$C$125,Assumptions!$C$126,PMT(Assumptions!$C$125,Assumptions!$C$111,D604),D604)-FV(Assumptions!$C$128,Assumptions!$C$126,PMT(Assumptions!$C$128,Assumptions!$C$111,E604),E604))</f>
        <v>9450000</v>
      </c>
      <c r="H604" s="30" t="n">
        <f aca="false">MIN(INDEX(C603:H603,Assumptions!$C$126+1)/Assumptions!$C$157*Assumptions!$C$108,INDEX(C603:H603,Assumptions!$C$126+1)/(Assumptions!$C$109*-PMT('Debt (Assumed)'!$B$99,Assumptions!$C$111,1)))</f>
        <v>8940610.68302649</v>
      </c>
      <c r="I604" s="30" t="n">
        <f aca="false">IF(MAX(0,Assumptions!$C$154-Assumptions!$C$126-'Debt (Assumed)'!$B$100)=0,H604,-FV('Debt (Assumed)'!$B$98,MAX(0,Assumptions!$C$154-Assumptions!$C$126-'Debt (Assumed)'!$B$100),PMT('Debt (Assumed)'!$B$98,Assumptions!$C$111,H604),H604))</f>
        <v>8940610.68302649</v>
      </c>
      <c r="J604" s="30" t="n">
        <f aca="false">I604*'Debt (Assumed)'!$B$102</f>
        <v>0</v>
      </c>
      <c r="K604" s="30" t="n">
        <f aca="false">I603/(Assumptions!$C$157+Returns!$B$35)*(1-Assumptions!$C$158)-I604-J604</f>
        <v>5612125.3513132</v>
      </c>
      <c r="L604" s="30" t="n">
        <f aca="false">H604*'Debt (Assumed)'!$B$101</f>
        <v>96558.5953766861</v>
      </c>
      <c r="M604" s="30" t="n">
        <f aca="false">(INDEX(C603:H603,Assumptions!$C$126+1)-'Operating Model'!$B$42*1*(1+Assumptions!$C$18+0)^Assumptions!$C$126)/(Assumptions!$C$157+Returns!$B$35)*(1-Assumptions!$C$158)-G604</f>
        <v>4750614.311657</v>
      </c>
    </row>
    <row r="605" customFormat="false" ht="15" hidden="false" customHeight="false" outlineLevel="0" collapsed="false">
      <c r="A605" s="2" t="s">
        <v>1009</v>
      </c>
      <c r="C605" s="30" t="n">
        <f aca="false">IF('Operating Model'!B$4&lt;=Assumptions!$C$126,IF(Assumptions!$C$130=1,D604*Assumptions!$C$125+E604*Assumptions!$C$128,-PMT(Assumptions!$C$125,Assumptions!$C$111,D604)-PMT(Assumptions!$C$128,Assumptions!$C$111,E604)),IF(Assumptions!$C$136=1,0,IF('Operating Model'!B$4-Assumptions!$C$126&lt;='Debt (Assumed)'!$B$100,H604*'Debt (Assumed)'!$B$98,-PMT('Debt (Assumed)'!$B$98,Assumptions!$C$111,H604))))</f>
        <v>397516</v>
      </c>
      <c r="D605" s="30" t="n">
        <f aca="false">IF('Operating Model'!C$4&lt;=Assumptions!$C$126,IF(Assumptions!$C$130=1,D604*Assumptions!$C$125+E604*Assumptions!$C$128,-PMT(Assumptions!$C$125,Assumptions!$C$111,D604)-PMT(Assumptions!$C$128,Assumptions!$C$111,E604)),IF(Assumptions!$C$136=1,0,IF('Operating Model'!C$4-Assumptions!$C$126&lt;='Debt (Assumed)'!$B$100,H604*'Debt (Assumed)'!$B$98,-PMT('Debt (Assumed)'!$B$98,Assumptions!$C$111,H604))))</f>
        <v>397516</v>
      </c>
      <c r="E605" s="30" t="n">
        <f aca="false">IF('Operating Model'!D$4&lt;=Assumptions!$C$126,IF(Assumptions!$C$130=1,D604*Assumptions!$C$125+E604*Assumptions!$C$128,-PMT(Assumptions!$C$125,Assumptions!$C$111,D604)-PMT(Assumptions!$C$128,Assumptions!$C$111,E604)),IF(Assumptions!$C$136=1,0,IF('Operating Model'!D$4-Assumptions!$C$126&lt;='Debt (Assumed)'!$B$100,H604*'Debt (Assumed)'!$B$98,-PMT('Debt (Assumed)'!$B$98,Assumptions!$C$111,H604))))</f>
        <v>397516</v>
      </c>
      <c r="F605" s="30" t="n">
        <f aca="false">IF('Operating Model'!E$4&lt;=Assumptions!$C$126,IF(Assumptions!$C$130=1,D604*Assumptions!$C$125+E604*Assumptions!$C$128,-PMT(Assumptions!$C$125,Assumptions!$C$111,D604)-PMT(Assumptions!$C$128,Assumptions!$C$111,E604)),IF(Assumptions!$C$136=1,0,IF('Operating Model'!E$4-Assumptions!$C$126&lt;='Debt (Assumed)'!$B$100,H604*'Debt (Assumed)'!$B$98,-PMT('Debt (Assumed)'!$B$98,Assumptions!$C$111,H604))))</f>
        <v>602597.160035985</v>
      </c>
      <c r="G605" s="30" t="n">
        <f aca="false">IF('Operating Model'!F$4&lt;=Assumptions!$C$126,IF(Assumptions!$C$130=1,D604*Assumptions!$C$125+E604*Assumptions!$C$128,-PMT(Assumptions!$C$125,Assumptions!$C$111,D604)-PMT(Assumptions!$C$128,Assumptions!$C$111,E604)),IF(Assumptions!$C$136=1,0,IF('Operating Model'!F$4-Assumptions!$C$126&lt;='Debt (Assumed)'!$B$100,H604*'Debt (Assumed)'!$B$98,-PMT('Debt (Assumed)'!$B$98,Assumptions!$C$111,H604))))</f>
        <v>602597.160035985</v>
      </c>
    </row>
    <row r="606" customFormat="false" ht="15" hidden="false" customHeight="false" outlineLevel="0" collapsed="false">
      <c r="A606" s="2" t="s">
        <v>1010</v>
      </c>
      <c r="B606" s="30" t="n">
        <f aca="false">-F604</f>
        <v>-5095290</v>
      </c>
      <c r="C606" s="30" t="n">
        <f aca="false">IF(AND(Assumptions!$C$136=1,'Operating Model'!B$4&gt;Assumptions!$C$126),0,'Operating Model'!B55+(C603-'Operating Model'!B49)-C605-IF('Operating Model'!B$4=Assumptions!$C$126,IF(Assumptions!$C$136=1,-M604,G604-H604+L604),0)+IF(AND(Assumptions!$C$136&lt;&gt;1,'Operating Model'!B$4=Assumptions!$C$154),K604,0))</f>
        <v>464398.758496</v>
      </c>
      <c r="D606" s="30" t="n">
        <f aca="false">IF(AND(Assumptions!$C$136=1,'Operating Model'!C$4&gt;Assumptions!$C$126),0,'Operating Model'!C55+(D603-'Operating Model'!C49)-D605-IF('Operating Model'!C$4=Assumptions!$C$126,IF(Assumptions!$C$136=1,-M604,G604-H604+L604),0)+IF(AND(Assumptions!$C$136&lt;&gt;1,'Operating Model'!C$4=Assumptions!$C$154),K604,0))</f>
        <v>353869.681376455</v>
      </c>
      <c r="E606" s="30" t="n">
        <f aca="false">IF(AND(Assumptions!$C$136=1,'Operating Model'!D$4&gt;Assumptions!$C$126),0,'Operating Model'!D55+(E603-'Operating Model'!D49)-E605-IF('Operating Model'!D$4=Assumptions!$C$126,IF(Assumptions!$C$136=1,-M604,G604-H604+L604),0)+IF(AND(Assumptions!$C$136&lt;&gt;1,'Operating Model'!D$4=Assumptions!$C$154),K604,0))</f>
        <v>-93212.1312320711</v>
      </c>
      <c r="F606" s="30" t="n">
        <f aca="false">IF(AND(Assumptions!$C$136=1,'Operating Model'!E$4&gt;Assumptions!$C$126),0,'Operating Model'!E55+(F603-'Operating Model'!E49)-F605-IF('Operating Model'!E$4=Assumptions!$C$126,IF(Assumptions!$C$136=1,-M604,G604-H604+L604),0)+IF(AND(Assumptions!$C$136&lt;&gt;1,'Operating Model'!E$4=Assumptions!$C$154),K604,0))</f>
        <v>311404.843613033</v>
      </c>
      <c r="G606" s="30" t="n">
        <f aca="false">IF(AND(Assumptions!$C$136=1,'Operating Model'!F$4&gt;Assumptions!$C$126),0,'Operating Model'!F55+(G603-'Operating Model'!F49)-G605-IF('Operating Model'!F$4=Assumptions!$C$126,IF(Assumptions!$C$136=1,-M604,G604-H604+L604),0)+IF(AND(Assumptions!$C$136&lt;&gt;1,'Operating Model'!F$4=Assumptions!$C$154),K604,0))</f>
        <v>5928950.40905527</v>
      </c>
      <c r="H606" s="22" t="n">
        <f aca="false">IFERROR(IRR(B606:G606),"N/A")</f>
        <v>0.071715036963043</v>
      </c>
      <c r="I606" s="24" t="n">
        <f aca="false">SUM(C606:G606)/F604</f>
        <v>1.36702946472305</v>
      </c>
    </row>
    <row r="608" customFormat="false" ht="15" hidden="false" customHeight="false" outlineLevel="0" collapsed="false">
      <c r="A608" s="2" t="s">
        <v>1011</v>
      </c>
      <c r="C608" s="30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8" s="30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8" s="30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8" s="30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8" s="30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8" s="30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8" s="30" t="n">
        <f aca="false">H608-'Operating Model'!$B$42*1*(1+Assumptions!$C$18+0)^('Operating Model'!G$4-1)</f>
        <v>1234686.05207427</v>
      </c>
    </row>
    <row r="609" customFormat="false" ht="15" hidden="false" customHeight="false" outlineLevel="0" collapsed="false">
      <c r="A609" s="2" t="s">
        <v>1012</v>
      </c>
      <c r="B609" s="30" t="n">
        <f aca="false">Assumptions!$C$7*1</f>
        <v>13800000</v>
      </c>
      <c r="C609" s="30" t="n">
        <f aca="false">MAX(0,(Assumptions!$C$124+Assumptions!$C$127)-Assumptions!$C$132*B609)</f>
        <v>0</v>
      </c>
      <c r="D609" s="30" t="n">
        <f aca="false">Assumptions!$C$124-MAX(0,C609-Assumptions!$C$127)</f>
        <v>5887000</v>
      </c>
      <c r="E609" s="30" t="n">
        <f aca="false">Assumptions!$C$127-MIN(C609,Assumptions!$C$127)</f>
        <v>3563000</v>
      </c>
      <c r="F609" s="30" t="n">
        <f aca="false">B609*(1+Assumptions!$C$10)+'Unit Mix'!$D$18*(E$36/Assumptions!$C$35)+(D609+E609)*Assumptions!$C$131-(D609+E609)</f>
        <v>5144394</v>
      </c>
      <c r="G609" s="30" t="n">
        <f aca="false">IF(Assumptions!$C$130=1,D609+E609,-FV(Assumptions!$C$125,Assumptions!$C$126,PMT(Assumptions!$C$125,Assumptions!$C$111,D609),D609)-FV(Assumptions!$C$128,Assumptions!$C$126,PMT(Assumptions!$C$128,Assumptions!$C$111,E609),E609))</f>
        <v>9450000</v>
      </c>
      <c r="H609" s="30" t="n">
        <f aca="false">MIN(INDEX(C608:H608,Assumptions!$C$126+1)/Assumptions!$C$157*Assumptions!$C$108,INDEX(C608:H608,Assumptions!$C$126+1)/(Assumptions!$C$109*-PMT('Debt (Assumed)'!$B$99,Assumptions!$C$111,1)))</f>
        <v>8940610.68302649</v>
      </c>
      <c r="I609" s="30" t="n">
        <f aca="false">IF(MAX(0,Assumptions!$C$154-Assumptions!$C$126-'Debt (Assumed)'!$B$100)=0,H609,-FV('Debt (Assumed)'!$B$98,MAX(0,Assumptions!$C$154-Assumptions!$C$126-'Debt (Assumed)'!$B$100),PMT('Debt (Assumed)'!$B$98,Assumptions!$C$111,H609),H609))</f>
        <v>8940610.68302649</v>
      </c>
      <c r="J609" s="30" t="n">
        <f aca="false">I609*'Debt (Assumed)'!$B$102</f>
        <v>0</v>
      </c>
      <c r="K609" s="30" t="n">
        <f aca="false">I608/(Assumptions!$C$157+Returns!$B$35)*(1-Assumptions!$C$158)-I609-J609</f>
        <v>5612125.3513132</v>
      </c>
      <c r="L609" s="30" t="n">
        <f aca="false">H609*'Debt (Assumed)'!$B$101</f>
        <v>96558.5953766861</v>
      </c>
      <c r="M609" s="30" t="n">
        <f aca="false">(INDEX(C608:H608,Assumptions!$C$126+1)-'Operating Model'!$B$42*1*(1+Assumptions!$C$18+0)^Assumptions!$C$126)/(Assumptions!$C$157+Returns!$B$35)*(1-Assumptions!$C$158)-G609</f>
        <v>4750614.311657</v>
      </c>
    </row>
    <row r="610" customFormat="false" ht="15" hidden="false" customHeight="false" outlineLevel="0" collapsed="false">
      <c r="A610" s="2" t="s">
        <v>1013</v>
      </c>
      <c r="C610" s="30" t="n">
        <f aca="false">IF('Operating Model'!B$4&lt;=Assumptions!$C$126,IF(Assumptions!$C$130=1,D609*Assumptions!$C$125+E609*Assumptions!$C$128,-PMT(Assumptions!$C$125,Assumptions!$C$111,D609)-PMT(Assumptions!$C$128,Assumptions!$C$111,E609)),IF(Assumptions!$C$136=1,0,IF('Operating Model'!B$4-Assumptions!$C$126&lt;='Debt (Assumed)'!$B$100,H609*'Debt (Assumed)'!$B$98,-PMT('Debt (Assumed)'!$B$98,Assumptions!$C$111,H609))))</f>
        <v>397516</v>
      </c>
      <c r="D610" s="30" t="n">
        <f aca="false">IF('Operating Model'!C$4&lt;=Assumptions!$C$126,IF(Assumptions!$C$130=1,D609*Assumptions!$C$125+E609*Assumptions!$C$128,-PMT(Assumptions!$C$125,Assumptions!$C$111,D609)-PMT(Assumptions!$C$128,Assumptions!$C$111,E609)),IF(Assumptions!$C$136=1,0,IF('Operating Model'!C$4-Assumptions!$C$126&lt;='Debt (Assumed)'!$B$100,H609*'Debt (Assumed)'!$B$98,-PMT('Debt (Assumed)'!$B$98,Assumptions!$C$111,H609))))</f>
        <v>397516</v>
      </c>
      <c r="E610" s="30" t="n">
        <f aca="false">IF('Operating Model'!D$4&lt;=Assumptions!$C$126,IF(Assumptions!$C$130=1,D609*Assumptions!$C$125+E609*Assumptions!$C$128,-PMT(Assumptions!$C$125,Assumptions!$C$111,D609)-PMT(Assumptions!$C$128,Assumptions!$C$111,E609)),IF(Assumptions!$C$136=1,0,IF('Operating Model'!D$4-Assumptions!$C$126&lt;='Debt (Assumed)'!$B$100,H609*'Debt (Assumed)'!$B$98,-PMT('Debt (Assumed)'!$B$98,Assumptions!$C$111,H609))))</f>
        <v>397516</v>
      </c>
      <c r="F610" s="30" t="n">
        <f aca="false">IF('Operating Model'!E$4&lt;=Assumptions!$C$126,IF(Assumptions!$C$130=1,D609*Assumptions!$C$125+E609*Assumptions!$C$128,-PMT(Assumptions!$C$125,Assumptions!$C$111,D609)-PMT(Assumptions!$C$128,Assumptions!$C$111,E609)),IF(Assumptions!$C$136=1,0,IF('Operating Model'!E$4-Assumptions!$C$126&lt;='Debt (Assumed)'!$B$100,H609*'Debt (Assumed)'!$B$98,-PMT('Debt (Assumed)'!$B$98,Assumptions!$C$111,H609))))</f>
        <v>602597.160035985</v>
      </c>
      <c r="G610" s="30" t="n">
        <f aca="false">IF('Operating Model'!F$4&lt;=Assumptions!$C$126,IF(Assumptions!$C$130=1,D609*Assumptions!$C$125+E609*Assumptions!$C$128,-PMT(Assumptions!$C$125,Assumptions!$C$111,D609)-PMT(Assumptions!$C$128,Assumptions!$C$111,E609)),IF(Assumptions!$C$136=1,0,IF('Operating Model'!F$4-Assumptions!$C$126&lt;='Debt (Assumed)'!$B$100,H609*'Debt (Assumed)'!$B$98,-PMT('Debt (Assumed)'!$B$98,Assumptions!$C$111,H609))))</f>
        <v>602597.160035985</v>
      </c>
    </row>
    <row r="611" customFormat="false" ht="15" hidden="false" customHeight="false" outlineLevel="0" collapsed="false">
      <c r="A611" s="2" t="s">
        <v>1014</v>
      </c>
      <c r="B611" s="30" t="n">
        <f aca="false">-F609</f>
        <v>-5144394</v>
      </c>
      <c r="C611" s="30" t="n">
        <f aca="false">IF(AND(Assumptions!$C$136=1,'Operating Model'!B$4&gt;Assumptions!$C$126),0,'Operating Model'!B55+(C608-'Operating Model'!B49)-C610-IF('Operating Model'!B$4=Assumptions!$C$126,IF(Assumptions!$C$136=1,-M609,G609-H609+L609),0)+IF(AND(Assumptions!$C$136&lt;&gt;1,'Operating Model'!B$4=Assumptions!$C$154),K609,0))</f>
        <v>464398.758496</v>
      </c>
      <c r="D611" s="30" t="n">
        <f aca="false">IF(AND(Assumptions!$C$136=1,'Operating Model'!C$4&gt;Assumptions!$C$126),0,'Operating Model'!C55+(D608-'Operating Model'!C49)-D610-IF('Operating Model'!C$4=Assumptions!$C$126,IF(Assumptions!$C$136=1,-M609,G609-H609+L609),0)+IF(AND(Assumptions!$C$136&lt;&gt;1,'Operating Model'!C$4=Assumptions!$C$154),K609,0))</f>
        <v>353869.681376455</v>
      </c>
      <c r="E611" s="30" t="n">
        <f aca="false">IF(AND(Assumptions!$C$136=1,'Operating Model'!D$4&gt;Assumptions!$C$126),0,'Operating Model'!D55+(E608-'Operating Model'!D49)-E610-IF('Operating Model'!D$4=Assumptions!$C$126,IF(Assumptions!$C$136=1,-M609,G609-H609+L609),0)+IF(AND(Assumptions!$C$136&lt;&gt;1,'Operating Model'!D$4=Assumptions!$C$154),K609,0))</f>
        <v>-93212.1312320711</v>
      </c>
      <c r="F611" s="30" t="n">
        <f aca="false">IF(AND(Assumptions!$C$136=1,'Operating Model'!E$4&gt;Assumptions!$C$126),0,'Operating Model'!E55+(F608-'Operating Model'!E49)-F610-IF('Operating Model'!E$4=Assumptions!$C$126,IF(Assumptions!$C$136=1,-M609,G609-H609+L609),0)+IF(AND(Assumptions!$C$136&lt;&gt;1,'Operating Model'!E$4=Assumptions!$C$154),K609,0))</f>
        <v>311404.843613033</v>
      </c>
      <c r="G611" s="30" t="n">
        <f aca="false">IF(AND(Assumptions!$C$136=1,'Operating Model'!F$4&gt;Assumptions!$C$126),0,'Operating Model'!F55+(G608-'Operating Model'!F49)-G610-IF('Operating Model'!F$4=Assumptions!$C$126,IF(Assumptions!$C$136=1,-M609,G609-H609+L609),0)+IF(AND(Assumptions!$C$136&lt;&gt;1,'Operating Model'!F$4=Assumptions!$C$154),K609,0))</f>
        <v>5928950.40905527</v>
      </c>
      <c r="H611" s="22" t="n">
        <f aca="false">IFERROR(IRR(B611:G611),"N/A")</f>
        <v>0.0694146697205038</v>
      </c>
      <c r="I611" s="24" t="n">
        <f aca="false">SUM(C611:G611)/F609</f>
        <v>1.35398096672002</v>
      </c>
    </row>
    <row r="613" customFormat="false" ht="15" hidden="false" customHeight="false" outlineLevel="0" collapsed="false">
      <c r="A613" s="2" t="s">
        <v>1015</v>
      </c>
      <c r="C613" s="30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13" s="30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13" s="30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13" s="30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13" s="30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13" s="30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13" s="30" t="n">
        <f aca="false">H613-'Operating Model'!$B$42*1*(1+Assumptions!$C$18+0)^('Operating Model'!G$4-1)</f>
        <v>1234686.05207427</v>
      </c>
    </row>
    <row r="614" customFormat="false" ht="15" hidden="false" customHeight="false" outlineLevel="0" collapsed="false">
      <c r="A614" s="2" t="s">
        <v>1016</v>
      </c>
      <c r="B614" s="30" t="n">
        <f aca="false">Assumptions!$C$7*1</f>
        <v>13800000</v>
      </c>
      <c r="C614" s="30" t="n">
        <f aca="false">MAX(0,(Assumptions!$C$124+Assumptions!$C$127)-Assumptions!$C$132*B614)</f>
        <v>0</v>
      </c>
      <c r="D614" s="30" t="n">
        <f aca="false">Assumptions!$C$124-MAX(0,C614-Assumptions!$C$127)</f>
        <v>5887000</v>
      </c>
      <c r="E614" s="30" t="n">
        <f aca="false">Assumptions!$C$127-MIN(C614,Assumptions!$C$127)</f>
        <v>3563000</v>
      </c>
      <c r="F614" s="30" t="n">
        <f aca="false">B614*(1+Assumptions!$C$10)+'Unit Mix'!$D$18*(F$36/Assumptions!$C$35)+(D614+E614)*Assumptions!$C$131-(D614+E614)</f>
        <v>5193498</v>
      </c>
      <c r="G614" s="30" t="n">
        <f aca="false">IF(Assumptions!$C$130=1,D614+E614,-FV(Assumptions!$C$125,Assumptions!$C$126,PMT(Assumptions!$C$125,Assumptions!$C$111,D614),D614)-FV(Assumptions!$C$128,Assumptions!$C$126,PMT(Assumptions!$C$128,Assumptions!$C$111,E614),E614))</f>
        <v>9450000</v>
      </c>
      <c r="H614" s="30" t="n">
        <f aca="false">MIN(INDEX(C613:H613,Assumptions!$C$126+1)/Assumptions!$C$157*Assumptions!$C$108,INDEX(C613:H613,Assumptions!$C$126+1)/(Assumptions!$C$109*-PMT('Debt (Assumed)'!$B$99,Assumptions!$C$111,1)))</f>
        <v>8940610.68302649</v>
      </c>
      <c r="I614" s="30" t="n">
        <f aca="false">IF(MAX(0,Assumptions!$C$154-Assumptions!$C$126-'Debt (Assumed)'!$B$100)=0,H614,-FV('Debt (Assumed)'!$B$98,MAX(0,Assumptions!$C$154-Assumptions!$C$126-'Debt (Assumed)'!$B$100),PMT('Debt (Assumed)'!$B$98,Assumptions!$C$111,H614),H614))</f>
        <v>8940610.68302649</v>
      </c>
      <c r="J614" s="30" t="n">
        <f aca="false">I614*'Debt (Assumed)'!$B$102</f>
        <v>0</v>
      </c>
      <c r="K614" s="30" t="n">
        <f aca="false">I613/(Assumptions!$C$157+Returns!$B$35)*(1-Assumptions!$C$158)-I614-J614</f>
        <v>5612125.3513132</v>
      </c>
      <c r="L614" s="30" t="n">
        <f aca="false">H614*'Debt (Assumed)'!$B$101</f>
        <v>96558.5953766861</v>
      </c>
      <c r="M614" s="30" t="n">
        <f aca="false">(INDEX(C613:H613,Assumptions!$C$126+1)-'Operating Model'!$B$42*1*(1+Assumptions!$C$18+0)^Assumptions!$C$126)/(Assumptions!$C$157+Returns!$B$35)*(1-Assumptions!$C$158)-G614</f>
        <v>4750614.311657</v>
      </c>
    </row>
    <row r="615" customFormat="false" ht="15" hidden="false" customHeight="false" outlineLevel="0" collapsed="false">
      <c r="A615" s="2" t="s">
        <v>1017</v>
      </c>
      <c r="C615" s="30" t="n">
        <f aca="false">IF('Operating Model'!B$4&lt;=Assumptions!$C$126,IF(Assumptions!$C$130=1,D614*Assumptions!$C$125+E614*Assumptions!$C$128,-PMT(Assumptions!$C$125,Assumptions!$C$111,D614)-PMT(Assumptions!$C$128,Assumptions!$C$111,E614)),IF(Assumptions!$C$136=1,0,IF('Operating Model'!B$4-Assumptions!$C$126&lt;='Debt (Assumed)'!$B$100,H614*'Debt (Assumed)'!$B$98,-PMT('Debt (Assumed)'!$B$98,Assumptions!$C$111,H614))))</f>
        <v>397516</v>
      </c>
      <c r="D615" s="30" t="n">
        <f aca="false">IF('Operating Model'!C$4&lt;=Assumptions!$C$126,IF(Assumptions!$C$130=1,D614*Assumptions!$C$125+E614*Assumptions!$C$128,-PMT(Assumptions!$C$125,Assumptions!$C$111,D614)-PMT(Assumptions!$C$128,Assumptions!$C$111,E614)),IF(Assumptions!$C$136=1,0,IF('Operating Model'!C$4-Assumptions!$C$126&lt;='Debt (Assumed)'!$B$100,H614*'Debt (Assumed)'!$B$98,-PMT('Debt (Assumed)'!$B$98,Assumptions!$C$111,H614))))</f>
        <v>397516</v>
      </c>
      <c r="E615" s="30" t="n">
        <f aca="false">IF('Operating Model'!D$4&lt;=Assumptions!$C$126,IF(Assumptions!$C$130=1,D614*Assumptions!$C$125+E614*Assumptions!$C$128,-PMT(Assumptions!$C$125,Assumptions!$C$111,D614)-PMT(Assumptions!$C$128,Assumptions!$C$111,E614)),IF(Assumptions!$C$136=1,0,IF('Operating Model'!D$4-Assumptions!$C$126&lt;='Debt (Assumed)'!$B$100,H614*'Debt (Assumed)'!$B$98,-PMT('Debt (Assumed)'!$B$98,Assumptions!$C$111,H614))))</f>
        <v>397516</v>
      </c>
      <c r="F615" s="30" t="n">
        <f aca="false">IF('Operating Model'!E$4&lt;=Assumptions!$C$126,IF(Assumptions!$C$130=1,D614*Assumptions!$C$125+E614*Assumptions!$C$128,-PMT(Assumptions!$C$125,Assumptions!$C$111,D614)-PMT(Assumptions!$C$128,Assumptions!$C$111,E614)),IF(Assumptions!$C$136=1,0,IF('Operating Model'!E$4-Assumptions!$C$126&lt;='Debt (Assumed)'!$B$100,H614*'Debt (Assumed)'!$B$98,-PMT('Debt (Assumed)'!$B$98,Assumptions!$C$111,H614))))</f>
        <v>602597.160035985</v>
      </c>
      <c r="G615" s="30" t="n">
        <f aca="false">IF('Operating Model'!F$4&lt;=Assumptions!$C$126,IF(Assumptions!$C$130=1,D614*Assumptions!$C$125+E614*Assumptions!$C$128,-PMT(Assumptions!$C$125,Assumptions!$C$111,D614)-PMT(Assumptions!$C$128,Assumptions!$C$111,E614)),IF(Assumptions!$C$136=1,0,IF('Operating Model'!F$4-Assumptions!$C$126&lt;='Debt (Assumed)'!$B$100,H614*'Debt (Assumed)'!$B$98,-PMT('Debt (Assumed)'!$B$98,Assumptions!$C$111,H614))))</f>
        <v>602597.160035985</v>
      </c>
    </row>
    <row r="616" customFormat="false" ht="15" hidden="false" customHeight="false" outlineLevel="0" collapsed="false">
      <c r="A616" s="2" t="s">
        <v>1018</v>
      </c>
      <c r="B616" s="30" t="n">
        <f aca="false">-F614</f>
        <v>-5193498</v>
      </c>
      <c r="C616" s="30" t="n">
        <f aca="false">IF(AND(Assumptions!$C$136=1,'Operating Model'!B$4&gt;Assumptions!$C$126),0,'Operating Model'!B55+(C613-'Operating Model'!B49)-C615-IF('Operating Model'!B$4=Assumptions!$C$126,IF(Assumptions!$C$136=1,-M614,G614-H614+L614),0)+IF(AND(Assumptions!$C$136&lt;&gt;1,'Operating Model'!B$4=Assumptions!$C$154),K614,0))</f>
        <v>464398.758496</v>
      </c>
      <c r="D616" s="30" t="n">
        <f aca="false">IF(AND(Assumptions!$C$136=1,'Operating Model'!C$4&gt;Assumptions!$C$126),0,'Operating Model'!C55+(D613-'Operating Model'!C49)-D615-IF('Operating Model'!C$4=Assumptions!$C$126,IF(Assumptions!$C$136=1,-M614,G614-H614+L614),0)+IF(AND(Assumptions!$C$136&lt;&gt;1,'Operating Model'!C$4=Assumptions!$C$154),K614,0))</f>
        <v>353869.681376455</v>
      </c>
      <c r="E616" s="30" t="n">
        <f aca="false">IF(AND(Assumptions!$C$136=1,'Operating Model'!D$4&gt;Assumptions!$C$126),0,'Operating Model'!D55+(E613-'Operating Model'!D49)-E615-IF('Operating Model'!D$4=Assumptions!$C$126,IF(Assumptions!$C$136=1,-M614,G614-H614+L614),0)+IF(AND(Assumptions!$C$136&lt;&gt;1,'Operating Model'!D$4=Assumptions!$C$154),K614,0))</f>
        <v>-93212.1312320711</v>
      </c>
      <c r="F616" s="30" t="n">
        <f aca="false">IF(AND(Assumptions!$C$136=1,'Operating Model'!E$4&gt;Assumptions!$C$126),0,'Operating Model'!E55+(F613-'Operating Model'!E49)-F615-IF('Operating Model'!E$4=Assumptions!$C$126,IF(Assumptions!$C$136=1,-M614,G614-H614+L614),0)+IF(AND(Assumptions!$C$136&lt;&gt;1,'Operating Model'!E$4=Assumptions!$C$154),K614,0))</f>
        <v>311404.843613033</v>
      </c>
      <c r="G616" s="30" t="n">
        <f aca="false">IF(AND(Assumptions!$C$136=1,'Operating Model'!F$4&gt;Assumptions!$C$126),0,'Operating Model'!F55+(G613-'Operating Model'!F49)-G615-IF('Operating Model'!F$4=Assumptions!$C$126,IF(Assumptions!$C$136=1,-M614,G614-H614+L614),0)+IF(AND(Assumptions!$C$136&lt;&gt;1,'Operating Model'!F$4=Assumptions!$C$154),K614,0))</f>
        <v>5928950.40905527</v>
      </c>
      <c r="H616" s="22" t="n">
        <f aca="false">IFERROR(IRR(B616:G616),"N/A")</f>
        <v>0.0671427548693548</v>
      </c>
      <c r="I616" s="24" t="n">
        <f aca="false">SUM(C616:G616)/F614</f>
        <v>1.34117921318323</v>
      </c>
    </row>
    <row r="618" customFormat="false" ht="15" hidden="false" customHeight="false" outlineLevel="0" collapsed="false">
      <c r="A618" s="2" t="s">
        <v>1019</v>
      </c>
      <c r="C618" s="30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18" s="30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18" s="30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18" s="30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18" s="30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18" s="30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18" s="30" t="n">
        <f aca="false">H618-'Operating Model'!$B$42*1*(1+Assumptions!$C$18+0)^('Operating Model'!G$4-1)</f>
        <v>1247470.37207427</v>
      </c>
    </row>
    <row r="619" customFormat="false" ht="15" hidden="false" customHeight="false" outlineLevel="0" collapsed="false">
      <c r="A619" s="2" t="s">
        <v>1020</v>
      </c>
      <c r="B619" s="30" t="n">
        <f aca="false">Assumptions!$C$7*1</f>
        <v>13800000</v>
      </c>
      <c r="C619" s="30" t="n">
        <f aca="false">MAX(0,(Assumptions!$C$124+Assumptions!$C$127)-Assumptions!$C$132*B619)</f>
        <v>0</v>
      </c>
      <c r="D619" s="30" t="n">
        <f aca="false">Assumptions!$C$124-MAX(0,C619-Assumptions!$C$127)</f>
        <v>5887000</v>
      </c>
      <c r="E619" s="30" t="n">
        <f aca="false">Assumptions!$C$127-MIN(C619,Assumptions!$C$127)</f>
        <v>3563000</v>
      </c>
      <c r="F619" s="30" t="n">
        <f aca="false">B619*(1+Assumptions!$C$10)+'Unit Mix'!$D$18*(B$36/Assumptions!$C$35)+(D619+E619)*Assumptions!$C$131-(D619+E619)</f>
        <v>4997082</v>
      </c>
      <c r="G619" s="30" t="n">
        <f aca="false">IF(Assumptions!$C$130=1,D619+E619,-FV(Assumptions!$C$125,Assumptions!$C$126,PMT(Assumptions!$C$125,Assumptions!$C$111,D619),D619)-FV(Assumptions!$C$128,Assumptions!$C$126,PMT(Assumptions!$C$128,Assumptions!$C$111,E619),E619))</f>
        <v>9450000</v>
      </c>
      <c r="H619" s="30" t="n">
        <f aca="false">MIN(INDEX(C618:H618,Assumptions!$C$126+1)/Assumptions!$C$157*Assumptions!$C$108,INDEX(C618:H618,Assumptions!$C$126+1)/(Assumptions!$C$109*-PMT('Debt (Assumed)'!$B$99,Assumptions!$C$111,1)))</f>
        <v>9061400.88890073</v>
      </c>
      <c r="I619" s="30" t="n">
        <f aca="false">IF(MAX(0,Assumptions!$C$154-Assumptions!$C$126-'Debt (Assumed)'!$B$100)=0,H619,-FV('Debt (Assumed)'!$B$98,MAX(0,Assumptions!$C$154-Assumptions!$C$126-'Debt (Assumed)'!$B$100),PMT('Debt (Assumed)'!$B$98,Assumptions!$C$111,H619),H619))</f>
        <v>9061400.88890073</v>
      </c>
      <c r="J619" s="30" t="n">
        <f aca="false">I619*'Debt (Assumed)'!$B$102</f>
        <v>0</v>
      </c>
      <c r="K619" s="30" t="n">
        <f aca="false">I618/(Assumptions!$C$157+Returns!$B$35)*(1-Assumptions!$C$158)-I619-J619</f>
        <v>5642018.66051226</v>
      </c>
      <c r="L619" s="30" t="n">
        <f aca="false">H619*'Debt (Assumed)'!$B$101</f>
        <v>97863.1296001279</v>
      </c>
      <c r="M619" s="30" t="n">
        <f aca="false">(INDEX(C618:H618,Assumptions!$C$126+1)-'Operating Model'!$B$42*1*(1+Assumptions!$C$18+0)^Assumptions!$C$126)/(Assumptions!$C$157+Returns!$B$35)*(1-Assumptions!$C$158)-G619</f>
        <v>4901297.8267303</v>
      </c>
    </row>
    <row r="620" customFormat="false" ht="15" hidden="false" customHeight="false" outlineLevel="0" collapsed="false">
      <c r="A620" s="2" t="s">
        <v>1021</v>
      </c>
      <c r="C620" s="30" t="n">
        <f aca="false">IF('Operating Model'!B$4&lt;=Assumptions!$C$126,IF(Assumptions!$C$130=1,D619*Assumptions!$C$125+E619*Assumptions!$C$128,-PMT(Assumptions!$C$125,Assumptions!$C$111,D619)-PMT(Assumptions!$C$128,Assumptions!$C$111,E619)),IF(Assumptions!$C$136=1,0,IF('Operating Model'!B$4-Assumptions!$C$126&lt;='Debt (Assumed)'!$B$100,H619*'Debt (Assumed)'!$B$98,-PMT('Debt (Assumed)'!$B$98,Assumptions!$C$111,H619))))</f>
        <v>397516</v>
      </c>
      <c r="D620" s="30" t="n">
        <f aca="false">IF('Operating Model'!C$4&lt;=Assumptions!$C$126,IF(Assumptions!$C$130=1,D619*Assumptions!$C$125+E619*Assumptions!$C$128,-PMT(Assumptions!$C$125,Assumptions!$C$111,D619)-PMT(Assumptions!$C$128,Assumptions!$C$111,E619)),IF(Assumptions!$C$136=1,0,IF('Operating Model'!C$4-Assumptions!$C$126&lt;='Debt (Assumed)'!$B$100,H619*'Debt (Assumed)'!$B$98,-PMT('Debt (Assumed)'!$B$98,Assumptions!$C$111,H619))))</f>
        <v>397516</v>
      </c>
      <c r="E620" s="30" t="n">
        <f aca="false">IF('Operating Model'!D$4&lt;=Assumptions!$C$126,IF(Assumptions!$C$130=1,D619*Assumptions!$C$125+E619*Assumptions!$C$128,-PMT(Assumptions!$C$125,Assumptions!$C$111,D619)-PMT(Assumptions!$C$128,Assumptions!$C$111,E619)),IF(Assumptions!$C$136=1,0,IF('Operating Model'!D$4-Assumptions!$C$126&lt;='Debt (Assumed)'!$B$100,H619*'Debt (Assumed)'!$B$98,-PMT('Debt (Assumed)'!$B$98,Assumptions!$C$111,H619))))</f>
        <v>397516</v>
      </c>
      <c r="F620" s="30" t="n">
        <f aca="false">IF('Operating Model'!E$4&lt;=Assumptions!$C$126,IF(Assumptions!$C$130=1,D619*Assumptions!$C$125+E619*Assumptions!$C$128,-PMT(Assumptions!$C$125,Assumptions!$C$111,D619)-PMT(Assumptions!$C$128,Assumptions!$C$111,E619)),IF(Assumptions!$C$136=1,0,IF('Operating Model'!E$4-Assumptions!$C$126&lt;='Debt (Assumed)'!$B$100,H619*'Debt (Assumed)'!$B$98,-PMT('Debt (Assumed)'!$B$98,Assumptions!$C$111,H619))))</f>
        <v>610738.41991191</v>
      </c>
      <c r="G620" s="30" t="n">
        <f aca="false">IF('Operating Model'!F$4&lt;=Assumptions!$C$126,IF(Assumptions!$C$130=1,D619*Assumptions!$C$125+E619*Assumptions!$C$128,-PMT(Assumptions!$C$125,Assumptions!$C$111,D619)-PMT(Assumptions!$C$128,Assumptions!$C$111,E619)),IF(Assumptions!$C$136=1,0,IF('Operating Model'!F$4-Assumptions!$C$126&lt;='Debt (Assumed)'!$B$100,H619*'Debt (Assumed)'!$B$98,-PMT('Debt (Assumed)'!$B$98,Assumptions!$C$111,H619))))</f>
        <v>610738.41991191</v>
      </c>
    </row>
    <row r="621" customFormat="false" ht="15" hidden="false" customHeight="false" outlineLevel="0" collapsed="false">
      <c r="A621" s="2" t="s">
        <v>1022</v>
      </c>
      <c r="B621" s="30" t="n">
        <f aca="false">-F619</f>
        <v>-4997082</v>
      </c>
      <c r="C621" s="30" t="n">
        <f aca="false">IF(AND(Assumptions!$C$136=1,'Operating Model'!B$4&gt;Assumptions!$C$126),0,'Operating Model'!B55+(C618-'Operating Model'!B49)-C620-IF('Operating Model'!B$4=Assumptions!$C$126,IF(Assumptions!$C$136=1,-M619,G619-H619+L619),0)+IF(AND(Assumptions!$C$136&lt;&gt;1,'Operating Model'!B$4=Assumptions!$C$154),K619,0))</f>
        <v>470790.918496</v>
      </c>
      <c r="D621" s="30" t="n">
        <f aca="false">IF(AND(Assumptions!$C$136=1,'Operating Model'!C$4&gt;Assumptions!$C$126),0,'Operating Model'!C55+(D618-'Operating Model'!C49)-D620-IF('Operating Model'!C$4=Assumptions!$C$126,IF(Assumptions!$C$136=1,-M619,G619-H619+L619),0)+IF(AND(Assumptions!$C$136&lt;&gt;1,'Operating Model'!C$4=Assumptions!$C$154),K619,0))</f>
        <v>366654.001376455</v>
      </c>
      <c r="E621" s="30" t="n">
        <f aca="false">IF(AND(Assumptions!$C$136=1,'Operating Model'!D$4&gt;Assumptions!$C$126),0,'Operating Model'!D55+(E618-'Operating Model'!D49)-E620-IF('Operating Model'!D$4=Assumptions!$C$126,IF(Assumptions!$C$136=1,-M619,G619-H619+L619),0)+IF(AND(Assumptions!$C$136&lt;&gt;1,'Operating Model'!D$4=Assumptions!$C$154),K619,0))</f>
        <v>39057.8604187326</v>
      </c>
      <c r="F621" s="30" t="n">
        <f aca="false">IF(AND(Assumptions!$C$136=1,'Operating Model'!E$4&gt;Assumptions!$C$126),0,'Operating Model'!E55+(F618-'Operating Model'!E49)-F620-IF('Operating Model'!E$4=Assumptions!$C$126,IF(Assumptions!$C$136=1,-M619,G619-H619+L619),0)+IF(AND(Assumptions!$C$136&lt;&gt;1,'Operating Model'!E$4=Assumptions!$C$154),K619,0))</f>
        <v>316047.903737109</v>
      </c>
      <c r="G621" s="30" t="n">
        <f aca="false">IF(AND(Assumptions!$C$136=1,'Operating Model'!F$4&gt;Assumptions!$C$126),0,'Operating Model'!F55+(G618-'Operating Model'!F49)-G620-IF('Operating Model'!F$4=Assumptions!$C$126,IF(Assumptions!$C$136=1,-M619,G619-H619+L619),0)+IF(AND(Assumptions!$C$136&lt;&gt;1,'Operating Model'!F$4=Assumptions!$C$154),K619,0))</f>
        <v>5963486.77837839</v>
      </c>
      <c r="H621" s="22" t="n">
        <f aca="false">IFERROR(IRR(B621:G621),"N/A")</f>
        <v>0.0836617518496738</v>
      </c>
      <c r="I621" s="24" t="n">
        <f aca="false">SUM(C621:G621)/F619</f>
        <v>1.43204323291207</v>
      </c>
    </row>
    <row r="623" customFormat="false" ht="15" hidden="false" customHeight="false" outlineLevel="0" collapsed="false">
      <c r="A623" s="2" t="s">
        <v>1023</v>
      </c>
      <c r="C623" s="30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3" s="30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3" s="30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3" s="30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3" s="30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3" s="30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3" s="30" t="n">
        <f aca="false">H623-'Operating Model'!$B$42*1*(1+Assumptions!$C$18+0)^('Operating Model'!G$4-1)</f>
        <v>1247470.37207427</v>
      </c>
    </row>
    <row r="624" customFormat="false" ht="15" hidden="false" customHeight="false" outlineLevel="0" collapsed="false">
      <c r="A624" s="2" t="s">
        <v>1024</v>
      </c>
      <c r="B624" s="30" t="n">
        <f aca="false">Assumptions!$C$7*1</f>
        <v>13800000</v>
      </c>
      <c r="C624" s="30" t="n">
        <f aca="false">MAX(0,(Assumptions!$C$124+Assumptions!$C$127)-Assumptions!$C$132*B624)</f>
        <v>0</v>
      </c>
      <c r="D624" s="30" t="n">
        <f aca="false">Assumptions!$C$124-MAX(0,C624-Assumptions!$C$127)</f>
        <v>5887000</v>
      </c>
      <c r="E624" s="30" t="n">
        <f aca="false">Assumptions!$C$127-MIN(C624,Assumptions!$C$127)</f>
        <v>3563000</v>
      </c>
      <c r="F624" s="30" t="n">
        <f aca="false">B624*(1+Assumptions!$C$10)+'Unit Mix'!$D$18*(C$36/Assumptions!$C$35)+(D624+E624)*Assumptions!$C$131-(D624+E624)</f>
        <v>5046186</v>
      </c>
      <c r="G624" s="30" t="n">
        <f aca="false">IF(Assumptions!$C$130=1,D624+E624,-FV(Assumptions!$C$125,Assumptions!$C$126,PMT(Assumptions!$C$125,Assumptions!$C$111,D624),D624)-FV(Assumptions!$C$128,Assumptions!$C$126,PMT(Assumptions!$C$128,Assumptions!$C$111,E624),E624))</f>
        <v>9450000</v>
      </c>
      <c r="H624" s="30" t="n">
        <f aca="false">MIN(INDEX(C623:H623,Assumptions!$C$126+1)/Assumptions!$C$157*Assumptions!$C$108,INDEX(C623:H623,Assumptions!$C$126+1)/(Assumptions!$C$109*-PMT('Debt (Assumed)'!$B$99,Assumptions!$C$111,1)))</f>
        <v>9061400.88890073</v>
      </c>
      <c r="I624" s="30" t="n">
        <f aca="false">IF(MAX(0,Assumptions!$C$154-Assumptions!$C$126-'Debt (Assumed)'!$B$100)=0,H624,-FV('Debt (Assumed)'!$B$98,MAX(0,Assumptions!$C$154-Assumptions!$C$126-'Debt (Assumed)'!$B$100),PMT('Debt (Assumed)'!$B$98,Assumptions!$C$111,H624),H624))</f>
        <v>9061400.88890073</v>
      </c>
      <c r="J624" s="30" t="n">
        <f aca="false">I624*'Debt (Assumed)'!$B$102</f>
        <v>0</v>
      </c>
      <c r="K624" s="30" t="n">
        <f aca="false">I623/(Assumptions!$C$157+Returns!$B$35)*(1-Assumptions!$C$158)-I624-J624</f>
        <v>5642018.66051226</v>
      </c>
      <c r="L624" s="30" t="n">
        <f aca="false">H624*'Debt (Assumed)'!$B$101</f>
        <v>97863.1296001279</v>
      </c>
      <c r="M624" s="30" t="n">
        <f aca="false">(INDEX(C623:H623,Assumptions!$C$126+1)-'Operating Model'!$B$42*1*(1+Assumptions!$C$18+0)^Assumptions!$C$126)/(Assumptions!$C$157+Returns!$B$35)*(1-Assumptions!$C$158)-G624</f>
        <v>4901297.8267303</v>
      </c>
    </row>
    <row r="625" customFormat="false" ht="15" hidden="false" customHeight="false" outlineLevel="0" collapsed="false">
      <c r="A625" s="2" t="s">
        <v>1025</v>
      </c>
      <c r="C625" s="30" t="n">
        <f aca="false">IF('Operating Model'!B$4&lt;=Assumptions!$C$126,IF(Assumptions!$C$130=1,D624*Assumptions!$C$125+E624*Assumptions!$C$128,-PMT(Assumptions!$C$125,Assumptions!$C$111,D624)-PMT(Assumptions!$C$128,Assumptions!$C$111,E624)),IF(Assumptions!$C$136=1,0,IF('Operating Model'!B$4-Assumptions!$C$126&lt;='Debt (Assumed)'!$B$100,H624*'Debt (Assumed)'!$B$98,-PMT('Debt (Assumed)'!$B$98,Assumptions!$C$111,H624))))</f>
        <v>397516</v>
      </c>
      <c r="D625" s="30" t="n">
        <f aca="false">IF('Operating Model'!C$4&lt;=Assumptions!$C$126,IF(Assumptions!$C$130=1,D624*Assumptions!$C$125+E624*Assumptions!$C$128,-PMT(Assumptions!$C$125,Assumptions!$C$111,D624)-PMT(Assumptions!$C$128,Assumptions!$C$111,E624)),IF(Assumptions!$C$136=1,0,IF('Operating Model'!C$4-Assumptions!$C$126&lt;='Debt (Assumed)'!$B$100,H624*'Debt (Assumed)'!$B$98,-PMT('Debt (Assumed)'!$B$98,Assumptions!$C$111,H624))))</f>
        <v>397516</v>
      </c>
      <c r="E625" s="30" t="n">
        <f aca="false">IF('Operating Model'!D$4&lt;=Assumptions!$C$126,IF(Assumptions!$C$130=1,D624*Assumptions!$C$125+E624*Assumptions!$C$128,-PMT(Assumptions!$C$125,Assumptions!$C$111,D624)-PMT(Assumptions!$C$128,Assumptions!$C$111,E624)),IF(Assumptions!$C$136=1,0,IF('Operating Model'!D$4-Assumptions!$C$126&lt;='Debt (Assumed)'!$B$100,H624*'Debt (Assumed)'!$B$98,-PMT('Debt (Assumed)'!$B$98,Assumptions!$C$111,H624))))</f>
        <v>397516</v>
      </c>
      <c r="F625" s="30" t="n">
        <f aca="false">IF('Operating Model'!E$4&lt;=Assumptions!$C$126,IF(Assumptions!$C$130=1,D624*Assumptions!$C$125+E624*Assumptions!$C$128,-PMT(Assumptions!$C$125,Assumptions!$C$111,D624)-PMT(Assumptions!$C$128,Assumptions!$C$111,E624)),IF(Assumptions!$C$136=1,0,IF('Operating Model'!E$4-Assumptions!$C$126&lt;='Debt (Assumed)'!$B$100,H624*'Debt (Assumed)'!$B$98,-PMT('Debt (Assumed)'!$B$98,Assumptions!$C$111,H624))))</f>
        <v>610738.41991191</v>
      </c>
      <c r="G625" s="30" t="n">
        <f aca="false">IF('Operating Model'!F$4&lt;=Assumptions!$C$126,IF(Assumptions!$C$130=1,D624*Assumptions!$C$125+E624*Assumptions!$C$128,-PMT(Assumptions!$C$125,Assumptions!$C$111,D624)-PMT(Assumptions!$C$128,Assumptions!$C$111,E624)),IF(Assumptions!$C$136=1,0,IF('Operating Model'!F$4-Assumptions!$C$126&lt;='Debt (Assumed)'!$B$100,H624*'Debt (Assumed)'!$B$98,-PMT('Debt (Assumed)'!$B$98,Assumptions!$C$111,H624))))</f>
        <v>610738.41991191</v>
      </c>
    </row>
    <row r="626" customFormat="false" ht="15" hidden="false" customHeight="false" outlineLevel="0" collapsed="false">
      <c r="A626" s="2" t="s">
        <v>1026</v>
      </c>
      <c r="B626" s="30" t="n">
        <f aca="false">-F624</f>
        <v>-5046186</v>
      </c>
      <c r="C626" s="30" t="n">
        <f aca="false">IF(AND(Assumptions!$C$136=1,'Operating Model'!B$4&gt;Assumptions!$C$126),0,'Operating Model'!B55+(C623-'Operating Model'!B49)-C625-IF('Operating Model'!B$4=Assumptions!$C$126,IF(Assumptions!$C$136=1,-M624,G624-H624+L624),0)+IF(AND(Assumptions!$C$136&lt;&gt;1,'Operating Model'!B$4=Assumptions!$C$154),K624,0))</f>
        <v>470790.918496</v>
      </c>
      <c r="D626" s="30" t="n">
        <f aca="false">IF(AND(Assumptions!$C$136=1,'Operating Model'!C$4&gt;Assumptions!$C$126),0,'Operating Model'!C55+(D623-'Operating Model'!C49)-D625-IF('Operating Model'!C$4=Assumptions!$C$126,IF(Assumptions!$C$136=1,-M624,G624-H624+L624),0)+IF(AND(Assumptions!$C$136&lt;&gt;1,'Operating Model'!C$4=Assumptions!$C$154),K624,0))</f>
        <v>366654.001376455</v>
      </c>
      <c r="E626" s="30" t="n">
        <f aca="false">IF(AND(Assumptions!$C$136=1,'Operating Model'!D$4&gt;Assumptions!$C$126),0,'Operating Model'!D55+(E623-'Operating Model'!D49)-E625-IF('Operating Model'!D$4=Assumptions!$C$126,IF(Assumptions!$C$136=1,-M624,G624-H624+L624),0)+IF(AND(Assumptions!$C$136&lt;&gt;1,'Operating Model'!D$4=Assumptions!$C$154),K624,0))</f>
        <v>39057.8604187326</v>
      </c>
      <c r="F626" s="30" t="n">
        <f aca="false">IF(AND(Assumptions!$C$136=1,'Operating Model'!E$4&gt;Assumptions!$C$126),0,'Operating Model'!E55+(F623-'Operating Model'!E49)-F625-IF('Operating Model'!E$4=Assumptions!$C$126,IF(Assumptions!$C$136=1,-M624,G624-H624+L624),0)+IF(AND(Assumptions!$C$136&lt;&gt;1,'Operating Model'!E$4=Assumptions!$C$154),K624,0))</f>
        <v>316047.903737109</v>
      </c>
      <c r="G626" s="30" t="n">
        <f aca="false">IF(AND(Assumptions!$C$136=1,'Operating Model'!F$4&gt;Assumptions!$C$126),0,'Operating Model'!F55+(G623-'Operating Model'!F49)-G625-IF('Operating Model'!F$4=Assumptions!$C$126,IF(Assumptions!$C$136=1,-M624,G624-H624+L624),0)+IF(AND(Assumptions!$C$136&lt;&gt;1,'Operating Model'!F$4=Assumptions!$C$154),K624,0))</f>
        <v>5963486.77837839</v>
      </c>
      <c r="H626" s="22" t="n">
        <f aca="false">IFERROR(IRR(B626:G626),"N/A")</f>
        <v>0.0812607273806345</v>
      </c>
      <c r="I626" s="24" t="n">
        <f aca="false">SUM(C626:G626)/F624</f>
        <v>1.41810814393419</v>
      </c>
    </row>
    <row r="628" customFormat="false" ht="15" hidden="false" customHeight="false" outlineLevel="0" collapsed="false">
      <c r="A628" s="2" t="s">
        <v>1027</v>
      </c>
      <c r="C628" s="30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8" s="30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8" s="30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8" s="30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8" s="30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8" s="30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8" s="30" t="n">
        <f aca="false">H628-'Operating Model'!$B$42*1*(1+Assumptions!$C$18+0)^('Operating Model'!G$4-1)</f>
        <v>1247470.37207427</v>
      </c>
    </row>
    <row r="629" customFormat="false" ht="15" hidden="false" customHeight="false" outlineLevel="0" collapsed="false">
      <c r="A629" s="2" t="s">
        <v>1028</v>
      </c>
      <c r="B629" s="30" t="n">
        <f aca="false">Assumptions!$C$7*1</f>
        <v>13800000</v>
      </c>
      <c r="C629" s="30" t="n">
        <f aca="false">MAX(0,(Assumptions!$C$124+Assumptions!$C$127)-Assumptions!$C$132*B629)</f>
        <v>0</v>
      </c>
      <c r="D629" s="30" t="n">
        <f aca="false">Assumptions!$C$124-MAX(0,C629-Assumptions!$C$127)</f>
        <v>5887000</v>
      </c>
      <c r="E629" s="30" t="n">
        <f aca="false">Assumptions!$C$127-MIN(C629,Assumptions!$C$127)</f>
        <v>3563000</v>
      </c>
      <c r="F629" s="30" t="n">
        <f aca="false">B629*(1+Assumptions!$C$10)+'Unit Mix'!$D$18*(D$36/Assumptions!$C$35)+(D629+E629)*Assumptions!$C$131-(D629+E629)</f>
        <v>5095290</v>
      </c>
      <c r="G629" s="30" t="n">
        <f aca="false">IF(Assumptions!$C$130=1,D629+E629,-FV(Assumptions!$C$125,Assumptions!$C$126,PMT(Assumptions!$C$125,Assumptions!$C$111,D629),D629)-FV(Assumptions!$C$128,Assumptions!$C$126,PMT(Assumptions!$C$128,Assumptions!$C$111,E629),E629))</f>
        <v>9450000</v>
      </c>
      <c r="H629" s="30" t="n">
        <f aca="false">MIN(INDEX(C628:H628,Assumptions!$C$126+1)/Assumptions!$C$157*Assumptions!$C$108,INDEX(C628:H628,Assumptions!$C$126+1)/(Assumptions!$C$109*-PMT('Debt (Assumed)'!$B$99,Assumptions!$C$111,1)))</f>
        <v>9061400.88890073</v>
      </c>
      <c r="I629" s="30" t="n">
        <f aca="false">IF(MAX(0,Assumptions!$C$154-Assumptions!$C$126-'Debt (Assumed)'!$B$100)=0,H629,-FV('Debt (Assumed)'!$B$98,MAX(0,Assumptions!$C$154-Assumptions!$C$126-'Debt (Assumed)'!$B$100),PMT('Debt (Assumed)'!$B$98,Assumptions!$C$111,H629),H629))</f>
        <v>9061400.88890073</v>
      </c>
      <c r="J629" s="30" t="n">
        <f aca="false">I629*'Debt (Assumed)'!$B$102</f>
        <v>0</v>
      </c>
      <c r="K629" s="30" t="n">
        <f aca="false">I628/(Assumptions!$C$157+Returns!$B$35)*(1-Assumptions!$C$158)-I629-J629</f>
        <v>5642018.66051226</v>
      </c>
      <c r="L629" s="30" t="n">
        <f aca="false">H629*'Debt (Assumed)'!$B$101</f>
        <v>97863.1296001279</v>
      </c>
      <c r="M629" s="30" t="n">
        <f aca="false">(INDEX(C628:H628,Assumptions!$C$126+1)-'Operating Model'!$B$42*1*(1+Assumptions!$C$18+0)^Assumptions!$C$126)/(Assumptions!$C$157+Returns!$B$35)*(1-Assumptions!$C$158)-G629</f>
        <v>4901297.8267303</v>
      </c>
    </row>
    <row r="630" customFormat="false" ht="15" hidden="false" customHeight="false" outlineLevel="0" collapsed="false">
      <c r="A630" s="2" t="s">
        <v>1029</v>
      </c>
      <c r="C630" s="30" t="n">
        <f aca="false">IF('Operating Model'!B$4&lt;=Assumptions!$C$126,IF(Assumptions!$C$130=1,D629*Assumptions!$C$125+E629*Assumptions!$C$128,-PMT(Assumptions!$C$125,Assumptions!$C$111,D629)-PMT(Assumptions!$C$128,Assumptions!$C$111,E629)),IF(Assumptions!$C$136=1,0,IF('Operating Model'!B$4-Assumptions!$C$126&lt;='Debt (Assumed)'!$B$100,H629*'Debt (Assumed)'!$B$98,-PMT('Debt (Assumed)'!$B$98,Assumptions!$C$111,H629))))</f>
        <v>397516</v>
      </c>
      <c r="D630" s="30" t="n">
        <f aca="false">IF('Operating Model'!C$4&lt;=Assumptions!$C$126,IF(Assumptions!$C$130=1,D629*Assumptions!$C$125+E629*Assumptions!$C$128,-PMT(Assumptions!$C$125,Assumptions!$C$111,D629)-PMT(Assumptions!$C$128,Assumptions!$C$111,E629)),IF(Assumptions!$C$136=1,0,IF('Operating Model'!C$4-Assumptions!$C$126&lt;='Debt (Assumed)'!$B$100,H629*'Debt (Assumed)'!$B$98,-PMT('Debt (Assumed)'!$B$98,Assumptions!$C$111,H629))))</f>
        <v>397516</v>
      </c>
      <c r="E630" s="30" t="n">
        <f aca="false">IF('Operating Model'!D$4&lt;=Assumptions!$C$126,IF(Assumptions!$C$130=1,D629*Assumptions!$C$125+E629*Assumptions!$C$128,-PMT(Assumptions!$C$125,Assumptions!$C$111,D629)-PMT(Assumptions!$C$128,Assumptions!$C$111,E629)),IF(Assumptions!$C$136=1,0,IF('Operating Model'!D$4-Assumptions!$C$126&lt;='Debt (Assumed)'!$B$100,H629*'Debt (Assumed)'!$B$98,-PMT('Debt (Assumed)'!$B$98,Assumptions!$C$111,H629))))</f>
        <v>397516</v>
      </c>
      <c r="F630" s="30" t="n">
        <f aca="false">IF('Operating Model'!E$4&lt;=Assumptions!$C$126,IF(Assumptions!$C$130=1,D629*Assumptions!$C$125+E629*Assumptions!$C$128,-PMT(Assumptions!$C$125,Assumptions!$C$111,D629)-PMT(Assumptions!$C$128,Assumptions!$C$111,E629)),IF(Assumptions!$C$136=1,0,IF('Operating Model'!E$4-Assumptions!$C$126&lt;='Debt (Assumed)'!$B$100,H629*'Debt (Assumed)'!$B$98,-PMT('Debt (Assumed)'!$B$98,Assumptions!$C$111,H629))))</f>
        <v>610738.41991191</v>
      </c>
      <c r="G630" s="30" t="n">
        <f aca="false">IF('Operating Model'!F$4&lt;=Assumptions!$C$126,IF(Assumptions!$C$130=1,D629*Assumptions!$C$125+E629*Assumptions!$C$128,-PMT(Assumptions!$C$125,Assumptions!$C$111,D629)-PMT(Assumptions!$C$128,Assumptions!$C$111,E629)),IF(Assumptions!$C$136=1,0,IF('Operating Model'!F$4-Assumptions!$C$126&lt;='Debt (Assumed)'!$B$100,H629*'Debt (Assumed)'!$B$98,-PMT('Debt (Assumed)'!$B$98,Assumptions!$C$111,H629))))</f>
        <v>610738.41991191</v>
      </c>
    </row>
    <row r="631" customFormat="false" ht="15" hidden="false" customHeight="false" outlineLevel="0" collapsed="false">
      <c r="A631" s="2" t="s">
        <v>1030</v>
      </c>
      <c r="B631" s="30" t="n">
        <f aca="false">-F629</f>
        <v>-5095290</v>
      </c>
      <c r="C631" s="30" t="n">
        <f aca="false">IF(AND(Assumptions!$C$136=1,'Operating Model'!B$4&gt;Assumptions!$C$126),0,'Operating Model'!B55+(C628-'Operating Model'!B49)-C630-IF('Operating Model'!B$4=Assumptions!$C$126,IF(Assumptions!$C$136=1,-M629,G629-H629+L629),0)+IF(AND(Assumptions!$C$136&lt;&gt;1,'Operating Model'!B$4=Assumptions!$C$154),K629,0))</f>
        <v>470790.918496</v>
      </c>
      <c r="D631" s="30" t="n">
        <f aca="false">IF(AND(Assumptions!$C$136=1,'Operating Model'!C$4&gt;Assumptions!$C$126),0,'Operating Model'!C55+(D628-'Operating Model'!C49)-D630-IF('Operating Model'!C$4=Assumptions!$C$126,IF(Assumptions!$C$136=1,-M629,G629-H629+L629),0)+IF(AND(Assumptions!$C$136&lt;&gt;1,'Operating Model'!C$4=Assumptions!$C$154),K629,0))</f>
        <v>366654.001376455</v>
      </c>
      <c r="E631" s="30" t="n">
        <f aca="false">IF(AND(Assumptions!$C$136=1,'Operating Model'!D$4&gt;Assumptions!$C$126),0,'Operating Model'!D55+(E628-'Operating Model'!D49)-E630-IF('Operating Model'!D$4=Assumptions!$C$126,IF(Assumptions!$C$136=1,-M629,G629-H629+L629),0)+IF(AND(Assumptions!$C$136&lt;&gt;1,'Operating Model'!D$4=Assumptions!$C$154),K629,0))</f>
        <v>39057.8604187326</v>
      </c>
      <c r="F631" s="30" t="n">
        <f aca="false">IF(AND(Assumptions!$C$136=1,'Operating Model'!E$4&gt;Assumptions!$C$126),0,'Operating Model'!E55+(F628-'Operating Model'!E49)-F630-IF('Operating Model'!E$4=Assumptions!$C$126,IF(Assumptions!$C$136=1,-M629,G629-H629+L629),0)+IF(AND(Assumptions!$C$136&lt;&gt;1,'Operating Model'!E$4=Assumptions!$C$154),K629,0))</f>
        <v>316047.903737109</v>
      </c>
      <c r="G631" s="30" t="n">
        <f aca="false">IF(AND(Assumptions!$C$136=1,'Operating Model'!F$4&gt;Assumptions!$C$126),0,'Operating Model'!F55+(G628-'Operating Model'!F49)-G630-IF('Operating Model'!F$4=Assumptions!$C$126,IF(Assumptions!$C$136=1,-M629,G629-H629+L629),0)+IF(AND(Assumptions!$C$136&lt;&gt;1,'Operating Model'!F$4=Assumptions!$C$154),K629,0))</f>
        <v>5963486.77837839</v>
      </c>
      <c r="H631" s="22" t="n">
        <f aca="false">IFERROR(IRR(B631:G631),"N/A")</f>
        <v>0.0788901675768877</v>
      </c>
      <c r="I631" s="24" t="n">
        <f aca="false">SUM(C631:G631)/F629</f>
        <v>1.40444164363691</v>
      </c>
    </row>
    <row r="633" customFormat="false" ht="15" hidden="false" customHeight="false" outlineLevel="0" collapsed="false">
      <c r="A633" s="2" t="s">
        <v>1031</v>
      </c>
      <c r="C633" s="30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3" s="30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3" s="30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3" s="30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3" s="30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3" s="30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3" s="30" t="n">
        <f aca="false">H633-'Operating Model'!$B$42*1*(1+Assumptions!$C$18+0)^('Operating Model'!G$4-1)</f>
        <v>1247470.37207427</v>
      </c>
    </row>
    <row r="634" customFormat="false" ht="15" hidden="false" customHeight="false" outlineLevel="0" collapsed="false">
      <c r="A634" s="2" t="s">
        <v>1032</v>
      </c>
      <c r="B634" s="30" t="n">
        <f aca="false">Assumptions!$C$7*1</f>
        <v>13800000</v>
      </c>
      <c r="C634" s="30" t="n">
        <f aca="false">MAX(0,(Assumptions!$C$124+Assumptions!$C$127)-Assumptions!$C$132*B634)</f>
        <v>0</v>
      </c>
      <c r="D634" s="30" t="n">
        <f aca="false">Assumptions!$C$124-MAX(0,C634-Assumptions!$C$127)</f>
        <v>5887000</v>
      </c>
      <c r="E634" s="30" t="n">
        <f aca="false">Assumptions!$C$127-MIN(C634,Assumptions!$C$127)</f>
        <v>3563000</v>
      </c>
      <c r="F634" s="30" t="n">
        <f aca="false">B634*(1+Assumptions!$C$10)+'Unit Mix'!$D$18*(E$36/Assumptions!$C$35)+(D634+E634)*Assumptions!$C$131-(D634+E634)</f>
        <v>5144394</v>
      </c>
      <c r="G634" s="30" t="n">
        <f aca="false">IF(Assumptions!$C$130=1,D634+E634,-FV(Assumptions!$C$125,Assumptions!$C$126,PMT(Assumptions!$C$125,Assumptions!$C$111,D634),D634)-FV(Assumptions!$C$128,Assumptions!$C$126,PMT(Assumptions!$C$128,Assumptions!$C$111,E634),E634))</f>
        <v>9450000</v>
      </c>
      <c r="H634" s="30" t="n">
        <f aca="false">MIN(INDEX(C633:H633,Assumptions!$C$126+1)/Assumptions!$C$157*Assumptions!$C$108,INDEX(C633:H633,Assumptions!$C$126+1)/(Assumptions!$C$109*-PMT('Debt (Assumed)'!$B$99,Assumptions!$C$111,1)))</f>
        <v>9061400.88890073</v>
      </c>
      <c r="I634" s="30" t="n">
        <f aca="false">IF(MAX(0,Assumptions!$C$154-Assumptions!$C$126-'Debt (Assumed)'!$B$100)=0,H634,-FV('Debt (Assumed)'!$B$98,MAX(0,Assumptions!$C$154-Assumptions!$C$126-'Debt (Assumed)'!$B$100),PMT('Debt (Assumed)'!$B$98,Assumptions!$C$111,H634),H634))</f>
        <v>9061400.88890073</v>
      </c>
      <c r="J634" s="30" t="n">
        <f aca="false">I634*'Debt (Assumed)'!$B$102</f>
        <v>0</v>
      </c>
      <c r="K634" s="30" t="n">
        <f aca="false">I633/(Assumptions!$C$157+Returns!$B$35)*(1-Assumptions!$C$158)-I634-J634</f>
        <v>5642018.66051226</v>
      </c>
      <c r="L634" s="30" t="n">
        <f aca="false">H634*'Debt (Assumed)'!$B$101</f>
        <v>97863.1296001279</v>
      </c>
      <c r="M634" s="30" t="n">
        <f aca="false">(INDEX(C633:H633,Assumptions!$C$126+1)-'Operating Model'!$B$42*1*(1+Assumptions!$C$18+0)^Assumptions!$C$126)/(Assumptions!$C$157+Returns!$B$35)*(1-Assumptions!$C$158)-G634</f>
        <v>4901297.8267303</v>
      </c>
    </row>
    <row r="635" customFormat="false" ht="15" hidden="false" customHeight="false" outlineLevel="0" collapsed="false">
      <c r="A635" s="2" t="s">
        <v>1033</v>
      </c>
      <c r="C635" s="30" t="n">
        <f aca="false">IF('Operating Model'!B$4&lt;=Assumptions!$C$126,IF(Assumptions!$C$130=1,D634*Assumptions!$C$125+E634*Assumptions!$C$128,-PMT(Assumptions!$C$125,Assumptions!$C$111,D634)-PMT(Assumptions!$C$128,Assumptions!$C$111,E634)),IF(Assumptions!$C$136=1,0,IF('Operating Model'!B$4-Assumptions!$C$126&lt;='Debt (Assumed)'!$B$100,H634*'Debt (Assumed)'!$B$98,-PMT('Debt (Assumed)'!$B$98,Assumptions!$C$111,H634))))</f>
        <v>397516</v>
      </c>
      <c r="D635" s="30" t="n">
        <f aca="false">IF('Operating Model'!C$4&lt;=Assumptions!$C$126,IF(Assumptions!$C$130=1,D634*Assumptions!$C$125+E634*Assumptions!$C$128,-PMT(Assumptions!$C$125,Assumptions!$C$111,D634)-PMT(Assumptions!$C$128,Assumptions!$C$111,E634)),IF(Assumptions!$C$136=1,0,IF('Operating Model'!C$4-Assumptions!$C$126&lt;='Debt (Assumed)'!$B$100,H634*'Debt (Assumed)'!$B$98,-PMT('Debt (Assumed)'!$B$98,Assumptions!$C$111,H634))))</f>
        <v>397516</v>
      </c>
      <c r="E635" s="30" t="n">
        <f aca="false">IF('Operating Model'!D$4&lt;=Assumptions!$C$126,IF(Assumptions!$C$130=1,D634*Assumptions!$C$125+E634*Assumptions!$C$128,-PMT(Assumptions!$C$125,Assumptions!$C$111,D634)-PMT(Assumptions!$C$128,Assumptions!$C$111,E634)),IF(Assumptions!$C$136=1,0,IF('Operating Model'!D$4-Assumptions!$C$126&lt;='Debt (Assumed)'!$B$100,H634*'Debt (Assumed)'!$B$98,-PMT('Debt (Assumed)'!$B$98,Assumptions!$C$111,H634))))</f>
        <v>397516</v>
      </c>
      <c r="F635" s="30" t="n">
        <f aca="false">IF('Operating Model'!E$4&lt;=Assumptions!$C$126,IF(Assumptions!$C$130=1,D634*Assumptions!$C$125+E634*Assumptions!$C$128,-PMT(Assumptions!$C$125,Assumptions!$C$111,D634)-PMT(Assumptions!$C$128,Assumptions!$C$111,E634)),IF(Assumptions!$C$136=1,0,IF('Operating Model'!E$4-Assumptions!$C$126&lt;='Debt (Assumed)'!$B$100,H634*'Debt (Assumed)'!$B$98,-PMT('Debt (Assumed)'!$B$98,Assumptions!$C$111,H634))))</f>
        <v>610738.41991191</v>
      </c>
      <c r="G635" s="30" t="n">
        <f aca="false">IF('Operating Model'!F$4&lt;=Assumptions!$C$126,IF(Assumptions!$C$130=1,D634*Assumptions!$C$125+E634*Assumptions!$C$128,-PMT(Assumptions!$C$125,Assumptions!$C$111,D634)-PMT(Assumptions!$C$128,Assumptions!$C$111,E634)),IF(Assumptions!$C$136=1,0,IF('Operating Model'!F$4-Assumptions!$C$126&lt;='Debt (Assumed)'!$B$100,H634*'Debt (Assumed)'!$B$98,-PMT('Debt (Assumed)'!$B$98,Assumptions!$C$111,H634))))</f>
        <v>610738.41991191</v>
      </c>
    </row>
    <row r="636" customFormat="false" ht="15" hidden="false" customHeight="false" outlineLevel="0" collapsed="false">
      <c r="A636" s="2" t="s">
        <v>1034</v>
      </c>
      <c r="B636" s="30" t="n">
        <f aca="false">-F634</f>
        <v>-5144394</v>
      </c>
      <c r="C636" s="30" t="n">
        <f aca="false">IF(AND(Assumptions!$C$136=1,'Operating Model'!B$4&gt;Assumptions!$C$126),0,'Operating Model'!B55+(C633-'Operating Model'!B49)-C635-IF('Operating Model'!B$4=Assumptions!$C$126,IF(Assumptions!$C$136=1,-M634,G634-H634+L634),0)+IF(AND(Assumptions!$C$136&lt;&gt;1,'Operating Model'!B$4=Assumptions!$C$154),K634,0))</f>
        <v>470790.918496</v>
      </c>
      <c r="D636" s="30" t="n">
        <f aca="false">IF(AND(Assumptions!$C$136=1,'Operating Model'!C$4&gt;Assumptions!$C$126),0,'Operating Model'!C55+(D633-'Operating Model'!C49)-D635-IF('Operating Model'!C$4=Assumptions!$C$126,IF(Assumptions!$C$136=1,-M634,G634-H634+L634),0)+IF(AND(Assumptions!$C$136&lt;&gt;1,'Operating Model'!C$4=Assumptions!$C$154),K634,0))</f>
        <v>366654.001376455</v>
      </c>
      <c r="E636" s="30" t="n">
        <f aca="false">IF(AND(Assumptions!$C$136=1,'Operating Model'!D$4&gt;Assumptions!$C$126),0,'Operating Model'!D55+(E633-'Operating Model'!D49)-E635-IF('Operating Model'!D$4=Assumptions!$C$126,IF(Assumptions!$C$136=1,-M634,G634-H634+L634),0)+IF(AND(Assumptions!$C$136&lt;&gt;1,'Operating Model'!D$4=Assumptions!$C$154),K634,0))</f>
        <v>39057.8604187326</v>
      </c>
      <c r="F636" s="30" t="n">
        <f aca="false">IF(AND(Assumptions!$C$136=1,'Operating Model'!E$4&gt;Assumptions!$C$126),0,'Operating Model'!E55+(F633-'Operating Model'!E49)-F635-IF('Operating Model'!E$4=Assumptions!$C$126,IF(Assumptions!$C$136=1,-M634,G634-H634+L634),0)+IF(AND(Assumptions!$C$136&lt;&gt;1,'Operating Model'!E$4=Assumptions!$C$154),K634,0))</f>
        <v>316047.903737109</v>
      </c>
      <c r="G636" s="30" t="n">
        <f aca="false">IF(AND(Assumptions!$C$136=1,'Operating Model'!F$4&gt;Assumptions!$C$126),0,'Operating Model'!F55+(G633-'Operating Model'!F49)-G635-IF('Operating Model'!F$4=Assumptions!$C$126,IF(Assumptions!$C$136=1,-M634,G634-H634+L634),0)+IF(AND(Assumptions!$C$136&lt;&gt;1,'Operating Model'!F$4=Assumptions!$C$154),K634,0))</f>
        <v>5963486.77837839</v>
      </c>
      <c r="H636" s="22" t="n">
        <f aca="false">IFERROR(IRR(B636:G636),"N/A")</f>
        <v>0.0765493799187636</v>
      </c>
      <c r="I636" s="24" t="n">
        <f aca="false">SUM(C636:G636)/F634</f>
        <v>1.39103604086442</v>
      </c>
    </row>
    <row r="638" customFormat="false" ht="15" hidden="false" customHeight="false" outlineLevel="0" collapsed="false">
      <c r="A638" s="2" t="s">
        <v>1035</v>
      </c>
      <c r="C638" s="30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8" s="30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8" s="30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8" s="30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8" s="30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8" s="30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8" s="30" t="n">
        <f aca="false">H638-'Operating Model'!$B$42*1*(1+Assumptions!$C$18+0)^('Operating Model'!G$4-1)</f>
        <v>1247470.37207427</v>
      </c>
    </row>
    <row r="639" customFormat="false" ht="15" hidden="false" customHeight="false" outlineLevel="0" collapsed="false">
      <c r="A639" s="2" t="s">
        <v>1036</v>
      </c>
      <c r="B639" s="30" t="n">
        <f aca="false">Assumptions!$C$7*1</f>
        <v>13800000</v>
      </c>
      <c r="C639" s="30" t="n">
        <f aca="false">MAX(0,(Assumptions!$C$124+Assumptions!$C$127)-Assumptions!$C$132*B639)</f>
        <v>0</v>
      </c>
      <c r="D639" s="30" t="n">
        <f aca="false">Assumptions!$C$124-MAX(0,C639-Assumptions!$C$127)</f>
        <v>5887000</v>
      </c>
      <c r="E639" s="30" t="n">
        <f aca="false">Assumptions!$C$127-MIN(C639,Assumptions!$C$127)</f>
        <v>3563000</v>
      </c>
      <c r="F639" s="30" t="n">
        <f aca="false">B639*(1+Assumptions!$C$10)+'Unit Mix'!$D$18*(F$36/Assumptions!$C$35)+(D639+E639)*Assumptions!$C$131-(D639+E639)</f>
        <v>5193498</v>
      </c>
      <c r="G639" s="30" t="n">
        <f aca="false">IF(Assumptions!$C$130=1,D639+E639,-FV(Assumptions!$C$125,Assumptions!$C$126,PMT(Assumptions!$C$125,Assumptions!$C$111,D639),D639)-FV(Assumptions!$C$128,Assumptions!$C$126,PMT(Assumptions!$C$128,Assumptions!$C$111,E639),E639))</f>
        <v>9450000</v>
      </c>
      <c r="H639" s="30" t="n">
        <f aca="false">MIN(INDEX(C638:H638,Assumptions!$C$126+1)/Assumptions!$C$157*Assumptions!$C$108,INDEX(C638:H638,Assumptions!$C$126+1)/(Assumptions!$C$109*-PMT('Debt (Assumed)'!$B$99,Assumptions!$C$111,1)))</f>
        <v>9061400.88890073</v>
      </c>
      <c r="I639" s="30" t="n">
        <f aca="false">IF(MAX(0,Assumptions!$C$154-Assumptions!$C$126-'Debt (Assumed)'!$B$100)=0,H639,-FV('Debt (Assumed)'!$B$98,MAX(0,Assumptions!$C$154-Assumptions!$C$126-'Debt (Assumed)'!$B$100),PMT('Debt (Assumed)'!$B$98,Assumptions!$C$111,H639),H639))</f>
        <v>9061400.88890073</v>
      </c>
      <c r="J639" s="30" t="n">
        <f aca="false">I639*'Debt (Assumed)'!$B$102</f>
        <v>0</v>
      </c>
      <c r="K639" s="30" t="n">
        <f aca="false">I638/(Assumptions!$C$157+Returns!$B$35)*(1-Assumptions!$C$158)-I639-J639</f>
        <v>5642018.66051226</v>
      </c>
      <c r="L639" s="30" t="n">
        <f aca="false">H639*'Debt (Assumed)'!$B$101</f>
        <v>97863.1296001279</v>
      </c>
      <c r="M639" s="30" t="n">
        <f aca="false">(INDEX(C638:H638,Assumptions!$C$126+1)-'Operating Model'!$B$42*1*(1+Assumptions!$C$18+0)^Assumptions!$C$126)/(Assumptions!$C$157+Returns!$B$35)*(1-Assumptions!$C$158)-G639</f>
        <v>4901297.8267303</v>
      </c>
    </row>
    <row r="640" customFormat="false" ht="15" hidden="false" customHeight="false" outlineLevel="0" collapsed="false">
      <c r="A640" s="2" t="s">
        <v>1037</v>
      </c>
      <c r="C640" s="30" t="n">
        <f aca="false">IF('Operating Model'!B$4&lt;=Assumptions!$C$126,IF(Assumptions!$C$130=1,D639*Assumptions!$C$125+E639*Assumptions!$C$128,-PMT(Assumptions!$C$125,Assumptions!$C$111,D639)-PMT(Assumptions!$C$128,Assumptions!$C$111,E639)),IF(Assumptions!$C$136=1,0,IF('Operating Model'!B$4-Assumptions!$C$126&lt;='Debt (Assumed)'!$B$100,H639*'Debt (Assumed)'!$B$98,-PMT('Debt (Assumed)'!$B$98,Assumptions!$C$111,H639))))</f>
        <v>397516</v>
      </c>
      <c r="D640" s="30" t="n">
        <f aca="false">IF('Operating Model'!C$4&lt;=Assumptions!$C$126,IF(Assumptions!$C$130=1,D639*Assumptions!$C$125+E639*Assumptions!$C$128,-PMT(Assumptions!$C$125,Assumptions!$C$111,D639)-PMT(Assumptions!$C$128,Assumptions!$C$111,E639)),IF(Assumptions!$C$136=1,0,IF('Operating Model'!C$4-Assumptions!$C$126&lt;='Debt (Assumed)'!$B$100,H639*'Debt (Assumed)'!$B$98,-PMT('Debt (Assumed)'!$B$98,Assumptions!$C$111,H639))))</f>
        <v>397516</v>
      </c>
      <c r="E640" s="30" t="n">
        <f aca="false">IF('Operating Model'!D$4&lt;=Assumptions!$C$126,IF(Assumptions!$C$130=1,D639*Assumptions!$C$125+E639*Assumptions!$C$128,-PMT(Assumptions!$C$125,Assumptions!$C$111,D639)-PMT(Assumptions!$C$128,Assumptions!$C$111,E639)),IF(Assumptions!$C$136=1,0,IF('Operating Model'!D$4-Assumptions!$C$126&lt;='Debt (Assumed)'!$B$100,H639*'Debt (Assumed)'!$B$98,-PMT('Debt (Assumed)'!$B$98,Assumptions!$C$111,H639))))</f>
        <v>397516</v>
      </c>
      <c r="F640" s="30" t="n">
        <f aca="false">IF('Operating Model'!E$4&lt;=Assumptions!$C$126,IF(Assumptions!$C$130=1,D639*Assumptions!$C$125+E639*Assumptions!$C$128,-PMT(Assumptions!$C$125,Assumptions!$C$111,D639)-PMT(Assumptions!$C$128,Assumptions!$C$111,E639)),IF(Assumptions!$C$136=1,0,IF('Operating Model'!E$4-Assumptions!$C$126&lt;='Debt (Assumed)'!$B$100,H639*'Debt (Assumed)'!$B$98,-PMT('Debt (Assumed)'!$B$98,Assumptions!$C$111,H639))))</f>
        <v>610738.41991191</v>
      </c>
      <c r="G640" s="30" t="n">
        <f aca="false">IF('Operating Model'!F$4&lt;=Assumptions!$C$126,IF(Assumptions!$C$130=1,D639*Assumptions!$C$125+E639*Assumptions!$C$128,-PMT(Assumptions!$C$125,Assumptions!$C$111,D639)-PMT(Assumptions!$C$128,Assumptions!$C$111,E639)),IF(Assumptions!$C$136=1,0,IF('Operating Model'!F$4-Assumptions!$C$126&lt;='Debt (Assumed)'!$B$100,H639*'Debt (Assumed)'!$B$98,-PMT('Debt (Assumed)'!$B$98,Assumptions!$C$111,H639))))</f>
        <v>610738.41991191</v>
      </c>
    </row>
    <row r="641" customFormat="false" ht="15" hidden="false" customHeight="false" outlineLevel="0" collapsed="false">
      <c r="A641" s="2" t="s">
        <v>1038</v>
      </c>
      <c r="B641" s="30" t="n">
        <f aca="false">-F639</f>
        <v>-5193498</v>
      </c>
      <c r="C641" s="30" t="n">
        <f aca="false">IF(AND(Assumptions!$C$136=1,'Operating Model'!B$4&gt;Assumptions!$C$126),0,'Operating Model'!B55+(C638-'Operating Model'!B49)-C640-IF('Operating Model'!B$4=Assumptions!$C$126,IF(Assumptions!$C$136=1,-M639,G639-H639+L639),0)+IF(AND(Assumptions!$C$136&lt;&gt;1,'Operating Model'!B$4=Assumptions!$C$154),K639,0))</f>
        <v>470790.918496</v>
      </c>
      <c r="D641" s="30" t="n">
        <f aca="false">IF(AND(Assumptions!$C$136=1,'Operating Model'!C$4&gt;Assumptions!$C$126),0,'Operating Model'!C55+(D638-'Operating Model'!C49)-D640-IF('Operating Model'!C$4=Assumptions!$C$126,IF(Assumptions!$C$136=1,-M639,G639-H639+L639),0)+IF(AND(Assumptions!$C$136&lt;&gt;1,'Operating Model'!C$4=Assumptions!$C$154),K639,0))</f>
        <v>366654.001376455</v>
      </c>
      <c r="E641" s="30" t="n">
        <f aca="false">IF(AND(Assumptions!$C$136=1,'Operating Model'!D$4&gt;Assumptions!$C$126),0,'Operating Model'!D55+(E638-'Operating Model'!D49)-E640-IF('Operating Model'!D$4=Assumptions!$C$126,IF(Assumptions!$C$136=1,-M639,G639-H639+L639),0)+IF(AND(Assumptions!$C$136&lt;&gt;1,'Operating Model'!D$4=Assumptions!$C$154),K639,0))</f>
        <v>39057.8604187326</v>
      </c>
      <c r="F641" s="30" t="n">
        <f aca="false">IF(AND(Assumptions!$C$136=1,'Operating Model'!E$4&gt;Assumptions!$C$126),0,'Operating Model'!E55+(F638-'Operating Model'!E49)-F640-IF('Operating Model'!E$4=Assumptions!$C$126,IF(Assumptions!$C$136=1,-M639,G639-H639+L639),0)+IF(AND(Assumptions!$C$136&lt;&gt;1,'Operating Model'!E$4=Assumptions!$C$154),K639,0))</f>
        <v>316047.903737109</v>
      </c>
      <c r="G641" s="30" t="n">
        <f aca="false">IF(AND(Assumptions!$C$136=1,'Operating Model'!F$4&gt;Assumptions!$C$126),0,'Operating Model'!F55+(G638-'Operating Model'!F49)-G640-IF('Operating Model'!F$4=Assumptions!$C$126,IF(Assumptions!$C$136=1,-M639,G639-H639+L639),0)+IF(AND(Assumptions!$C$136&lt;&gt;1,'Operating Model'!F$4=Assumptions!$C$154),K639,0))</f>
        <v>5963486.77837839</v>
      </c>
      <c r="H641" s="22" t="n">
        <f aca="false">IFERROR(IRR(B641:G641),"N/A")</f>
        <v>0.0742376943880193</v>
      </c>
      <c r="I641" s="24" t="n">
        <f aca="false">SUM(C641:G641)/F639</f>
        <v>1.37788393533736</v>
      </c>
    </row>
    <row r="643" customFormat="false" ht="15" hidden="false" customHeight="false" outlineLevel="0" collapsed="false">
      <c r="A643" s="2" t="s">
        <v>1039</v>
      </c>
      <c r="C643" s="30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3" s="30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3" s="30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3" s="30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3" s="30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3" s="30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3" s="30" t="n">
        <f aca="false">H643-'Operating Model'!$B$42*1*(1+Assumptions!$C$18+0)^('Operating Model'!G$4-1)</f>
        <v>1260254.69207427</v>
      </c>
    </row>
    <row r="644" customFormat="false" ht="15" hidden="false" customHeight="false" outlineLevel="0" collapsed="false">
      <c r="A644" s="2" t="s">
        <v>1040</v>
      </c>
      <c r="B644" s="30" t="n">
        <f aca="false">Assumptions!$C$7*1</f>
        <v>13800000</v>
      </c>
      <c r="C644" s="30" t="n">
        <f aca="false">MAX(0,(Assumptions!$C$124+Assumptions!$C$127)-Assumptions!$C$132*B644)</f>
        <v>0</v>
      </c>
      <c r="D644" s="30" t="n">
        <f aca="false">Assumptions!$C$124-MAX(0,C644-Assumptions!$C$127)</f>
        <v>5887000</v>
      </c>
      <c r="E644" s="30" t="n">
        <f aca="false">Assumptions!$C$127-MIN(C644,Assumptions!$C$127)</f>
        <v>3563000</v>
      </c>
      <c r="F644" s="30" t="n">
        <f aca="false">B644*(1+Assumptions!$C$10)+'Unit Mix'!$D$18*(B$36/Assumptions!$C$35)+(D644+E644)*Assumptions!$C$131-(D644+E644)</f>
        <v>4997082</v>
      </c>
      <c r="G644" s="30" t="n">
        <f aca="false">IF(Assumptions!$C$130=1,D644+E644,-FV(Assumptions!$C$125,Assumptions!$C$126,PMT(Assumptions!$C$125,Assumptions!$C$111,D644),D644)-FV(Assumptions!$C$128,Assumptions!$C$126,PMT(Assumptions!$C$128,Assumptions!$C$111,E644),E644))</f>
        <v>9450000</v>
      </c>
      <c r="H644" s="30" t="n">
        <f aca="false">MIN(INDEX(C643:H643,Assumptions!$C$126+1)/Assumptions!$C$157*Assumptions!$C$108,INDEX(C643:H643,Assumptions!$C$126+1)/(Assumptions!$C$109*-PMT('Debt (Assumed)'!$B$99,Assumptions!$C$111,1)))</f>
        <v>9182191.09477498</v>
      </c>
      <c r="I644" s="30" t="n">
        <f aca="false">IF(MAX(0,Assumptions!$C$154-Assumptions!$C$126-'Debt (Assumed)'!$B$100)=0,H644,-FV('Debt (Assumed)'!$B$98,MAX(0,Assumptions!$C$154-Assumptions!$C$126-'Debt (Assumed)'!$B$100),PMT('Debt (Assumed)'!$B$98,Assumptions!$C$111,H644),H644))</f>
        <v>9182191.09477498</v>
      </c>
      <c r="J644" s="30" t="n">
        <f aca="false">I644*'Debt (Assumed)'!$B$102</f>
        <v>0</v>
      </c>
      <c r="K644" s="30" t="n">
        <f aca="false">I643/(Assumptions!$C$157+Returns!$B$35)*(1-Assumptions!$C$158)-I644-J644</f>
        <v>5671911.96971132</v>
      </c>
      <c r="L644" s="30" t="n">
        <f aca="false">H644*'Debt (Assumed)'!$B$101</f>
        <v>99167.6638235698</v>
      </c>
      <c r="M644" s="30" t="n">
        <f aca="false">(INDEX(C643:H643,Assumptions!$C$126+1)-'Operating Model'!$B$42*1*(1+Assumptions!$C$18+0)^Assumptions!$C$126)/(Assumptions!$C$157+Returns!$B$35)*(1-Assumptions!$C$158)-G644</f>
        <v>5051981.3418036</v>
      </c>
    </row>
    <row r="645" customFormat="false" ht="15" hidden="false" customHeight="false" outlineLevel="0" collapsed="false">
      <c r="A645" s="2" t="s">
        <v>1041</v>
      </c>
      <c r="C645" s="30" t="n">
        <f aca="false">IF('Operating Model'!B$4&lt;=Assumptions!$C$126,IF(Assumptions!$C$130=1,D644*Assumptions!$C$125+E644*Assumptions!$C$128,-PMT(Assumptions!$C$125,Assumptions!$C$111,D644)-PMT(Assumptions!$C$128,Assumptions!$C$111,E644)),IF(Assumptions!$C$136=1,0,IF('Operating Model'!B$4-Assumptions!$C$126&lt;='Debt (Assumed)'!$B$100,H644*'Debt (Assumed)'!$B$98,-PMT('Debt (Assumed)'!$B$98,Assumptions!$C$111,H644))))</f>
        <v>397516</v>
      </c>
      <c r="D645" s="30" t="n">
        <f aca="false">IF('Operating Model'!C$4&lt;=Assumptions!$C$126,IF(Assumptions!$C$130=1,D644*Assumptions!$C$125+E644*Assumptions!$C$128,-PMT(Assumptions!$C$125,Assumptions!$C$111,D644)-PMT(Assumptions!$C$128,Assumptions!$C$111,E644)),IF(Assumptions!$C$136=1,0,IF('Operating Model'!C$4-Assumptions!$C$126&lt;='Debt (Assumed)'!$B$100,H644*'Debt (Assumed)'!$B$98,-PMT('Debt (Assumed)'!$B$98,Assumptions!$C$111,H644))))</f>
        <v>397516</v>
      </c>
      <c r="E645" s="30" t="n">
        <f aca="false">IF('Operating Model'!D$4&lt;=Assumptions!$C$126,IF(Assumptions!$C$130=1,D644*Assumptions!$C$125+E644*Assumptions!$C$128,-PMT(Assumptions!$C$125,Assumptions!$C$111,D644)-PMT(Assumptions!$C$128,Assumptions!$C$111,E644)),IF(Assumptions!$C$136=1,0,IF('Operating Model'!D$4-Assumptions!$C$126&lt;='Debt (Assumed)'!$B$100,H644*'Debt (Assumed)'!$B$98,-PMT('Debt (Assumed)'!$B$98,Assumptions!$C$111,H644))))</f>
        <v>397516</v>
      </c>
      <c r="F645" s="30" t="n">
        <f aca="false">IF('Operating Model'!E$4&lt;=Assumptions!$C$126,IF(Assumptions!$C$130=1,D644*Assumptions!$C$125+E644*Assumptions!$C$128,-PMT(Assumptions!$C$125,Assumptions!$C$111,D644)-PMT(Assumptions!$C$128,Assumptions!$C$111,E644)),IF(Assumptions!$C$136=1,0,IF('Operating Model'!E$4-Assumptions!$C$126&lt;='Debt (Assumed)'!$B$100,H644*'Debt (Assumed)'!$B$98,-PMT('Debt (Assumed)'!$B$98,Assumptions!$C$111,H644))))</f>
        <v>618879.679787834</v>
      </c>
      <c r="G645" s="30" t="n">
        <f aca="false">IF('Operating Model'!F$4&lt;=Assumptions!$C$126,IF(Assumptions!$C$130=1,D644*Assumptions!$C$125+E644*Assumptions!$C$128,-PMT(Assumptions!$C$125,Assumptions!$C$111,D644)-PMT(Assumptions!$C$128,Assumptions!$C$111,E644)),IF(Assumptions!$C$136=1,0,IF('Operating Model'!F$4-Assumptions!$C$126&lt;='Debt (Assumed)'!$B$100,H644*'Debt (Assumed)'!$B$98,-PMT('Debt (Assumed)'!$B$98,Assumptions!$C$111,H644))))</f>
        <v>618879.679787834</v>
      </c>
    </row>
    <row r="646" customFormat="false" ht="15" hidden="false" customHeight="false" outlineLevel="0" collapsed="false">
      <c r="A646" s="2" t="s">
        <v>1042</v>
      </c>
      <c r="B646" s="30" t="n">
        <f aca="false">-F644</f>
        <v>-4997082</v>
      </c>
      <c r="C646" s="30" t="n">
        <f aca="false">IF(AND(Assumptions!$C$136=1,'Operating Model'!B$4&gt;Assumptions!$C$126),0,'Operating Model'!B55+(C643-'Operating Model'!B49)-C645-IF('Operating Model'!B$4=Assumptions!$C$126,IF(Assumptions!$C$136=1,-M644,G644-H644+L644),0)+IF(AND(Assumptions!$C$136&lt;&gt;1,'Operating Model'!B$4=Assumptions!$C$154),K644,0))</f>
        <v>477183.078496</v>
      </c>
      <c r="D646" s="30" t="n">
        <f aca="false">IF(AND(Assumptions!$C$136=1,'Operating Model'!C$4&gt;Assumptions!$C$126),0,'Operating Model'!C55+(D643-'Operating Model'!C49)-D645-IF('Operating Model'!C$4=Assumptions!$C$126,IF(Assumptions!$C$136=1,-M644,G644-H644+L644),0)+IF(AND(Assumptions!$C$136&lt;&gt;1,'Operating Model'!C$4=Assumptions!$C$154),K644,0))</f>
        <v>379438.321376455</v>
      </c>
      <c r="E646" s="30" t="n">
        <f aca="false">IF(AND(Assumptions!$C$136=1,'Operating Model'!D$4&gt;Assumptions!$C$126),0,'Operating Model'!D55+(E643-'Operating Model'!D49)-E645-IF('Operating Model'!D$4=Assumptions!$C$126,IF(Assumptions!$C$136=1,-M644,G644-H644+L644),0)+IF(AND(Assumptions!$C$136&lt;&gt;1,'Operating Model'!D$4=Assumptions!$C$154),K644,0))</f>
        <v>171327.852069536</v>
      </c>
      <c r="F646" s="30" t="n">
        <f aca="false">IF(AND(Assumptions!$C$136=1,'Operating Model'!E$4&gt;Assumptions!$C$126),0,'Operating Model'!E55+(F643-'Operating Model'!E49)-F645-IF('Operating Model'!E$4=Assumptions!$C$126,IF(Assumptions!$C$136=1,-M644,G644-H644+L644),0)+IF(AND(Assumptions!$C$136&lt;&gt;1,'Operating Model'!E$4=Assumptions!$C$154),K644,0))</f>
        <v>320690.963861185</v>
      </c>
      <c r="G646" s="30" t="n">
        <f aca="false">IF(AND(Assumptions!$C$136=1,'Operating Model'!F$4&gt;Assumptions!$C$126),0,'Operating Model'!F55+(G643-'Operating Model'!F49)-G645-IF('Operating Model'!F$4=Assumptions!$C$126,IF(Assumptions!$C$136=1,-M644,G644-H644+L644),0)+IF(AND(Assumptions!$C$136&lt;&gt;1,'Operating Model'!F$4=Assumptions!$C$154),K644,0))</f>
        <v>5998023.14770153</v>
      </c>
      <c r="H646" s="22" t="n">
        <f aca="false">IFERROR(IRR(B646:G646),"N/A")</f>
        <v>0.0908916831640057</v>
      </c>
      <c r="I646" s="24" t="n">
        <f aca="false">SUM(C646:G646)/F644</f>
        <v>1.47019067597944</v>
      </c>
    </row>
    <row r="648" customFormat="false" ht="15" hidden="false" customHeight="false" outlineLevel="0" collapsed="false">
      <c r="A648" s="2" t="s">
        <v>1043</v>
      </c>
      <c r="C648" s="30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8" s="30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8" s="30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8" s="30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8" s="30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8" s="30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8" s="30" t="n">
        <f aca="false">H648-'Operating Model'!$B$42*1*(1+Assumptions!$C$18+0)^('Operating Model'!G$4-1)</f>
        <v>1260254.69207427</v>
      </c>
    </row>
    <row r="649" customFormat="false" ht="15" hidden="false" customHeight="false" outlineLevel="0" collapsed="false">
      <c r="A649" s="2" t="s">
        <v>1044</v>
      </c>
      <c r="B649" s="30" t="n">
        <f aca="false">Assumptions!$C$7*1</f>
        <v>13800000</v>
      </c>
      <c r="C649" s="30" t="n">
        <f aca="false">MAX(0,(Assumptions!$C$124+Assumptions!$C$127)-Assumptions!$C$132*B649)</f>
        <v>0</v>
      </c>
      <c r="D649" s="30" t="n">
        <f aca="false">Assumptions!$C$124-MAX(0,C649-Assumptions!$C$127)</f>
        <v>5887000</v>
      </c>
      <c r="E649" s="30" t="n">
        <f aca="false">Assumptions!$C$127-MIN(C649,Assumptions!$C$127)</f>
        <v>3563000</v>
      </c>
      <c r="F649" s="30" t="n">
        <f aca="false">B649*(1+Assumptions!$C$10)+'Unit Mix'!$D$18*(C$36/Assumptions!$C$35)+(D649+E649)*Assumptions!$C$131-(D649+E649)</f>
        <v>5046186</v>
      </c>
      <c r="G649" s="30" t="n">
        <f aca="false">IF(Assumptions!$C$130=1,D649+E649,-FV(Assumptions!$C$125,Assumptions!$C$126,PMT(Assumptions!$C$125,Assumptions!$C$111,D649),D649)-FV(Assumptions!$C$128,Assumptions!$C$126,PMT(Assumptions!$C$128,Assumptions!$C$111,E649),E649))</f>
        <v>9450000</v>
      </c>
      <c r="H649" s="30" t="n">
        <f aca="false">MIN(INDEX(C648:H648,Assumptions!$C$126+1)/Assumptions!$C$157*Assumptions!$C$108,INDEX(C648:H648,Assumptions!$C$126+1)/(Assumptions!$C$109*-PMT('Debt (Assumed)'!$B$99,Assumptions!$C$111,1)))</f>
        <v>9182191.09477498</v>
      </c>
      <c r="I649" s="30" t="n">
        <f aca="false">IF(MAX(0,Assumptions!$C$154-Assumptions!$C$126-'Debt (Assumed)'!$B$100)=0,H649,-FV('Debt (Assumed)'!$B$98,MAX(0,Assumptions!$C$154-Assumptions!$C$126-'Debt (Assumed)'!$B$100),PMT('Debt (Assumed)'!$B$98,Assumptions!$C$111,H649),H649))</f>
        <v>9182191.09477498</v>
      </c>
      <c r="J649" s="30" t="n">
        <f aca="false">I649*'Debt (Assumed)'!$B$102</f>
        <v>0</v>
      </c>
      <c r="K649" s="30" t="n">
        <f aca="false">I648/(Assumptions!$C$157+Returns!$B$35)*(1-Assumptions!$C$158)-I649-J649</f>
        <v>5671911.96971132</v>
      </c>
      <c r="L649" s="30" t="n">
        <f aca="false">H649*'Debt (Assumed)'!$B$101</f>
        <v>99167.6638235698</v>
      </c>
      <c r="M649" s="30" t="n">
        <f aca="false">(INDEX(C648:H648,Assumptions!$C$126+1)-'Operating Model'!$B$42*1*(1+Assumptions!$C$18+0)^Assumptions!$C$126)/(Assumptions!$C$157+Returns!$B$35)*(1-Assumptions!$C$158)-G649</f>
        <v>5051981.3418036</v>
      </c>
    </row>
    <row r="650" customFormat="false" ht="15" hidden="false" customHeight="false" outlineLevel="0" collapsed="false">
      <c r="A650" s="2" t="s">
        <v>1045</v>
      </c>
      <c r="C650" s="30" t="n">
        <f aca="false">IF('Operating Model'!B$4&lt;=Assumptions!$C$126,IF(Assumptions!$C$130=1,D649*Assumptions!$C$125+E649*Assumptions!$C$128,-PMT(Assumptions!$C$125,Assumptions!$C$111,D649)-PMT(Assumptions!$C$128,Assumptions!$C$111,E649)),IF(Assumptions!$C$136=1,0,IF('Operating Model'!B$4-Assumptions!$C$126&lt;='Debt (Assumed)'!$B$100,H649*'Debt (Assumed)'!$B$98,-PMT('Debt (Assumed)'!$B$98,Assumptions!$C$111,H649))))</f>
        <v>397516</v>
      </c>
      <c r="D650" s="30" t="n">
        <f aca="false">IF('Operating Model'!C$4&lt;=Assumptions!$C$126,IF(Assumptions!$C$130=1,D649*Assumptions!$C$125+E649*Assumptions!$C$128,-PMT(Assumptions!$C$125,Assumptions!$C$111,D649)-PMT(Assumptions!$C$128,Assumptions!$C$111,E649)),IF(Assumptions!$C$136=1,0,IF('Operating Model'!C$4-Assumptions!$C$126&lt;='Debt (Assumed)'!$B$100,H649*'Debt (Assumed)'!$B$98,-PMT('Debt (Assumed)'!$B$98,Assumptions!$C$111,H649))))</f>
        <v>397516</v>
      </c>
      <c r="E650" s="30" t="n">
        <f aca="false">IF('Operating Model'!D$4&lt;=Assumptions!$C$126,IF(Assumptions!$C$130=1,D649*Assumptions!$C$125+E649*Assumptions!$C$128,-PMT(Assumptions!$C$125,Assumptions!$C$111,D649)-PMT(Assumptions!$C$128,Assumptions!$C$111,E649)),IF(Assumptions!$C$136=1,0,IF('Operating Model'!D$4-Assumptions!$C$126&lt;='Debt (Assumed)'!$B$100,H649*'Debt (Assumed)'!$B$98,-PMT('Debt (Assumed)'!$B$98,Assumptions!$C$111,H649))))</f>
        <v>397516</v>
      </c>
      <c r="F650" s="30" t="n">
        <f aca="false">IF('Operating Model'!E$4&lt;=Assumptions!$C$126,IF(Assumptions!$C$130=1,D649*Assumptions!$C$125+E649*Assumptions!$C$128,-PMT(Assumptions!$C$125,Assumptions!$C$111,D649)-PMT(Assumptions!$C$128,Assumptions!$C$111,E649)),IF(Assumptions!$C$136=1,0,IF('Operating Model'!E$4-Assumptions!$C$126&lt;='Debt (Assumed)'!$B$100,H649*'Debt (Assumed)'!$B$98,-PMT('Debt (Assumed)'!$B$98,Assumptions!$C$111,H649))))</f>
        <v>618879.679787834</v>
      </c>
      <c r="G650" s="30" t="n">
        <f aca="false">IF('Operating Model'!F$4&lt;=Assumptions!$C$126,IF(Assumptions!$C$130=1,D649*Assumptions!$C$125+E649*Assumptions!$C$128,-PMT(Assumptions!$C$125,Assumptions!$C$111,D649)-PMT(Assumptions!$C$128,Assumptions!$C$111,E649)),IF(Assumptions!$C$136=1,0,IF('Operating Model'!F$4-Assumptions!$C$126&lt;='Debt (Assumed)'!$B$100,H649*'Debt (Assumed)'!$B$98,-PMT('Debt (Assumed)'!$B$98,Assumptions!$C$111,H649))))</f>
        <v>618879.679787834</v>
      </c>
    </row>
    <row r="651" customFormat="false" ht="15" hidden="false" customHeight="false" outlineLevel="0" collapsed="false">
      <c r="A651" s="2" t="s">
        <v>1046</v>
      </c>
      <c r="B651" s="30" t="n">
        <f aca="false">-F649</f>
        <v>-5046186</v>
      </c>
      <c r="C651" s="30" t="n">
        <f aca="false">IF(AND(Assumptions!$C$136=1,'Operating Model'!B$4&gt;Assumptions!$C$126),0,'Operating Model'!B55+(C648-'Operating Model'!B49)-C650-IF('Operating Model'!B$4=Assumptions!$C$126,IF(Assumptions!$C$136=1,-M649,G649-H649+L649),0)+IF(AND(Assumptions!$C$136&lt;&gt;1,'Operating Model'!B$4=Assumptions!$C$154),K649,0))</f>
        <v>477183.078496</v>
      </c>
      <c r="D651" s="30" t="n">
        <f aca="false">IF(AND(Assumptions!$C$136=1,'Operating Model'!C$4&gt;Assumptions!$C$126),0,'Operating Model'!C55+(D648-'Operating Model'!C49)-D650-IF('Operating Model'!C$4=Assumptions!$C$126,IF(Assumptions!$C$136=1,-M649,G649-H649+L649),0)+IF(AND(Assumptions!$C$136&lt;&gt;1,'Operating Model'!C$4=Assumptions!$C$154),K649,0))</f>
        <v>379438.321376455</v>
      </c>
      <c r="E651" s="30" t="n">
        <f aca="false">IF(AND(Assumptions!$C$136=1,'Operating Model'!D$4&gt;Assumptions!$C$126),0,'Operating Model'!D55+(E648-'Operating Model'!D49)-E650-IF('Operating Model'!D$4=Assumptions!$C$126,IF(Assumptions!$C$136=1,-M649,G649-H649+L649),0)+IF(AND(Assumptions!$C$136&lt;&gt;1,'Operating Model'!D$4=Assumptions!$C$154),K649,0))</f>
        <v>171327.852069536</v>
      </c>
      <c r="F651" s="30" t="n">
        <f aca="false">IF(AND(Assumptions!$C$136=1,'Operating Model'!E$4&gt;Assumptions!$C$126),0,'Operating Model'!E55+(F648-'Operating Model'!E49)-F650-IF('Operating Model'!E$4=Assumptions!$C$126,IF(Assumptions!$C$136=1,-M649,G649-H649+L649),0)+IF(AND(Assumptions!$C$136&lt;&gt;1,'Operating Model'!E$4=Assumptions!$C$154),K649,0))</f>
        <v>320690.963861185</v>
      </c>
      <c r="G651" s="30" t="n">
        <f aca="false">IF(AND(Assumptions!$C$136=1,'Operating Model'!F$4&gt;Assumptions!$C$126),0,'Operating Model'!F55+(G648-'Operating Model'!F49)-G650-IF('Operating Model'!F$4=Assumptions!$C$126,IF(Assumptions!$C$136=1,-M649,G649-H649+L649),0)+IF(AND(Assumptions!$C$136&lt;&gt;1,'Operating Model'!F$4=Assumptions!$C$154),K649,0))</f>
        <v>5998023.14770153</v>
      </c>
      <c r="H651" s="22" t="n">
        <f aca="false">IFERROR(IRR(B651:G651),"N/A")</f>
        <v>0.0884490271170199</v>
      </c>
      <c r="I651" s="24" t="n">
        <f aca="false">SUM(C651:G651)/F649</f>
        <v>1.45588437752883</v>
      </c>
    </row>
    <row r="653" customFormat="false" ht="15" hidden="false" customHeight="false" outlineLevel="0" collapsed="false">
      <c r="A653" s="2" t="s">
        <v>1047</v>
      </c>
      <c r="C653" s="30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3" s="30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3" s="30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3" s="30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3" s="30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3" s="30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3" s="30" t="n">
        <f aca="false">H653-'Operating Model'!$B$42*1*(1+Assumptions!$C$18+0)^('Operating Model'!G$4-1)</f>
        <v>1260254.69207427</v>
      </c>
    </row>
    <row r="654" customFormat="false" ht="15" hidden="false" customHeight="false" outlineLevel="0" collapsed="false">
      <c r="A654" s="2" t="s">
        <v>1048</v>
      </c>
      <c r="B654" s="30" t="n">
        <f aca="false">Assumptions!$C$7*1</f>
        <v>13800000</v>
      </c>
      <c r="C654" s="30" t="n">
        <f aca="false">MAX(0,(Assumptions!$C$124+Assumptions!$C$127)-Assumptions!$C$132*B654)</f>
        <v>0</v>
      </c>
      <c r="D654" s="30" t="n">
        <f aca="false">Assumptions!$C$124-MAX(0,C654-Assumptions!$C$127)</f>
        <v>5887000</v>
      </c>
      <c r="E654" s="30" t="n">
        <f aca="false">Assumptions!$C$127-MIN(C654,Assumptions!$C$127)</f>
        <v>3563000</v>
      </c>
      <c r="F654" s="30" t="n">
        <f aca="false">B654*(1+Assumptions!$C$10)+'Unit Mix'!$D$18*(D$36/Assumptions!$C$35)+(D654+E654)*Assumptions!$C$131-(D654+E654)</f>
        <v>5095290</v>
      </c>
      <c r="G654" s="30" t="n">
        <f aca="false">IF(Assumptions!$C$130=1,D654+E654,-FV(Assumptions!$C$125,Assumptions!$C$126,PMT(Assumptions!$C$125,Assumptions!$C$111,D654),D654)-FV(Assumptions!$C$128,Assumptions!$C$126,PMT(Assumptions!$C$128,Assumptions!$C$111,E654),E654))</f>
        <v>9450000</v>
      </c>
      <c r="H654" s="30" t="n">
        <f aca="false">MIN(INDEX(C653:H653,Assumptions!$C$126+1)/Assumptions!$C$157*Assumptions!$C$108,INDEX(C653:H653,Assumptions!$C$126+1)/(Assumptions!$C$109*-PMT('Debt (Assumed)'!$B$99,Assumptions!$C$111,1)))</f>
        <v>9182191.09477498</v>
      </c>
      <c r="I654" s="30" t="n">
        <f aca="false">IF(MAX(0,Assumptions!$C$154-Assumptions!$C$126-'Debt (Assumed)'!$B$100)=0,H654,-FV('Debt (Assumed)'!$B$98,MAX(0,Assumptions!$C$154-Assumptions!$C$126-'Debt (Assumed)'!$B$100),PMT('Debt (Assumed)'!$B$98,Assumptions!$C$111,H654),H654))</f>
        <v>9182191.09477498</v>
      </c>
      <c r="J654" s="30" t="n">
        <f aca="false">I654*'Debt (Assumed)'!$B$102</f>
        <v>0</v>
      </c>
      <c r="K654" s="30" t="n">
        <f aca="false">I653/(Assumptions!$C$157+Returns!$B$35)*(1-Assumptions!$C$158)-I654-J654</f>
        <v>5671911.96971132</v>
      </c>
      <c r="L654" s="30" t="n">
        <f aca="false">H654*'Debt (Assumed)'!$B$101</f>
        <v>99167.6638235698</v>
      </c>
      <c r="M654" s="30" t="n">
        <f aca="false">(INDEX(C653:H653,Assumptions!$C$126+1)-'Operating Model'!$B$42*1*(1+Assumptions!$C$18+0)^Assumptions!$C$126)/(Assumptions!$C$157+Returns!$B$35)*(1-Assumptions!$C$158)-G654</f>
        <v>5051981.3418036</v>
      </c>
    </row>
    <row r="655" customFormat="false" ht="15" hidden="false" customHeight="false" outlineLevel="0" collapsed="false">
      <c r="A655" s="2" t="s">
        <v>1049</v>
      </c>
      <c r="C655" s="30" t="n">
        <f aca="false">IF('Operating Model'!B$4&lt;=Assumptions!$C$126,IF(Assumptions!$C$130=1,D654*Assumptions!$C$125+E654*Assumptions!$C$128,-PMT(Assumptions!$C$125,Assumptions!$C$111,D654)-PMT(Assumptions!$C$128,Assumptions!$C$111,E654)),IF(Assumptions!$C$136=1,0,IF('Operating Model'!B$4-Assumptions!$C$126&lt;='Debt (Assumed)'!$B$100,H654*'Debt (Assumed)'!$B$98,-PMT('Debt (Assumed)'!$B$98,Assumptions!$C$111,H654))))</f>
        <v>397516</v>
      </c>
      <c r="D655" s="30" t="n">
        <f aca="false">IF('Operating Model'!C$4&lt;=Assumptions!$C$126,IF(Assumptions!$C$130=1,D654*Assumptions!$C$125+E654*Assumptions!$C$128,-PMT(Assumptions!$C$125,Assumptions!$C$111,D654)-PMT(Assumptions!$C$128,Assumptions!$C$111,E654)),IF(Assumptions!$C$136=1,0,IF('Operating Model'!C$4-Assumptions!$C$126&lt;='Debt (Assumed)'!$B$100,H654*'Debt (Assumed)'!$B$98,-PMT('Debt (Assumed)'!$B$98,Assumptions!$C$111,H654))))</f>
        <v>397516</v>
      </c>
      <c r="E655" s="30" t="n">
        <f aca="false">IF('Operating Model'!D$4&lt;=Assumptions!$C$126,IF(Assumptions!$C$130=1,D654*Assumptions!$C$125+E654*Assumptions!$C$128,-PMT(Assumptions!$C$125,Assumptions!$C$111,D654)-PMT(Assumptions!$C$128,Assumptions!$C$111,E654)),IF(Assumptions!$C$136=1,0,IF('Operating Model'!D$4-Assumptions!$C$126&lt;='Debt (Assumed)'!$B$100,H654*'Debt (Assumed)'!$B$98,-PMT('Debt (Assumed)'!$B$98,Assumptions!$C$111,H654))))</f>
        <v>397516</v>
      </c>
      <c r="F655" s="30" t="n">
        <f aca="false">IF('Operating Model'!E$4&lt;=Assumptions!$C$126,IF(Assumptions!$C$130=1,D654*Assumptions!$C$125+E654*Assumptions!$C$128,-PMT(Assumptions!$C$125,Assumptions!$C$111,D654)-PMT(Assumptions!$C$128,Assumptions!$C$111,E654)),IF(Assumptions!$C$136=1,0,IF('Operating Model'!E$4-Assumptions!$C$126&lt;='Debt (Assumed)'!$B$100,H654*'Debt (Assumed)'!$B$98,-PMT('Debt (Assumed)'!$B$98,Assumptions!$C$111,H654))))</f>
        <v>618879.679787834</v>
      </c>
      <c r="G655" s="30" t="n">
        <f aca="false">IF('Operating Model'!F$4&lt;=Assumptions!$C$126,IF(Assumptions!$C$130=1,D654*Assumptions!$C$125+E654*Assumptions!$C$128,-PMT(Assumptions!$C$125,Assumptions!$C$111,D654)-PMT(Assumptions!$C$128,Assumptions!$C$111,E654)),IF(Assumptions!$C$136=1,0,IF('Operating Model'!F$4-Assumptions!$C$126&lt;='Debt (Assumed)'!$B$100,H654*'Debt (Assumed)'!$B$98,-PMT('Debt (Assumed)'!$B$98,Assumptions!$C$111,H654))))</f>
        <v>618879.679787834</v>
      </c>
    </row>
    <row r="656" customFormat="false" ht="15" hidden="false" customHeight="false" outlineLevel="0" collapsed="false">
      <c r="A656" s="2" t="s">
        <v>1050</v>
      </c>
      <c r="B656" s="30" t="n">
        <f aca="false">-F654</f>
        <v>-5095290</v>
      </c>
      <c r="C656" s="30" t="n">
        <f aca="false">IF(AND(Assumptions!$C$136=1,'Operating Model'!B$4&gt;Assumptions!$C$126),0,'Operating Model'!B55+(C653-'Operating Model'!B49)-C655-IF('Operating Model'!B$4=Assumptions!$C$126,IF(Assumptions!$C$136=1,-M654,G654-H654+L654),0)+IF(AND(Assumptions!$C$136&lt;&gt;1,'Operating Model'!B$4=Assumptions!$C$154),K654,0))</f>
        <v>477183.078496</v>
      </c>
      <c r="D656" s="30" t="n">
        <f aca="false">IF(AND(Assumptions!$C$136=1,'Operating Model'!C$4&gt;Assumptions!$C$126),0,'Operating Model'!C55+(D653-'Operating Model'!C49)-D655-IF('Operating Model'!C$4=Assumptions!$C$126,IF(Assumptions!$C$136=1,-M654,G654-H654+L654),0)+IF(AND(Assumptions!$C$136&lt;&gt;1,'Operating Model'!C$4=Assumptions!$C$154),K654,0))</f>
        <v>379438.321376455</v>
      </c>
      <c r="E656" s="30" t="n">
        <f aca="false">IF(AND(Assumptions!$C$136=1,'Operating Model'!D$4&gt;Assumptions!$C$126),0,'Operating Model'!D55+(E653-'Operating Model'!D49)-E655-IF('Operating Model'!D$4=Assumptions!$C$126,IF(Assumptions!$C$136=1,-M654,G654-H654+L654),0)+IF(AND(Assumptions!$C$136&lt;&gt;1,'Operating Model'!D$4=Assumptions!$C$154),K654,0))</f>
        <v>171327.852069536</v>
      </c>
      <c r="F656" s="30" t="n">
        <f aca="false">IF(AND(Assumptions!$C$136=1,'Operating Model'!E$4&gt;Assumptions!$C$126),0,'Operating Model'!E55+(F653-'Operating Model'!E49)-F655-IF('Operating Model'!E$4=Assumptions!$C$126,IF(Assumptions!$C$136=1,-M654,G654-H654+L654),0)+IF(AND(Assumptions!$C$136&lt;&gt;1,'Operating Model'!E$4=Assumptions!$C$154),K654,0))</f>
        <v>320690.963861185</v>
      </c>
      <c r="G656" s="30" t="n">
        <f aca="false">IF(AND(Assumptions!$C$136=1,'Operating Model'!F$4&gt;Assumptions!$C$126),0,'Operating Model'!F55+(G653-'Operating Model'!F49)-G655-IF('Operating Model'!F$4=Assumptions!$C$126,IF(Assumptions!$C$136=1,-M654,G654-H654+L654),0)+IF(AND(Assumptions!$C$136&lt;&gt;1,'Operating Model'!F$4=Assumptions!$C$154),K654,0))</f>
        <v>5998023.14770153</v>
      </c>
      <c r="H656" s="22" t="n">
        <f aca="false">IFERROR(IRR(B656:G656),"N/A")</f>
        <v>0.086037518505089</v>
      </c>
      <c r="I656" s="24" t="n">
        <f aca="false">SUM(C656:G656)/F654</f>
        <v>1.44185382255077</v>
      </c>
    </row>
    <row r="658" customFormat="false" ht="15" hidden="false" customHeight="false" outlineLevel="0" collapsed="false">
      <c r="A658" s="2" t="s">
        <v>1051</v>
      </c>
      <c r="C658" s="30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8" s="30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8" s="30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8" s="30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8" s="30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8" s="30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8" s="30" t="n">
        <f aca="false">H658-'Operating Model'!$B$42*1*(1+Assumptions!$C$18+0)^('Operating Model'!G$4-1)</f>
        <v>1260254.69207427</v>
      </c>
    </row>
    <row r="659" customFormat="false" ht="15" hidden="false" customHeight="false" outlineLevel="0" collapsed="false">
      <c r="A659" s="2" t="s">
        <v>1052</v>
      </c>
      <c r="B659" s="30" t="n">
        <f aca="false">Assumptions!$C$7*1</f>
        <v>13800000</v>
      </c>
      <c r="C659" s="30" t="n">
        <f aca="false">MAX(0,(Assumptions!$C$124+Assumptions!$C$127)-Assumptions!$C$132*B659)</f>
        <v>0</v>
      </c>
      <c r="D659" s="30" t="n">
        <f aca="false">Assumptions!$C$124-MAX(0,C659-Assumptions!$C$127)</f>
        <v>5887000</v>
      </c>
      <c r="E659" s="30" t="n">
        <f aca="false">Assumptions!$C$127-MIN(C659,Assumptions!$C$127)</f>
        <v>3563000</v>
      </c>
      <c r="F659" s="30" t="n">
        <f aca="false">B659*(1+Assumptions!$C$10)+'Unit Mix'!$D$18*(E$36/Assumptions!$C$35)+(D659+E659)*Assumptions!$C$131-(D659+E659)</f>
        <v>5144394</v>
      </c>
      <c r="G659" s="30" t="n">
        <f aca="false">IF(Assumptions!$C$130=1,D659+E659,-FV(Assumptions!$C$125,Assumptions!$C$126,PMT(Assumptions!$C$125,Assumptions!$C$111,D659),D659)-FV(Assumptions!$C$128,Assumptions!$C$126,PMT(Assumptions!$C$128,Assumptions!$C$111,E659),E659))</f>
        <v>9450000</v>
      </c>
      <c r="H659" s="30" t="n">
        <f aca="false">MIN(INDEX(C658:H658,Assumptions!$C$126+1)/Assumptions!$C$157*Assumptions!$C$108,INDEX(C658:H658,Assumptions!$C$126+1)/(Assumptions!$C$109*-PMT('Debt (Assumed)'!$B$99,Assumptions!$C$111,1)))</f>
        <v>9182191.09477498</v>
      </c>
      <c r="I659" s="30" t="n">
        <f aca="false">IF(MAX(0,Assumptions!$C$154-Assumptions!$C$126-'Debt (Assumed)'!$B$100)=0,H659,-FV('Debt (Assumed)'!$B$98,MAX(0,Assumptions!$C$154-Assumptions!$C$126-'Debt (Assumed)'!$B$100),PMT('Debt (Assumed)'!$B$98,Assumptions!$C$111,H659),H659))</f>
        <v>9182191.09477498</v>
      </c>
      <c r="J659" s="30" t="n">
        <f aca="false">I659*'Debt (Assumed)'!$B$102</f>
        <v>0</v>
      </c>
      <c r="K659" s="30" t="n">
        <f aca="false">I658/(Assumptions!$C$157+Returns!$B$35)*(1-Assumptions!$C$158)-I659-J659</f>
        <v>5671911.96971132</v>
      </c>
      <c r="L659" s="30" t="n">
        <f aca="false">H659*'Debt (Assumed)'!$B$101</f>
        <v>99167.6638235698</v>
      </c>
      <c r="M659" s="30" t="n">
        <f aca="false">(INDEX(C658:H658,Assumptions!$C$126+1)-'Operating Model'!$B$42*1*(1+Assumptions!$C$18+0)^Assumptions!$C$126)/(Assumptions!$C$157+Returns!$B$35)*(1-Assumptions!$C$158)-G659</f>
        <v>5051981.3418036</v>
      </c>
    </row>
    <row r="660" customFormat="false" ht="15" hidden="false" customHeight="false" outlineLevel="0" collapsed="false">
      <c r="A660" s="2" t="s">
        <v>1053</v>
      </c>
      <c r="C660" s="30" t="n">
        <f aca="false">IF('Operating Model'!B$4&lt;=Assumptions!$C$126,IF(Assumptions!$C$130=1,D659*Assumptions!$C$125+E659*Assumptions!$C$128,-PMT(Assumptions!$C$125,Assumptions!$C$111,D659)-PMT(Assumptions!$C$128,Assumptions!$C$111,E659)),IF(Assumptions!$C$136=1,0,IF('Operating Model'!B$4-Assumptions!$C$126&lt;='Debt (Assumed)'!$B$100,H659*'Debt (Assumed)'!$B$98,-PMT('Debt (Assumed)'!$B$98,Assumptions!$C$111,H659))))</f>
        <v>397516</v>
      </c>
      <c r="D660" s="30" t="n">
        <f aca="false">IF('Operating Model'!C$4&lt;=Assumptions!$C$126,IF(Assumptions!$C$130=1,D659*Assumptions!$C$125+E659*Assumptions!$C$128,-PMT(Assumptions!$C$125,Assumptions!$C$111,D659)-PMT(Assumptions!$C$128,Assumptions!$C$111,E659)),IF(Assumptions!$C$136=1,0,IF('Operating Model'!C$4-Assumptions!$C$126&lt;='Debt (Assumed)'!$B$100,H659*'Debt (Assumed)'!$B$98,-PMT('Debt (Assumed)'!$B$98,Assumptions!$C$111,H659))))</f>
        <v>397516</v>
      </c>
      <c r="E660" s="30" t="n">
        <f aca="false">IF('Operating Model'!D$4&lt;=Assumptions!$C$126,IF(Assumptions!$C$130=1,D659*Assumptions!$C$125+E659*Assumptions!$C$128,-PMT(Assumptions!$C$125,Assumptions!$C$111,D659)-PMT(Assumptions!$C$128,Assumptions!$C$111,E659)),IF(Assumptions!$C$136=1,0,IF('Operating Model'!D$4-Assumptions!$C$126&lt;='Debt (Assumed)'!$B$100,H659*'Debt (Assumed)'!$B$98,-PMT('Debt (Assumed)'!$B$98,Assumptions!$C$111,H659))))</f>
        <v>397516</v>
      </c>
      <c r="F660" s="30" t="n">
        <f aca="false">IF('Operating Model'!E$4&lt;=Assumptions!$C$126,IF(Assumptions!$C$130=1,D659*Assumptions!$C$125+E659*Assumptions!$C$128,-PMT(Assumptions!$C$125,Assumptions!$C$111,D659)-PMT(Assumptions!$C$128,Assumptions!$C$111,E659)),IF(Assumptions!$C$136=1,0,IF('Operating Model'!E$4-Assumptions!$C$126&lt;='Debt (Assumed)'!$B$100,H659*'Debt (Assumed)'!$B$98,-PMT('Debt (Assumed)'!$B$98,Assumptions!$C$111,H659))))</f>
        <v>618879.679787834</v>
      </c>
      <c r="G660" s="30" t="n">
        <f aca="false">IF('Operating Model'!F$4&lt;=Assumptions!$C$126,IF(Assumptions!$C$130=1,D659*Assumptions!$C$125+E659*Assumptions!$C$128,-PMT(Assumptions!$C$125,Assumptions!$C$111,D659)-PMT(Assumptions!$C$128,Assumptions!$C$111,E659)),IF(Assumptions!$C$136=1,0,IF('Operating Model'!F$4-Assumptions!$C$126&lt;='Debt (Assumed)'!$B$100,H659*'Debt (Assumed)'!$B$98,-PMT('Debt (Assumed)'!$B$98,Assumptions!$C$111,H659))))</f>
        <v>618879.679787834</v>
      </c>
    </row>
    <row r="661" customFormat="false" ht="15" hidden="false" customHeight="false" outlineLevel="0" collapsed="false">
      <c r="A661" s="2" t="s">
        <v>1054</v>
      </c>
      <c r="B661" s="30" t="n">
        <f aca="false">-F659</f>
        <v>-5144394</v>
      </c>
      <c r="C661" s="30" t="n">
        <f aca="false">IF(AND(Assumptions!$C$136=1,'Operating Model'!B$4&gt;Assumptions!$C$126),0,'Operating Model'!B55+(C658-'Operating Model'!B49)-C660-IF('Operating Model'!B$4=Assumptions!$C$126,IF(Assumptions!$C$136=1,-M659,G659-H659+L659),0)+IF(AND(Assumptions!$C$136&lt;&gt;1,'Operating Model'!B$4=Assumptions!$C$154),K659,0))</f>
        <v>477183.078496</v>
      </c>
      <c r="D661" s="30" t="n">
        <f aca="false">IF(AND(Assumptions!$C$136=1,'Operating Model'!C$4&gt;Assumptions!$C$126),0,'Operating Model'!C55+(D658-'Operating Model'!C49)-D660-IF('Operating Model'!C$4=Assumptions!$C$126,IF(Assumptions!$C$136=1,-M659,G659-H659+L659),0)+IF(AND(Assumptions!$C$136&lt;&gt;1,'Operating Model'!C$4=Assumptions!$C$154),K659,0))</f>
        <v>379438.321376455</v>
      </c>
      <c r="E661" s="30" t="n">
        <f aca="false">IF(AND(Assumptions!$C$136=1,'Operating Model'!D$4&gt;Assumptions!$C$126),0,'Operating Model'!D55+(E658-'Operating Model'!D49)-E660-IF('Operating Model'!D$4=Assumptions!$C$126,IF(Assumptions!$C$136=1,-M659,G659-H659+L659),0)+IF(AND(Assumptions!$C$136&lt;&gt;1,'Operating Model'!D$4=Assumptions!$C$154),K659,0))</f>
        <v>171327.852069536</v>
      </c>
      <c r="F661" s="30" t="n">
        <f aca="false">IF(AND(Assumptions!$C$136=1,'Operating Model'!E$4&gt;Assumptions!$C$126),0,'Operating Model'!E55+(F658-'Operating Model'!E49)-F660-IF('Operating Model'!E$4=Assumptions!$C$126,IF(Assumptions!$C$136=1,-M659,G659-H659+L659),0)+IF(AND(Assumptions!$C$136&lt;&gt;1,'Operating Model'!E$4=Assumptions!$C$154),K659,0))</f>
        <v>320690.963861185</v>
      </c>
      <c r="G661" s="30" t="n">
        <f aca="false">IF(AND(Assumptions!$C$136=1,'Operating Model'!F$4&gt;Assumptions!$C$126),0,'Operating Model'!F55+(G658-'Operating Model'!F49)-G660-IF('Operating Model'!F$4=Assumptions!$C$126,IF(Assumptions!$C$136=1,-M659,G659-H659+L659),0)+IF(AND(Assumptions!$C$136&lt;&gt;1,'Operating Model'!F$4=Assumptions!$C$154),K659,0))</f>
        <v>5998023.14770153</v>
      </c>
      <c r="H661" s="22" t="n">
        <f aca="false">IFERROR(IRR(B661:G661),"N/A")</f>
        <v>0.0836564468674189</v>
      </c>
      <c r="I661" s="24" t="n">
        <f aca="false">SUM(C661:G661)/F659</f>
        <v>1.42809111500882</v>
      </c>
    </row>
    <row r="663" customFormat="false" ht="15" hidden="false" customHeight="false" outlineLevel="0" collapsed="false">
      <c r="A663" s="2" t="s">
        <v>1055</v>
      </c>
      <c r="C663" s="30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63" s="30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63" s="30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63" s="30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63" s="30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63" s="30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63" s="30" t="n">
        <f aca="false">H663-'Operating Model'!$B$42*1*(1+Assumptions!$C$18+0)^('Operating Model'!G$4-1)</f>
        <v>1260254.69207427</v>
      </c>
    </row>
    <row r="664" customFormat="false" ht="15" hidden="false" customHeight="false" outlineLevel="0" collapsed="false">
      <c r="A664" s="2" t="s">
        <v>1056</v>
      </c>
      <c r="B664" s="30" t="n">
        <f aca="false">Assumptions!$C$7*1</f>
        <v>13800000</v>
      </c>
      <c r="C664" s="30" t="n">
        <f aca="false">MAX(0,(Assumptions!$C$124+Assumptions!$C$127)-Assumptions!$C$132*B664)</f>
        <v>0</v>
      </c>
      <c r="D664" s="30" t="n">
        <f aca="false">Assumptions!$C$124-MAX(0,C664-Assumptions!$C$127)</f>
        <v>5887000</v>
      </c>
      <c r="E664" s="30" t="n">
        <f aca="false">Assumptions!$C$127-MIN(C664,Assumptions!$C$127)</f>
        <v>3563000</v>
      </c>
      <c r="F664" s="30" t="n">
        <f aca="false">B664*(1+Assumptions!$C$10)+'Unit Mix'!$D$18*(F$36/Assumptions!$C$35)+(D664+E664)*Assumptions!$C$131-(D664+E664)</f>
        <v>5193498</v>
      </c>
      <c r="G664" s="30" t="n">
        <f aca="false">IF(Assumptions!$C$130=1,D664+E664,-FV(Assumptions!$C$125,Assumptions!$C$126,PMT(Assumptions!$C$125,Assumptions!$C$111,D664),D664)-FV(Assumptions!$C$128,Assumptions!$C$126,PMT(Assumptions!$C$128,Assumptions!$C$111,E664),E664))</f>
        <v>9450000</v>
      </c>
      <c r="H664" s="30" t="n">
        <f aca="false">MIN(INDEX(C663:H663,Assumptions!$C$126+1)/Assumptions!$C$157*Assumptions!$C$108,INDEX(C663:H663,Assumptions!$C$126+1)/(Assumptions!$C$109*-PMT('Debt (Assumed)'!$B$99,Assumptions!$C$111,1)))</f>
        <v>9182191.09477498</v>
      </c>
      <c r="I664" s="30" t="n">
        <f aca="false">IF(MAX(0,Assumptions!$C$154-Assumptions!$C$126-'Debt (Assumed)'!$B$100)=0,H664,-FV('Debt (Assumed)'!$B$98,MAX(0,Assumptions!$C$154-Assumptions!$C$126-'Debt (Assumed)'!$B$100),PMT('Debt (Assumed)'!$B$98,Assumptions!$C$111,H664),H664))</f>
        <v>9182191.09477498</v>
      </c>
      <c r="J664" s="30" t="n">
        <f aca="false">I664*'Debt (Assumed)'!$B$102</f>
        <v>0</v>
      </c>
      <c r="K664" s="30" t="n">
        <f aca="false">I663/(Assumptions!$C$157+Returns!$B$35)*(1-Assumptions!$C$158)-I664-J664</f>
        <v>5671911.96971132</v>
      </c>
      <c r="L664" s="30" t="n">
        <f aca="false">H664*'Debt (Assumed)'!$B$101</f>
        <v>99167.6638235698</v>
      </c>
      <c r="M664" s="30" t="n">
        <f aca="false">(INDEX(C663:H663,Assumptions!$C$126+1)-'Operating Model'!$B$42*1*(1+Assumptions!$C$18+0)^Assumptions!$C$126)/(Assumptions!$C$157+Returns!$B$35)*(1-Assumptions!$C$158)-G664</f>
        <v>5051981.3418036</v>
      </c>
    </row>
    <row r="665" customFormat="false" ht="15" hidden="false" customHeight="false" outlineLevel="0" collapsed="false">
      <c r="A665" s="2" t="s">
        <v>1057</v>
      </c>
      <c r="C665" s="30" t="n">
        <f aca="false">IF('Operating Model'!B$4&lt;=Assumptions!$C$126,IF(Assumptions!$C$130=1,D664*Assumptions!$C$125+E664*Assumptions!$C$128,-PMT(Assumptions!$C$125,Assumptions!$C$111,D664)-PMT(Assumptions!$C$128,Assumptions!$C$111,E664)),IF(Assumptions!$C$136=1,0,IF('Operating Model'!B$4-Assumptions!$C$126&lt;='Debt (Assumed)'!$B$100,H664*'Debt (Assumed)'!$B$98,-PMT('Debt (Assumed)'!$B$98,Assumptions!$C$111,H664))))</f>
        <v>397516</v>
      </c>
      <c r="D665" s="30" t="n">
        <f aca="false">IF('Operating Model'!C$4&lt;=Assumptions!$C$126,IF(Assumptions!$C$130=1,D664*Assumptions!$C$125+E664*Assumptions!$C$128,-PMT(Assumptions!$C$125,Assumptions!$C$111,D664)-PMT(Assumptions!$C$128,Assumptions!$C$111,E664)),IF(Assumptions!$C$136=1,0,IF('Operating Model'!C$4-Assumptions!$C$126&lt;='Debt (Assumed)'!$B$100,H664*'Debt (Assumed)'!$B$98,-PMT('Debt (Assumed)'!$B$98,Assumptions!$C$111,H664))))</f>
        <v>397516</v>
      </c>
      <c r="E665" s="30" t="n">
        <f aca="false">IF('Operating Model'!D$4&lt;=Assumptions!$C$126,IF(Assumptions!$C$130=1,D664*Assumptions!$C$125+E664*Assumptions!$C$128,-PMT(Assumptions!$C$125,Assumptions!$C$111,D664)-PMT(Assumptions!$C$128,Assumptions!$C$111,E664)),IF(Assumptions!$C$136=1,0,IF('Operating Model'!D$4-Assumptions!$C$126&lt;='Debt (Assumed)'!$B$100,H664*'Debt (Assumed)'!$B$98,-PMT('Debt (Assumed)'!$B$98,Assumptions!$C$111,H664))))</f>
        <v>397516</v>
      </c>
      <c r="F665" s="30" t="n">
        <f aca="false">IF('Operating Model'!E$4&lt;=Assumptions!$C$126,IF(Assumptions!$C$130=1,D664*Assumptions!$C$125+E664*Assumptions!$C$128,-PMT(Assumptions!$C$125,Assumptions!$C$111,D664)-PMT(Assumptions!$C$128,Assumptions!$C$111,E664)),IF(Assumptions!$C$136=1,0,IF('Operating Model'!E$4-Assumptions!$C$126&lt;='Debt (Assumed)'!$B$100,H664*'Debt (Assumed)'!$B$98,-PMT('Debt (Assumed)'!$B$98,Assumptions!$C$111,H664))))</f>
        <v>618879.679787834</v>
      </c>
      <c r="G665" s="30" t="n">
        <f aca="false">IF('Operating Model'!F$4&lt;=Assumptions!$C$126,IF(Assumptions!$C$130=1,D664*Assumptions!$C$125+E664*Assumptions!$C$128,-PMT(Assumptions!$C$125,Assumptions!$C$111,D664)-PMT(Assumptions!$C$128,Assumptions!$C$111,E664)),IF(Assumptions!$C$136=1,0,IF('Operating Model'!F$4-Assumptions!$C$126&lt;='Debt (Assumed)'!$B$100,H664*'Debt (Assumed)'!$B$98,-PMT('Debt (Assumed)'!$B$98,Assumptions!$C$111,H664))))</f>
        <v>618879.679787834</v>
      </c>
    </row>
    <row r="666" customFormat="false" ht="15" hidden="false" customHeight="false" outlineLevel="0" collapsed="false">
      <c r="A666" s="2" t="s">
        <v>1058</v>
      </c>
      <c r="B666" s="30" t="n">
        <f aca="false">-F664</f>
        <v>-5193498</v>
      </c>
      <c r="C666" s="30" t="n">
        <f aca="false">IF(AND(Assumptions!$C$136=1,'Operating Model'!B$4&gt;Assumptions!$C$126),0,'Operating Model'!B55+(C663-'Operating Model'!B49)-C665-IF('Operating Model'!B$4=Assumptions!$C$126,IF(Assumptions!$C$136=1,-M664,G664-H664+L664),0)+IF(AND(Assumptions!$C$136&lt;&gt;1,'Operating Model'!B$4=Assumptions!$C$154),K664,0))</f>
        <v>477183.078496</v>
      </c>
      <c r="D666" s="30" t="n">
        <f aca="false">IF(AND(Assumptions!$C$136=1,'Operating Model'!C$4&gt;Assumptions!$C$126),0,'Operating Model'!C55+(D663-'Operating Model'!C49)-D665-IF('Operating Model'!C$4=Assumptions!$C$126,IF(Assumptions!$C$136=1,-M664,G664-H664+L664),0)+IF(AND(Assumptions!$C$136&lt;&gt;1,'Operating Model'!C$4=Assumptions!$C$154),K664,0))</f>
        <v>379438.321376455</v>
      </c>
      <c r="E666" s="30" t="n">
        <f aca="false">IF(AND(Assumptions!$C$136=1,'Operating Model'!D$4&gt;Assumptions!$C$126),0,'Operating Model'!D55+(E663-'Operating Model'!D49)-E665-IF('Operating Model'!D$4=Assumptions!$C$126,IF(Assumptions!$C$136=1,-M664,G664-H664+L664),0)+IF(AND(Assumptions!$C$136&lt;&gt;1,'Operating Model'!D$4=Assumptions!$C$154),K664,0))</f>
        <v>171327.852069536</v>
      </c>
      <c r="F666" s="30" t="n">
        <f aca="false">IF(AND(Assumptions!$C$136=1,'Operating Model'!E$4&gt;Assumptions!$C$126),0,'Operating Model'!E55+(F663-'Operating Model'!E49)-F665-IF('Operating Model'!E$4=Assumptions!$C$126,IF(Assumptions!$C$136=1,-M664,G664-H664+L664),0)+IF(AND(Assumptions!$C$136&lt;&gt;1,'Operating Model'!E$4=Assumptions!$C$154),K664,0))</f>
        <v>320690.963861185</v>
      </c>
      <c r="G666" s="30" t="n">
        <f aca="false">IF(AND(Assumptions!$C$136=1,'Operating Model'!F$4&gt;Assumptions!$C$126),0,'Operating Model'!F55+(G663-'Operating Model'!F49)-G665-IF('Operating Model'!F$4=Assumptions!$C$126,IF(Assumptions!$C$136=1,-M664,G664-H664+L664),0)+IF(AND(Assumptions!$C$136&lt;&gt;1,'Operating Model'!F$4=Assumptions!$C$154),K664,0))</f>
        <v>5998023.14770153</v>
      </c>
      <c r="H666" s="22" t="n">
        <f aca="false">IFERROR(IRR(B666:G666),"N/A")</f>
        <v>0.0813051248879488</v>
      </c>
      <c r="I666" s="24" t="n">
        <f aca="false">SUM(C666:G666)/F664</f>
        <v>1.41458865749148</v>
      </c>
    </row>
    <row r="668" customFormat="false" ht="15" hidden="false" customHeight="false" outlineLevel="0" collapsed="false">
      <c r="A668" s="2" t="s">
        <v>1059</v>
      </c>
      <c r="C668" s="30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68" s="30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68" s="30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68" s="30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68" s="30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68" s="30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68" s="30" t="n">
        <f aca="false">H668-'Operating Model'!$B$42*(B$51/Assumptions!$C$7)*(1+Assumptions!$C$18+0)^('Operating Model'!G$4-1)</f>
        <v>1209117.41207427</v>
      </c>
    </row>
    <row r="669" customFormat="false" ht="15" hidden="false" customHeight="false" outlineLevel="0" collapsed="false">
      <c r="A669" s="2" t="s">
        <v>1060</v>
      </c>
      <c r="B669" s="30" t="n">
        <f aca="false">Assumptions!$C$7*(B$51/Assumptions!$C$7)</f>
        <v>12420000</v>
      </c>
      <c r="C669" s="30" t="n">
        <f aca="false">MIN(B669*Assumptions!$C$108,C668/(Assumptions!$C$109*Debt!$C$6))</f>
        <v>8741590.53956644</v>
      </c>
      <c r="D669" s="30" t="n">
        <f aca="false">B669*(1+Assumptions!$C$10)+'Unit Mix'!$D$18*1-C669</f>
        <v>4355749.46043355</v>
      </c>
      <c r="E669" s="30" t="n">
        <f aca="false">IF(MAX(0,Assumptions!$C$154-Assumptions!$C$110)=0,C669,-FV(Assumptions!$C$107,MAX(0,Assumptions!$C$154-Assumptions!$C$110),PMT(Assumptions!$C$107,Assumptions!$C$111,C669),C669))</f>
        <v>8229504.21459068</v>
      </c>
      <c r="F669" s="30" t="n">
        <f aca="false">E669*INDEX(Assumptions!$C$112:$C$121,Assumptions!$C$154)</f>
        <v>246885.12643772</v>
      </c>
      <c r="G669" s="30" t="n">
        <f aca="false">I668/($A$52+Returns!$B$35)*(1-Assumptions!$C$158)-E669-F669</f>
        <v>7723342.6150397</v>
      </c>
    </row>
    <row r="670" customFormat="false" ht="15" hidden="false" customHeight="false" outlineLevel="0" collapsed="false">
      <c r="A670" s="2" t="s">
        <v>1061</v>
      </c>
      <c r="C670" s="30" t="n">
        <f aca="false">IF('Operating Model'!B$4&lt;=Assumptions!$C$110,C669*Assumptions!$C$107,-PMT(Assumptions!$C$107,Assumptions!$C$111,C669))</f>
        <v>721512.8171968</v>
      </c>
      <c r="D670" s="30" t="n">
        <f aca="false">IF('Operating Model'!C$4&lt;=Assumptions!$C$110,C669*Assumptions!$C$107,-PMT(Assumptions!$C$107,Assumptions!$C$111,C669))</f>
        <v>721512.8171968</v>
      </c>
      <c r="E670" s="30" t="n">
        <f aca="false">IF('Operating Model'!D$4&lt;=Assumptions!$C$110,C669*Assumptions!$C$107,-PMT(Assumptions!$C$107,Assumptions!$C$111,C669))</f>
        <v>721512.8171968</v>
      </c>
      <c r="F670" s="30" t="n">
        <f aca="false">IF('Operating Model'!E$4&lt;=Assumptions!$C$110,C669*Assumptions!$C$107,-PMT(Assumptions!$C$107,Assumptions!$C$111,C669))</f>
        <v>721512.8171968</v>
      </c>
      <c r="G670" s="30" t="n">
        <f aca="false">IF('Operating Model'!F$4&lt;=Assumptions!$C$110,C669*Assumptions!$C$107,-PMT(Assumptions!$C$107,Assumptions!$C$111,C669))</f>
        <v>721512.8171968</v>
      </c>
    </row>
    <row r="671" customFormat="false" ht="15" hidden="false" customHeight="false" outlineLevel="0" collapsed="false">
      <c r="A671" s="2" t="s">
        <v>1062</v>
      </c>
      <c r="B671" s="30" t="n">
        <f aca="false">-D669</f>
        <v>-4355749.46043355</v>
      </c>
      <c r="C671" s="30" t="n">
        <f aca="false">'Operating Model'!B55+(C668-'Operating Model'!B49)-C670+IF('Operating Model'!B$4=Assumptions!$C$154,G669,0)</f>
        <v>151278.2042992</v>
      </c>
      <c r="D671" s="30" t="n">
        <f aca="false">'Operating Model'!C55+(D668-'Operating Model'!C49)-D670+IF('Operating Model'!C$4=Assumptions!$C$154,G669,0)</f>
        <v>28674.6246696552</v>
      </c>
      <c r="E671" s="30" t="n">
        <f aca="false">'Operating Model'!D55+(E668-'Operating Model'!D49)-E670+IF('Operating Model'!D$4=Assumptions!$C$154,G669,0)</f>
        <v>188271.836426026</v>
      </c>
      <c r="F671" s="30" t="n">
        <f aca="false">'Operating Model'!E55+(F668-'Operating Model'!E49)-F670+IF('Operating Model'!E$4=Assumptions!$C$154,G669,0)</f>
        <v>192775.10433206</v>
      </c>
      <c r="G671" s="30" t="n">
        <f aca="false">'Operating Model'!F55+(G668-'Operating Model'!F49)-G670+IF('Operating Model'!F$4=Assumptions!$C$154,G669,0)</f>
        <v>7922313.57023718</v>
      </c>
      <c r="H671" s="22" t="n">
        <f aca="false">IFERROR(IRR(B671:G671),"N/A")</f>
        <v>0.148354392711787</v>
      </c>
      <c r="I671" s="24" t="n">
        <f aca="false">SUM(C671:G671)/D669</f>
        <v>1.94761278558931</v>
      </c>
    </row>
    <row r="673" customFormat="false" ht="15" hidden="false" customHeight="false" outlineLevel="0" collapsed="false">
      <c r="A673" s="2" t="s">
        <v>1063</v>
      </c>
      <c r="C673" s="30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73" s="30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73" s="30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73" s="30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73" s="30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73" s="30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73" s="30" t="n">
        <f aca="false">H673-'Operating Model'!$B$42*(C$51/Assumptions!$C$7)*(1+Assumptions!$C$18+0)^('Operating Model'!G$4-1)</f>
        <v>1209117.41207427</v>
      </c>
    </row>
    <row r="674" customFormat="false" ht="15" hidden="false" customHeight="false" outlineLevel="0" collapsed="false">
      <c r="A674" s="2" t="s">
        <v>1064</v>
      </c>
      <c r="B674" s="30" t="n">
        <f aca="false">Assumptions!$C$7*(C$51/Assumptions!$C$7)</f>
        <v>13110000</v>
      </c>
      <c r="C674" s="30" t="n">
        <f aca="false">MIN(B674*Assumptions!$C$108,C673/(Assumptions!$C$109*Debt!$C$6))</f>
        <v>8626925.28423972</v>
      </c>
      <c r="D674" s="30" t="n">
        <f aca="false">B674*(1+Assumptions!$C$10)+'Unit Mix'!$D$18*1-C674</f>
        <v>5170764.71576027</v>
      </c>
      <c r="E674" s="30" t="n">
        <f aca="false">IF(MAX(0,Assumptions!$C$154-Assumptions!$C$110)=0,C674,-FV(Assumptions!$C$107,MAX(0,Assumptions!$C$154-Assumptions!$C$110),PMT(Assumptions!$C$107,Assumptions!$C$111,C674),C674))</f>
        <v>8121556.10174929</v>
      </c>
      <c r="F674" s="30" t="n">
        <f aca="false">E674*INDEX(Assumptions!$C$112:$C$121,Assumptions!$C$154)</f>
        <v>243646.683052479</v>
      </c>
      <c r="G674" s="30" t="n">
        <f aca="false">I673/($A$52+Returns!$B$35)*(1-Assumptions!$C$158)-E674-F674</f>
        <v>7834529.17126633</v>
      </c>
    </row>
    <row r="675" customFormat="false" ht="15" hidden="false" customHeight="false" outlineLevel="0" collapsed="false">
      <c r="A675" s="2" t="s">
        <v>1065</v>
      </c>
      <c r="C675" s="30" t="n">
        <f aca="false">IF('Operating Model'!B$4&lt;=Assumptions!$C$110,C674*Assumptions!$C$107,-PMT(Assumptions!$C$107,Assumptions!$C$111,C674))</f>
        <v>712048.5839968</v>
      </c>
      <c r="D675" s="30" t="n">
        <f aca="false">IF('Operating Model'!C$4&lt;=Assumptions!$C$110,C674*Assumptions!$C$107,-PMT(Assumptions!$C$107,Assumptions!$C$111,C674))</f>
        <v>712048.5839968</v>
      </c>
      <c r="E675" s="30" t="n">
        <f aca="false">IF('Operating Model'!D$4&lt;=Assumptions!$C$110,C674*Assumptions!$C$107,-PMT(Assumptions!$C$107,Assumptions!$C$111,C674))</f>
        <v>712048.5839968</v>
      </c>
      <c r="F675" s="30" t="n">
        <f aca="false">IF('Operating Model'!E$4&lt;=Assumptions!$C$110,C674*Assumptions!$C$107,-PMT(Assumptions!$C$107,Assumptions!$C$111,C674))</f>
        <v>712048.5839968</v>
      </c>
      <c r="G675" s="30" t="n">
        <f aca="false">IF('Operating Model'!F$4&lt;=Assumptions!$C$110,C674*Assumptions!$C$107,-PMT(Assumptions!$C$107,Assumptions!$C$111,C674))</f>
        <v>712048.5839968</v>
      </c>
    </row>
    <row r="676" customFormat="false" ht="15" hidden="false" customHeight="false" outlineLevel="0" collapsed="false">
      <c r="A676" s="2" t="s">
        <v>1066</v>
      </c>
      <c r="B676" s="30" t="n">
        <f aca="false">-D674</f>
        <v>-5170764.71576027</v>
      </c>
      <c r="C676" s="30" t="n">
        <f aca="false">'Operating Model'!B55+(C673-'Operating Model'!B49)-C675+IF('Operating Model'!B$4=Assumptions!$C$154,G674,0)</f>
        <v>148912.1459992</v>
      </c>
      <c r="D676" s="30" t="n">
        <f aca="false">'Operating Model'!C55+(D673-'Operating Model'!C49)-D675+IF('Operating Model'!C$4=Assumptions!$C$154,G674,0)</f>
        <v>25953.6576246554</v>
      </c>
      <c r="E676" s="30" t="n">
        <f aca="false">'Operating Model'!D55+(E673-'Operating Model'!D49)-E675+IF('Operating Model'!D$4=Assumptions!$C$154,G674,0)</f>
        <v>185185.313373676</v>
      </c>
      <c r="F676" s="30" t="n">
        <f aca="false">'Operating Model'!E55+(F673-'Operating Model'!E49)-F675+IF('Operating Model'!E$4=Assumptions!$C$154,G674,0)</f>
        <v>189312.058592139</v>
      </c>
      <c r="G676" s="30" t="n">
        <f aca="false">'Operating Model'!F55+(G673-'Operating Model'!F49)-G675+IF('Operating Model'!F$4=Assumptions!$C$154,G674,0)</f>
        <v>8029649.2623557</v>
      </c>
      <c r="H676" s="22" t="n">
        <f aca="false">IFERROR(IRR(B676:G676),"N/A")</f>
        <v>0.110436023154811</v>
      </c>
      <c r="I676" s="24" t="n">
        <f aca="false">SUM(C676:G676)/D674</f>
        <v>1.65913804041342</v>
      </c>
    </row>
    <row r="678" customFormat="false" ht="15" hidden="false" customHeight="false" outlineLevel="0" collapsed="false">
      <c r="A678" s="2" t="s">
        <v>1067</v>
      </c>
      <c r="C678" s="30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678" s="30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678" s="30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678" s="30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678" s="30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678" s="30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678" s="30" t="n">
        <f aca="false">H678-'Operating Model'!$B$42*(D$51/Assumptions!$C$7)*(1+Assumptions!$C$18+0)^('Operating Model'!G$4-1)</f>
        <v>1209117.41207427</v>
      </c>
    </row>
    <row r="679" customFormat="false" ht="15" hidden="false" customHeight="false" outlineLevel="0" collapsed="false">
      <c r="A679" s="2" t="s">
        <v>1068</v>
      </c>
      <c r="B679" s="30" t="n">
        <f aca="false">Assumptions!$C$7*(D$51/Assumptions!$C$7)</f>
        <v>13800000</v>
      </c>
      <c r="C679" s="30" t="n">
        <f aca="false">MIN(B679*Assumptions!$C$108,C678/(Assumptions!$C$109*Debt!$C$6))</f>
        <v>8512260.02891301</v>
      </c>
      <c r="D679" s="30" t="n">
        <f aca="false">B679*(1+Assumptions!$C$10)+'Unit Mix'!$D$18*1-C679</f>
        <v>5985779.97108699</v>
      </c>
      <c r="E679" s="30" t="n">
        <f aca="false">IF(MAX(0,Assumptions!$C$154-Assumptions!$C$110)=0,C679,-FV(Assumptions!$C$107,MAX(0,Assumptions!$C$154-Assumptions!$C$110),PMT(Assumptions!$C$107,Assumptions!$C$111,C679),C679))</f>
        <v>8013607.9889079</v>
      </c>
      <c r="F679" s="30" t="n">
        <f aca="false">E679*INDEX(Assumptions!$C$112:$C$121,Assumptions!$C$154)</f>
        <v>240408.239667237</v>
      </c>
      <c r="G679" s="30" t="n">
        <f aca="false">I678/($A$52+Returns!$B$35)*(1-Assumptions!$C$158)-E679-F679</f>
        <v>7945715.72749296</v>
      </c>
    </row>
    <row r="680" customFormat="false" ht="15" hidden="false" customHeight="false" outlineLevel="0" collapsed="false">
      <c r="A680" s="2" t="s">
        <v>1069</v>
      </c>
      <c r="C680" s="30" t="n">
        <f aca="false">IF('Operating Model'!B$4&lt;=Assumptions!$C$110,C679*Assumptions!$C$107,-PMT(Assumptions!$C$107,Assumptions!$C$111,C679))</f>
        <v>702584.3507968</v>
      </c>
      <c r="D680" s="30" t="n">
        <f aca="false">IF('Operating Model'!C$4&lt;=Assumptions!$C$110,C679*Assumptions!$C$107,-PMT(Assumptions!$C$107,Assumptions!$C$111,C679))</f>
        <v>702584.3507968</v>
      </c>
      <c r="E680" s="30" t="n">
        <f aca="false">IF('Operating Model'!D$4&lt;=Assumptions!$C$110,C679*Assumptions!$C$107,-PMT(Assumptions!$C$107,Assumptions!$C$111,C679))</f>
        <v>702584.3507968</v>
      </c>
      <c r="F680" s="30" t="n">
        <f aca="false">IF('Operating Model'!E$4&lt;=Assumptions!$C$110,C679*Assumptions!$C$107,-PMT(Assumptions!$C$107,Assumptions!$C$111,C679))</f>
        <v>702584.3507968</v>
      </c>
      <c r="G680" s="30" t="n">
        <f aca="false">IF('Operating Model'!F$4&lt;=Assumptions!$C$110,C679*Assumptions!$C$107,-PMT(Assumptions!$C$107,Assumptions!$C$111,C679))</f>
        <v>702584.3507968</v>
      </c>
    </row>
    <row r="681" customFormat="false" ht="15" hidden="false" customHeight="false" outlineLevel="0" collapsed="false">
      <c r="A681" s="2" t="s">
        <v>1070</v>
      </c>
      <c r="B681" s="30" t="n">
        <f aca="false">-D679</f>
        <v>-5985779.97108699</v>
      </c>
      <c r="C681" s="30" t="n">
        <f aca="false">'Operating Model'!B55+(C678-'Operating Model'!B49)-C680+IF('Operating Model'!B$4=Assumptions!$C$154,G679,0)</f>
        <v>146546.0876992</v>
      </c>
      <c r="D681" s="30" t="n">
        <f aca="false">'Operating Model'!C55+(D678-'Operating Model'!C49)-D680+IF('Operating Model'!C$4=Assumptions!$C$154,G679,0)</f>
        <v>23232.6905796553</v>
      </c>
      <c r="E681" s="30" t="n">
        <f aca="false">'Operating Model'!D55+(E678-'Operating Model'!D49)-E680+IF('Operating Model'!D$4=Assumptions!$C$154,G679,0)</f>
        <v>182098.790321326</v>
      </c>
      <c r="F681" s="30" t="n">
        <f aca="false">'Operating Model'!E55+(F678-'Operating Model'!E49)-F680+IF('Operating Model'!E$4=Assumptions!$C$154,G679,0)</f>
        <v>185849.012852219</v>
      </c>
      <c r="G681" s="30" t="n">
        <f aca="false">'Operating Model'!F55+(G678-'Operating Model'!F49)-G680+IF('Operating Model'!F$4=Assumptions!$C$154,G679,0)</f>
        <v>8136984.95447421</v>
      </c>
      <c r="H681" s="22" t="n">
        <f aca="false">IFERROR(IRR(B681:G681),"N/A")</f>
        <v>0.079584307581989</v>
      </c>
      <c r="I681" s="24" t="n">
        <f aca="false">SUM(C681:G681)/D679</f>
        <v>1.4492199141679</v>
      </c>
    </row>
    <row r="683" customFormat="false" ht="15" hidden="false" customHeight="false" outlineLevel="0" collapsed="false">
      <c r="A683" s="2" t="s">
        <v>1071</v>
      </c>
      <c r="C683" s="30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683" s="30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683" s="30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683" s="30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683" s="30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683" s="30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683" s="30" t="n">
        <f aca="false">H683-'Operating Model'!$B$42*(E$51/Assumptions!$C$7)*(1+Assumptions!$C$18+0)^('Operating Model'!G$4-1)</f>
        <v>1209117.41207427</v>
      </c>
    </row>
    <row r="684" customFormat="false" ht="15" hidden="false" customHeight="false" outlineLevel="0" collapsed="false">
      <c r="A684" s="2" t="s">
        <v>1072</v>
      </c>
      <c r="B684" s="30" t="n">
        <f aca="false">Assumptions!$C$7*(E$51/Assumptions!$C$7)</f>
        <v>14490000</v>
      </c>
      <c r="C684" s="30" t="n">
        <f aca="false">MIN(B684*Assumptions!$C$108,C683/(Assumptions!$C$109*Debt!$C$6))</f>
        <v>8397594.77358629</v>
      </c>
      <c r="D684" s="30" t="n">
        <f aca="false">B684*(1+Assumptions!$C$10)+'Unit Mix'!$D$18*1-C684</f>
        <v>6800795.22641371</v>
      </c>
      <c r="E684" s="30" t="n">
        <f aca="false">IF(MAX(0,Assumptions!$C$154-Assumptions!$C$110)=0,C684,-FV(Assumptions!$C$107,MAX(0,Assumptions!$C$154-Assumptions!$C$110),PMT(Assumptions!$C$107,Assumptions!$C$111,C684),C684))</f>
        <v>7905659.87606651</v>
      </c>
      <c r="F684" s="30" t="n">
        <f aca="false">E684*INDEX(Assumptions!$C$112:$C$121,Assumptions!$C$154)</f>
        <v>237169.796281995</v>
      </c>
      <c r="G684" s="30" t="n">
        <f aca="false">I683/($A$52+Returns!$B$35)*(1-Assumptions!$C$158)-E684-F684</f>
        <v>8056902.28371959</v>
      </c>
    </row>
    <row r="685" customFormat="false" ht="15" hidden="false" customHeight="false" outlineLevel="0" collapsed="false">
      <c r="A685" s="2" t="s">
        <v>1073</v>
      </c>
      <c r="C685" s="30" t="n">
        <f aca="false">IF('Operating Model'!B$4&lt;=Assumptions!$C$110,C684*Assumptions!$C$107,-PMT(Assumptions!$C$107,Assumptions!$C$111,C684))</f>
        <v>693120.1175968</v>
      </c>
      <c r="D685" s="30" t="n">
        <f aca="false">IF('Operating Model'!C$4&lt;=Assumptions!$C$110,C684*Assumptions!$C$107,-PMT(Assumptions!$C$107,Assumptions!$C$111,C684))</f>
        <v>693120.1175968</v>
      </c>
      <c r="E685" s="30" t="n">
        <f aca="false">IF('Operating Model'!D$4&lt;=Assumptions!$C$110,C684*Assumptions!$C$107,-PMT(Assumptions!$C$107,Assumptions!$C$111,C684))</f>
        <v>693120.1175968</v>
      </c>
      <c r="F685" s="30" t="n">
        <f aca="false">IF('Operating Model'!E$4&lt;=Assumptions!$C$110,C684*Assumptions!$C$107,-PMT(Assumptions!$C$107,Assumptions!$C$111,C684))</f>
        <v>693120.1175968</v>
      </c>
      <c r="G685" s="30" t="n">
        <f aca="false">IF('Operating Model'!F$4&lt;=Assumptions!$C$110,C684*Assumptions!$C$107,-PMT(Assumptions!$C$107,Assumptions!$C$111,C684))</f>
        <v>693120.1175968</v>
      </c>
    </row>
    <row r="686" customFormat="false" ht="15" hidden="false" customHeight="false" outlineLevel="0" collapsed="false">
      <c r="A686" s="2" t="s">
        <v>1074</v>
      </c>
      <c r="B686" s="30" t="n">
        <f aca="false">-D684</f>
        <v>-6800795.22641371</v>
      </c>
      <c r="C686" s="30" t="n">
        <f aca="false">'Operating Model'!B55+(C683-'Operating Model'!B49)-C685+IF('Operating Model'!B$4=Assumptions!$C$154,G684,0)</f>
        <v>144180.0293992</v>
      </c>
      <c r="D686" s="30" t="n">
        <f aca="false">'Operating Model'!C55+(D683-'Operating Model'!C49)-D685+IF('Operating Model'!C$4=Assumptions!$C$154,G684,0)</f>
        <v>20511.7235346552</v>
      </c>
      <c r="E686" s="30" t="n">
        <f aca="false">'Operating Model'!D55+(E683-'Operating Model'!D49)-E685+IF('Operating Model'!D$4=Assumptions!$C$154,G684,0)</f>
        <v>179012.267268976</v>
      </c>
      <c r="F686" s="30" t="n">
        <f aca="false">'Operating Model'!E55+(F683-'Operating Model'!E49)-F685+IF('Operating Model'!E$4=Assumptions!$C$154,G684,0)</f>
        <v>182385.967112298</v>
      </c>
      <c r="G686" s="30" t="n">
        <f aca="false">'Operating Model'!F55+(G683-'Operating Model'!F49)-G685+IF('Operating Model'!F$4=Assumptions!$C$154,G684,0)</f>
        <v>8244320.64659272</v>
      </c>
      <c r="H686" s="22" t="n">
        <f aca="false">IFERROR(IRR(B686:G686),"N/A")</f>
        <v>0.0537799394055901</v>
      </c>
      <c r="I686" s="24" t="n">
        <f aca="false">SUM(C686:G686)/D684</f>
        <v>1.28961545553442</v>
      </c>
    </row>
    <row r="688" customFormat="false" ht="15" hidden="false" customHeight="false" outlineLevel="0" collapsed="false">
      <c r="A688" s="2" t="s">
        <v>1075</v>
      </c>
      <c r="C688" s="30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688" s="30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688" s="30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688" s="30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688" s="30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688" s="30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688" s="30" t="n">
        <f aca="false">H688-'Operating Model'!$B$42*(F$51/Assumptions!$C$7)*(1+Assumptions!$C$18+0)^('Operating Model'!G$4-1)</f>
        <v>1209117.41207427</v>
      </c>
    </row>
    <row r="689" customFormat="false" ht="15" hidden="false" customHeight="false" outlineLevel="0" collapsed="false">
      <c r="A689" s="2" t="s">
        <v>1076</v>
      </c>
      <c r="B689" s="30" t="n">
        <f aca="false">Assumptions!$C$7*(F$51/Assumptions!$C$7)</f>
        <v>15180000</v>
      </c>
      <c r="C689" s="30" t="n">
        <f aca="false">MIN(B689*Assumptions!$C$108,C688/(Assumptions!$C$109*Debt!$C$6))</f>
        <v>8282929.51825957</v>
      </c>
      <c r="D689" s="30" t="n">
        <f aca="false">B689*(1+Assumptions!$C$10)+'Unit Mix'!$D$18*1-C689</f>
        <v>7615810.48174043</v>
      </c>
      <c r="E689" s="30" t="n">
        <f aca="false">IF(MAX(0,Assumptions!$C$154-Assumptions!$C$110)=0,C689,-FV(Assumptions!$C$107,MAX(0,Assumptions!$C$154-Assumptions!$C$110),PMT(Assumptions!$C$107,Assumptions!$C$111,C689),C689))</f>
        <v>7797711.76322512</v>
      </c>
      <c r="F689" s="30" t="n">
        <f aca="false">E689*INDEX(Assumptions!$C$112:$C$121,Assumptions!$C$154)</f>
        <v>233931.352896754</v>
      </c>
      <c r="G689" s="30" t="n">
        <f aca="false">I688/($A$52+Returns!$B$35)*(1-Assumptions!$C$158)-E689-F689</f>
        <v>8168088.83994623</v>
      </c>
    </row>
    <row r="690" customFormat="false" ht="15" hidden="false" customHeight="false" outlineLevel="0" collapsed="false">
      <c r="A690" s="2" t="s">
        <v>1077</v>
      </c>
      <c r="C690" s="30" t="n">
        <f aca="false">IF('Operating Model'!B$4&lt;=Assumptions!$C$110,C689*Assumptions!$C$107,-PMT(Assumptions!$C$107,Assumptions!$C$111,C689))</f>
        <v>683655.8843968</v>
      </c>
      <c r="D690" s="30" t="n">
        <f aca="false">IF('Operating Model'!C$4&lt;=Assumptions!$C$110,C689*Assumptions!$C$107,-PMT(Assumptions!$C$107,Assumptions!$C$111,C689))</f>
        <v>683655.8843968</v>
      </c>
      <c r="E690" s="30" t="n">
        <f aca="false">IF('Operating Model'!D$4&lt;=Assumptions!$C$110,C689*Assumptions!$C$107,-PMT(Assumptions!$C$107,Assumptions!$C$111,C689))</f>
        <v>683655.8843968</v>
      </c>
      <c r="F690" s="30" t="n">
        <f aca="false">IF('Operating Model'!E$4&lt;=Assumptions!$C$110,C689*Assumptions!$C$107,-PMT(Assumptions!$C$107,Assumptions!$C$111,C689))</f>
        <v>683655.8843968</v>
      </c>
      <c r="G690" s="30" t="n">
        <f aca="false">IF('Operating Model'!F$4&lt;=Assumptions!$C$110,C689*Assumptions!$C$107,-PMT(Assumptions!$C$107,Assumptions!$C$111,C689))</f>
        <v>683655.8843968</v>
      </c>
    </row>
    <row r="691" customFormat="false" ht="15" hidden="false" customHeight="false" outlineLevel="0" collapsed="false">
      <c r="A691" s="2" t="s">
        <v>1078</v>
      </c>
      <c r="B691" s="30" t="n">
        <f aca="false">-D689</f>
        <v>-7615810.48174043</v>
      </c>
      <c r="C691" s="30" t="n">
        <f aca="false">'Operating Model'!B55+(C688-'Operating Model'!B49)-C690+IF('Operating Model'!B$4=Assumptions!$C$154,G689,0)</f>
        <v>141813.9710992</v>
      </c>
      <c r="D691" s="30" t="n">
        <f aca="false">'Operating Model'!C55+(D688-'Operating Model'!C49)-D690+IF('Operating Model'!C$4=Assumptions!$C$154,G689,0)</f>
        <v>17790.7564896554</v>
      </c>
      <c r="E691" s="30" t="n">
        <f aca="false">'Operating Model'!D55+(E688-'Operating Model'!D49)-E690+IF('Operating Model'!D$4=Assumptions!$C$154,G689,0)</f>
        <v>175925.744216626</v>
      </c>
      <c r="F691" s="30" t="n">
        <f aca="false">'Operating Model'!E55+(F688-'Operating Model'!E49)-F690+IF('Operating Model'!E$4=Assumptions!$C$154,G689,0)</f>
        <v>178922.921372378</v>
      </c>
      <c r="G691" s="30" t="n">
        <f aca="false">'Operating Model'!F55+(G688-'Operating Model'!F49)-G690+IF('Operating Model'!F$4=Assumptions!$C$154,G689,0)</f>
        <v>8351656.33871124</v>
      </c>
      <c r="H691" s="22" t="n">
        <f aca="false">IFERROR(IRR(B691:G691),"N/A")</f>
        <v>0.0317429770388939</v>
      </c>
      <c r="I691" s="24" t="n">
        <f aca="false">SUM(C691:G691)/D689</f>
        <v>1.16417152884074</v>
      </c>
    </row>
    <row r="693" customFormat="false" ht="15" hidden="false" customHeight="false" outlineLevel="0" collapsed="false">
      <c r="A693" s="2" t="s">
        <v>1079</v>
      </c>
      <c r="C693" s="30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93" s="30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93" s="30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93" s="30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93" s="30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93" s="30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93" s="30" t="n">
        <f aca="false">H693-'Operating Model'!$B$42*(B$51/Assumptions!$C$7)*(1+Assumptions!$C$18+0)^('Operating Model'!G$4-1)</f>
        <v>1209117.41207427</v>
      </c>
    </row>
    <row r="694" customFormat="false" ht="15" hidden="false" customHeight="false" outlineLevel="0" collapsed="false">
      <c r="A694" s="2" t="s">
        <v>1080</v>
      </c>
      <c r="B694" s="30" t="n">
        <f aca="false">Assumptions!$C$7*(B$51/Assumptions!$C$7)</f>
        <v>12420000</v>
      </c>
      <c r="C694" s="30" t="n">
        <f aca="false">MIN(B694*Assumptions!$C$108,C693/(Assumptions!$C$109*Debt!$C$6))</f>
        <v>8741590.53956644</v>
      </c>
      <c r="D694" s="30" t="n">
        <f aca="false">B694*(1+Assumptions!$C$10)+'Unit Mix'!$D$18*1-C694</f>
        <v>4355749.46043355</v>
      </c>
      <c r="E694" s="30" t="n">
        <f aca="false">IF(MAX(0,Assumptions!$C$154-Assumptions!$C$110)=0,C694,-FV(Assumptions!$C$107,MAX(0,Assumptions!$C$154-Assumptions!$C$110),PMT(Assumptions!$C$107,Assumptions!$C$111,C694),C694))</f>
        <v>8229504.21459068</v>
      </c>
      <c r="F694" s="30" t="n">
        <f aca="false">E694*INDEX(Assumptions!$C$112:$C$121,Assumptions!$C$154)</f>
        <v>246885.12643772</v>
      </c>
      <c r="G694" s="30" t="n">
        <f aca="false">I693/($A$53+Returns!$B$35)*(1-Assumptions!$C$158)-E694-F694</f>
        <v>6686829.76071964</v>
      </c>
    </row>
    <row r="695" customFormat="false" ht="15" hidden="false" customHeight="false" outlineLevel="0" collapsed="false">
      <c r="A695" s="2" t="s">
        <v>1081</v>
      </c>
      <c r="C695" s="30" t="n">
        <f aca="false">IF('Operating Model'!B$4&lt;=Assumptions!$C$110,C694*Assumptions!$C$107,-PMT(Assumptions!$C$107,Assumptions!$C$111,C694))</f>
        <v>721512.8171968</v>
      </c>
      <c r="D695" s="30" t="n">
        <f aca="false">IF('Operating Model'!C$4&lt;=Assumptions!$C$110,C694*Assumptions!$C$107,-PMT(Assumptions!$C$107,Assumptions!$C$111,C694))</f>
        <v>721512.8171968</v>
      </c>
      <c r="E695" s="30" t="n">
        <f aca="false">IF('Operating Model'!D$4&lt;=Assumptions!$C$110,C694*Assumptions!$C$107,-PMT(Assumptions!$C$107,Assumptions!$C$111,C694))</f>
        <v>721512.8171968</v>
      </c>
      <c r="F695" s="30" t="n">
        <f aca="false">IF('Operating Model'!E$4&lt;=Assumptions!$C$110,C694*Assumptions!$C$107,-PMT(Assumptions!$C$107,Assumptions!$C$111,C694))</f>
        <v>721512.8171968</v>
      </c>
      <c r="G695" s="30" t="n">
        <f aca="false">IF('Operating Model'!F$4&lt;=Assumptions!$C$110,C694*Assumptions!$C$107,-PMT(Assumptions!$C$107,Assumptions!$C$111,C694))</f>
        <v>721512.8171968</v>
      </c>
    </row>
    <row r="696" customFormat="false" ht="15" hidden="false" customHeight="false" outlineLevel="0" collapsed="false">
      <c r="A696" s="2" t="s">
        <v>1082</v>
      </c>
      <c r="B696" s="30" t="n">
        <f aca="false">-D694</f>
        <v>-4355749.46043355</v>
      </c>
      <c r="C696" s="30" t="n">
        <f aca="false">'Operating Model'!B55+(C693-'Operating Model'!B49)-C695+IF('Operating Model'!B$4=Assumptions!$C$154,G694,0)</f>
        <v>151278.2042992</v>
      </c>
      <c r="D696" s="30" t="n">
        <f aca="false">'Operating Model'!C55+(D693-'Operating Model'!C49)-D695+IF('Operating Model'!C$4=Assumptions!$C$154,G694,0)</f>
        <v>28674.6246696552</v>
      </c>
      <c r="E696" s="30" t="n">
        <f aca="false">'Operating Model'!D55+(E693-'Operating Model'!D49)-E695+IF('Operating Model'!D$4=Assumptions!$C$154,G694,0)</f>
        <v>188271.836426026</v>
      </c>
      <c r="F696" s="30" t="n">
        <f aca="false">'Operating Model'!E55+(F693-'Operating Model'!E49)-F695+IF('Operating Model'!E$4=Assumptions!$C$154,G694,0)</f>
        <v>192775.10433206</v>
      </c>
      <c r="G696" s="30" t="n">
        <f aca="false">'Operating Model'!F55+(G693-'Operating Model'!F49)-G695+IF('Operating Model'!F$4=Assumptions!$C$154,G694,0)</f>
        <v>6885800.71591712</v>
      </c>
      <c r="H696" s="22" t="n">
        <f aca="false">IFERROR(IRR(B696:G696),"N/A")</f>
        <v>0.118155169098703</v>
      </c>
      <c r="I696" s="24" t="n">
        <f aca="false">SUM(C696:G696)/D694</f>
        <v>1.70964848949389</v>
      </c>
    </row>
    <row r="698" customFormat="false" ht="15" hidden="false" customHeight="false" outlineLevel="0" collapsed="false">
      <c r="A698" s="2" t="s">
        <v>1083</v>
      </c>
      <c r="C698" s="30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98" s="30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98" s="30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98" s="30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98" s="30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98" s="30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98" s="30" t="n">
        <f aca="false">H698-'Operating Model'!$B$42*(C$51/Assumptions!$C$7)*(1+Assumptions!$C$18+0)^('Operating Model'!G$4-1)</f>
        <v>1209117.41207427</v>
      </c>
    </row>
    <row r="699" customFormat="false" ht="15" hidden="false" customHeight="false" outlineLevel="0" collapsed="false">
      <c r="A699" s="2" t="s">
        <v>1084</v>
      </c>
      <c r="B699" s="30" t="n">
        <f aca="false">Assumptions!$C$7*(C$51/Assumptions!$C$7)</f>
        <v>13110000</v>
      </c>
      <c r="C699" s="30" t="n">
        <f aca="false">MIN(B699*Assumptions!$C$108,C698/(Assumptions!$C$109*Debt!$C$6))</f>
        <v>8626925.28423972</v>
      </c>
      <c r="D699" s="30" t="n">
        <f aca="false">B699*(1+Assumptions!$C$10)+'Unit Mix'!$D$18*1-C699</f>
        <v>5170764.71576027</v>
      </c>
      <c r="E699" s="30" t="n">
        <f aca="false">IF(MAX(0,Assumptions!$C$154-Assumptions!$C$110)=0,C699,-FV(Assumptions!$C$107,MAX(0,Assumptions!$C$154-Assumptions!$C$110),PMT(Assumptions!$C$107,Assumptions!$C$111,C699),C699))</f>
        <v>8121556.10174929</v>
      </c>
      <c r="F699" s="30" t="n">
        <f aca="false">E699*INDEX(Assumptions!$C$112:$C$121,Assumptions!$C$154)</f>
        <v>243646.683052479</v>
      </c>
      <c r="G699" s="30" t="n">
        <f aca="false">I698/($A$53+Returns!$B$35)*(1-Assumptions!$C$158)-E699-F699</f>
        <v>6798016.31694627</v>
      </c>
    </row>
    <row r="700" customFormat="false" ht="15" hidden="false" customHeight="false" outlineLevel="0" collapsed="false">
      <c r="A700" s="2" t="s">
        <v>1085</v>
      </c>
      <c r="C700" s="30" t="n">
        <f aca="false">IF('Operating Model'!B$4&lt;=Assumptions!$C$110,C699*Assumptions!$C$107,-PMT(Assumptions!$C$107,Assumptions!$C$111,C699))</f>
        <v>712048.5839968</v>
      </c>
      <c r="D700" s="30" t="n">
        <f aca="false">IF('Operating Model'!C$4&lt;=Assumptions!$C$110,C699*Assumptions!$C$107,-PMT(Assumptions!$C$107,Assumptions!$C$111,C699))</f>
        <v>712048.5839968</v>
      </c>
      <c r="E700" s="30" t="n">
        <f aca="false">IF('Operating Model'!D$4&lt;=Assumptions!$C$110,C699*Assumptions!$C$107,-PMT(Assumptions!$C$107,Assumptions!$C$111,C699))</f>
        <v>712048.5839968</v>
      </c>
      <c r="F700" s="30" t="n">
        <f aca="false">IF('Operating Model'!E$4&lt;=Assumptions!$C$110,C699*Assumptions!$C$107,-PMT(Assumptions!$C$107,Assumptions!$C$111,C699))</f>
        <v>712048.5839968</v>
      </c>
      <c r="G700" s="30" t="n">
        <f aca="false">IF('Operating Model'!F$4&lt;=Assumptions!$C$110,C699*Assumptions!$C$107,-PMT(Assumptions!$C$107,Assumptions!$C$111,C699))</f>
        <v>712048.5839968</v>
      </c>
    </row>
    <row r="701" customFormat="false" ht="15" hidden="false" customHeight="false" outlineLevel="0" collapsed="false">
      <c r="A701" s="2" t="s">
        <v>1086</v>
      </c>
      <c r="B701" s="30" t="n">
        <f aca="false">-D699</f>
        <v>-5170764.71576027</v>
      </c>
      <c r="C701" s="30" t="n">
        <f aca="false">'Operating Model'!B55+(C698-'Operating Model'!B49)-C700+IF('Operating Model'!B$4=Assumptions!$C$154,G699,0)</f>
        <v>148912.1459992</v>
      </c>
      <c r="D701" s="30" t="n">
        <f aca="false">'Operating Model'!C55+(D698-'Operating Model'!C49)-D700+IF('Operating Model'!C$4=Assumptions!$C$154,G699,0)</f>
        <v>25953.6576246554</v>
      </c>
      <c r="E701" s="30" t="n">
        <f aca="false">'Operating Model'!D55+(E698-'Operating Model'!D49)-E700+IF('Operating Model'!D$4=Assumptions!$C$154,G699,0)</f>
        <v>185185.313373676</v>
      </c>
      <c r="F701" s="30" t="n">
        <f aca="false">'Operating Model'!E55+(F698-'Operating Model'!E49)-F700+IF('Operating Model'!E$4=Assumptions!$C$154,G699,0)</f>
        <v>189312.058592139</v>
      </c>
      <c r="G701" s="30" t="n">
        <f aca="false">'Operating Model'!F55+(G698-'Operating Model'!F49)-G700+IF('Operating Model'!F$4=Assumptions!$C$154,G699,0)</f>
        <v>6993136.40803563</v>
      </c>
      <c r="H701" s="22" t="n">
        <f aca="false">IFERROR(IRR(B701:G701),"N/A")</f>
        <v>0.0815168672311479</v>
      </c>
      <c r="I701" s="24" t="n">
        <f aca="false">SUM(C701:G701)/D699</f>
        <v>1.45868164541235</v>
      </c>
    </row>
    <row r="703" customFormat="false" ht="15" hidden="false" customHeight="false" outlineLevel="0" collapsed="false">
      <c r="A703" s="2" t="s">
        <v>1087</v>
      </c>
      <c r="C703" s="30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03" s="30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03" s="30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03" s="30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03" s="30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03" s="30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03" s="30" t="n">
        <f aca="false">H703-'Operating Model'!$B$42*(D$51/Assumptions!$C$7)*(1+Assumptions!$C$18+0)^('Operating Model'!G$4-1)</f>
        <v>1209117.41207427</v>
      </c>
    </row>
    <row r="704" customFormat="false" ht="15" hidden="false" customHeight="false" outlineLevel="0" collapsed="false">
      <c r="A704" s="2" t="s">
        <v>1088</v>
      </c>
      <c r="B704" s="30" t="n">
        <f aca="false">Assumptions!$C$7*(D$51/Assumptions!$C$7)</f>
        <v>13800000</v>
      </c>
      <c r="C704" s="30" t="n">
        <f aca="false">MIN(B704*Assumptions!$C$108,C703/(Assumptions!$C$109*Debt!$C$6))</f>
        <v>8512260.02891301</v>
      </c>
      <c r="D704" s="30" t="n">
        <f aca="false">B704*(1+Assumptions!$C$10)+'Unit Mix'!$D$18*1-C704</f>
        <v>5985779.97108699</v>
      </c>
      <c r="E704" s="30" t="n">
        <f aca="false">IF(MAX(0,Assumptions!$C$154-Assumptions!$C$110)=0,C704,-FV(Assumptions!$C$107,MAX(0,Assumptions!$C$154-Assumptions!$C$110),PMT(Assumptions!$C$107,Assumptions!$C$111,C704),C704))</f>
        <v>8013607.9889079</v>
      </c>
      <c r="F704" s="30" t="n">
        <f aca="false">E704*INDEX(Assumptions!$C$112:$C$121,Assumptions!$C$154)</f>
        <v>240408.239667237</v>
      </c>
      <c r="G704" s="30" t="n">
        <f aca="false">I703/($A$53+Returns!$B$35)*(1-Assumptions!$C$158)-E704-F704</f>
        <v>6909202.8731729</v>
      </c>
    </row>
    <row r="705" customFormat="false" ht="15" hidden="false" customHeight="false" outlineLevel="0" collapsed="false">
      <c r="A705" s="2" t="s">
        <v>1089</v>
      </c>
      <c r="C705" s="30" t="n">
        <f aca="false">IF('Operating Model'!B$4&lt;=Assumptions!$C$110,C704*Assumptions!$C$107,-PMT(Assumptions!$C$107,Assumptions!$C$111,C704))</f>
        <v>702584.3507968</v>
      </c>
      <c r="D705" s="30" t="n">
        <f aca="false">IF('Operating Model'!C$4&lt;=Assumptions!$C$110,C704*Assumptions!$C$107,-PMT(Assumptions!$C$107,Assumptions!$C$111,C704))</f>
        <v>702584.3507968</v>
      </c>
      <c r="E705" s="30" t="n">
        <f aca="false">IF('Operating Model'!D$4&lt;=Assumptions!$C$110,C704*Assumptions!$C$107,-PMT(Assumptions!$C$107,Assumptions!$C$111,C704))</f>
        <v>702584.3507968</v>
      </c>
      <c r="F705" s="30" t="n">
        <f aca="false">IF('Operating Model'!E$4&lt;=Assumptions!$C$110,C704*Assumptions!$C$107,-PMT(Assumptions!$C$107,Assumptions!$C$111,C704))</f>
        <v>702584.3507968</v>
      </c>
      <c r="G705" s="30" t="n">
        <f aca="false">IF('Operating Model'!F$4&lt;=Assumptions!$C$110,C704*Assumptions!$C$107,-PMT(Assumptions!$C$107,Assumptions!$C$111,C704))</f>
        <v>702584.3507968</v>
      </c>
    </row>
    <row r="706" customFormat="false" ht="15" hidden="false" customHeight="false" outlineLevel="0" collapsed="false">
      <c r="A706" s="2" t="s">
        <v>1090</v>
      </c>
      <c r="B706" s="30" t="n">
        <f aca="false">-D704</f>
        <v>-5985779.97108699</v>
      </c>
      <c r="C706" s="30" t="n">
        <f aca="false">'Operating Model'!B55+(C703-'Operating Model'!B49)-C705+IF('Operating Model'!B$4=Assumptions!$C$154,G704,0)</f>
        <v>146546.0876992</v>
      </c>
      <c r="D706" s="30" t="n">
        <f aca="false">'Operating Model'!C55+(D703-'Operating Model'!C49)-D705+IF('Operating Model'!C$4=Assumptions!$C$154,G704,0)</f>
        <v>23232.6905796553</v>
      </c>
      <c r="E706" s="30" t="n">
        <f aca="false">'Operating Model'!D55+(E703-'Operating Model'!D49)-E705+IF('Operating Model'!D$4=Assumptions!$C$154,G704,0)</f>
        <v>182098.790321326</v>
      </c>
      <c r="F706" s="30" t="n">
        <f aca="false">'Operating Model'!E55+(F703-'Operating Model'!E49)-F705+IF('Operating Model'!E$4=Assumptions!$C$154,G704,0)</f>
        <v>185849.012852219</v>
      </c>
      <c r="G706" s="30" t="n">
        <f aca="false">'Operating Model'!F55+(G703-'Operating Model'!F49)-G705+IF('Operating Model'!F$4=Assumptions!$C$154,G704,0)</f>
        <v>7100472.10015415</v>
      </c>
      <c r="H706" s="22" t="n">
        <f aca="false">IFERROR(IRR(B706:G706),"N/A")</f>
        <v>0.0517586157077909</v>
      </c>
      <c r="I706" s="24" t="n">
        <f aca="false">SUM(C706:G706)/D704</f>
        <v>1.27605737573068</v>
      </c>
    </row>
    <row r="708" customFormat="false" ht="15" hidden="false" customHeight="false" outlineLevel="0" collapsed="false">
      <c r="A708" s="2" t="s">
        <v>1091</v>
      </c>
      <c r="C708" s="30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08" s="30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08" s="30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08" s="30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08" s="30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08" s="30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08" s="30" t="n">
        <f aca="false">H708-'Operating Model'!$B$42*(E$51/Assumptions!$C$7)*(1+Assumptions!$C$18+0)^('Operating Model'!G$4-1)</f>
        <v>1209117.41207427</v>
      </c>
    </row>
    <row r="709" customFormat="false" ht="15" hidden="false" customHeight="false" outlineLevel="0" collapsed="false">
      <c r="A709" s="2" t="s">
        <v>1092</v>
      </c>
      <c r="B709" s="30" t="n">
        <f aca="false">Assumptions!$C$7*(E$51/Assumptions!$C$7)</f>
        <v>14490000</v>
      </c>
      <c r="C709" s="30" t="n">
        <f aca="false">MIN(B709*Assumptions!$C$108,C708/(Assumptions!$C$109*Debt!$C$6))</f>
        <v>8397594.77358629</v>
      </c>
      <c r="D709" s="30" t="n">
        <f aca="false">B709*(1+Assumptions!$C$10)+'Unit Mix'!$D$18*1-C709</f>
        <v>6800795.22641371</v>
      </c>
      <c r="E709" s="30" t="n">
        <f aca="false">IF(MAX(0,Assumptions!$C$154-Assumptions!$C$110)=0,C709,-FV(Assumptions!$C$107,MAX(0,Assumptions!$C$154-Assumptions!$C$110),PMT(Assumptions!$C$107,Assumptions!$C$111,C709),C709))</f>
        <v>7905659.87606651</v>
      </c>
      <c r="F709" s="30" t="n">
        <f aca="false">E709*INDEX(Assumptions!$C$112:$C$121,Assumptions!$C$154)</f>
        <v>237169.796281995</v>
      </c>
      <c r="G709" s="30" t="n">
        <f aca="false">I708/($A$53+Returns!$B$35)*(1-Assumptions!$C$158)-E709-F709</f>
        <v>7020389.42939953</v>
      </c>
    </row>
    <row r="710" customFormat="false" ht="15" hidden="false" customHeight="false" outlineLevel="0" collapsed="false">
      <c r="A710" s="2" t="s">
        <v>1093</v>
      </c>
      <c r="C710" s="30" t="n">
        <f aca="false">IF('Operating Model'!B$4&lt;=Assumptions!$C$110,C709*Assumptions!$C$107,-PMT(Assumptions!$C$107,Assumptions!$C$111,C709))</f>
        <v>693120.1175968</v>
      </c>
      <c r="D710" s="30" t="n">
        <f aca="false">IF('Operating Model'!C$4&lt;=Assumptions!$C$110,C709*Assumptions!$C$107,-PMT(Assumptions!$C$107,Assumptions!$C$111,C709))</f>
        <v>693120.1175968</v>
      </c>
      <c r="E710" s="30" t="n">
        <f aca="false">IF('Operating Model'!D$4&lt;=Assumptions!$C$110,C709*Assumptions!$C$107,-PMT(Assumptions!$C$107,Assumptions!$C$111,C709))</f>
        <v>693120.1175968</v>
      </c>
      <c r="F710" s="30" t="n">
        <f aca="false">IF('Operating Model'!E$4&lt;=Assumptions!$C$110,C709*Assumptions!$C$107,-PMT(Assumptions!$C$107,Assumptions!$C$111,C709))</f>
        <v>693120.1175968</v>
      </c>
      <c r="G710" s="30" t="n">
        <f aca="false">IF('Operating Model'!F$4&lt;=Assumptions!$C$110,C709*Assumptions!$C$107,-PMT(Assumptions!$C$107,Assumptions!$C$111,C709))</f>
        <v>693120.1175968</v>
      </c>
    </row>
    <row r="711" customFormat="false" ht="15" hidden="false" customHeight="false" outlineLevel="0" collapsed="false">
      <c r="A711" s="2" t="s">
        <v>1094</v>
      </c>
      <c r="B711" s="30" t="n">
        <f aca="false">-D709</f>
        <v>-6800795.22641371</v>
      </c>
      <c r="C711" s="30" t="n">
        <f aca="false">'Operating Model'!B55+(C708-'Operating Model'!B49)-C710+IF('Operating Model'!B$4=Assumptions!$C$154,G709,0)</f>
        <v>144180.0293992</v>
      </c>
      <c r="D711" s="30" t="n">
        <f aca="false">'Operating Model'!C55+(D708-'Operating Model'!C49)-D710+IF('Operating Model'!C$4=Assumptions!$C$154,G709,0)</f>
        <v>20511.7235346552</v>
      </c>
      <c r="E711" s="30" t="n">
        <f aca="false">'Operating Model'!D55+(E708-'Operating Model'!D49)-E710+IF('Operating Model'!D$4=Assumptions!$C$154,G709,0)</f>
        <v>179012.267268976</v>
      </c>
      <c r="F711" s="30" t="n">
        <f aca="false">'Operating Model'!E55+(F708-'Operating Model'!E49)-F710+IF('Operating Model'!E$4=Assumptions!$C$154,G709,0)</f>
        <v>182385.967112298</v>
      </c>
      <c r="G711" s="30" t="n">
        <f aca="false">'Operating Model'!F55+(G708-'Operating Model'!F49)-G710+IF('Operating Model'!F$4=Assumptions!$C$154,G709,0)</f>
        <v>7207807.79227266</v>
      </c>
      <c r="H711" s="22" t="n">
        <f aca="false">IFERROR(IRR(B711:G711),"N/A")</f>
        <v>0.0269098574965603</v>
      </c>
      <c r="I711" s="24" t="n">
        <f aca="false">SUM(C711:G711)/D709</f>
        <v>1.13720491826456</v>
      </c>
    </row>
    <row r="713" customFormat="false" ht="15" hidden="false" customHeight="false" outlineLevel="0" collapsed="false">
      <c r="A713" s="2" t="s">
        <v>1095</v>
      </c>
      <c r="C713" s="30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13" s="30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13" s="30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13" s="30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13" s="30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13" s="30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13" s="30" t="n">
        <f aca="false">H713-'Operating Model'!$B$42*(F$51/Assumptions!$C$7)*(1+Assumptions!$C$18+0)^('Operating Model'!G$4-1)</f>
        <v>1209117.41207427</v>
      </c>
    </row>
    <row r="714" customFormat="false" ht="15" hidden="false" customHeight="false" outlineLevel="0" collapsed="false">
      <c r="A714" s="2" t="s">
        <v>1096</v>
      </c>
      <c r="B714" s="30" t="n">
        <f aca="false">Assumptions!$C$7*(F$51/Assumptions!$C$7)</f>
        <v>15180000</v>
      </c>
      <c r="C714" s="30" t="n">
        <f aca="false">MIN(B714*Assumptions!$C$108,C713/(Assumptions!$C$109*Debt!$C$6))</f>
        <v>8282929.51825957</v>
      </c>
      <c r="D714" s="30" t="n">
        <f aca="false">B714*(1+Assumptions!$C$10)+'Unit Mix'!$D$18*1-C714</f>
        <v>7615810.48174043</v>
      </c>
      <c r="E714" s="30" t="n">
        <f aca="false">IF(MAX(0,Assumptions!$C$154-Assumptions!$C$110)=0,C714,-FV(Assumptions!$C$107,MAX(0,Assumptions!$C$154-Assumptions!$C$110),PMT(Assumptions!$C$107,Assumptions!$C$111,C714),C714))</f>
        <v>7797711.76322512</v>
      </c>
      <c r="F714" s="30" t="n">
        <f aca="false">E714*INDEX(Assumptions!$C$112:$C$121,Assumptions!$C$154)</f>
        <v>233931.352896754</v>
      </c>
      <c r="G714" s="30" t="n">
        <f aca="false">I713/($A$53+Returns!$B$35)*(1-Assumptions!$C$158)-E714-F714</f>
        <v>7131575.98562616</v>
      </c>
    </row>
    <row r="715" customFormat="false" ht="15" hidden="false" customHeight="false" outlineLevel="0" collapsed="false">
      <c r="A715" s="2" t="s">
        <v>1097</v>
      </c>
      <c r="C715" s="30" t="n">
        <f aca="false">IF('Operating Model'!B$4&lt;=Assumptions!$C$110,C714*Assumptions!$C$107,-PMT(Assumptions!$C$107,Assumptions!$C$111,C714))</f>
        <v>683655.8843968</v>
      </c>
      <c r="D715" s="30" t="n">
        <f aca="false">IF('Operating Model'!C$4&lt;=Assumptions!$C$110,C714*Assumptions!$C$107,-PMT(Assumptions!$C$107,Assumptions!$C$111,C714))</f>
        <v>683655.8843968</v>
      </c>
      <c r="E715" s="30" t="n">
        <f aca="false">IF('Operating Model'!D$4&lt;=Assumptions!$C$110,C714*Assumptions!$C$107,-PMT(Assumptions!$C$107,Assumptions!$C$111,C714))</f>
        <v>683655.8843968</v>
      </c>
      <c r="F715" s="30" t="n">
        <f aca="false">IF('Operating Model'!E$4&lt;=Assumptions!$C$110,C714*Assumptions!$C$107,-PMT(Assumptions!$C$107,Assumptions!$C$111,C714))</f>
        <v>683655.8843968</v>
      </c>
      <c r="G715" s="30" t="n">
        <f aca="false">IF('Operating Model'!F$4&lt;=Assumptions!$C$110,C714*Assumptions!$C$107,-PMT(Assumptions!$C$107,Assumptions!$C$111,C714))</f>
        <v>683655.8843968</v>
      </c>
    </row>
    <row r="716" customFormat="false" ht="15" hidden="false" customHeight="false" outlineLevel="0" collapsed="false">
      <c r="A716" s="2" t="s">
        <v>1098</v>
      </c>
      <c r="B716" s="30" t="n">
        <f aca="false">-D714</f>
        <v>-7615810.48174043</v>
      </c>
      <c r="C716" s="30" t="n">
        <f aca="false">'Operating Model'!B55+(C713-'Operating Model'!B49)-C715+IF('Operating Model'!B$4=Assumptions!$C$154,G714,0)</f>
        <v>141813.9710992</v>
      </c>
      <c r="D716" s="30" t="n">
        <f aca="false">'Operating Model'!C55+(D713-'Operating Model'!C49)-D715+IF('Operating Model'!C$4=Assumptions!$C$154,G714,0)</f>
        <v>17790.7564896554</v>
      </c>
      <c r="E716" s="30" t="n">
        <f aca="false">'Operating Model'!D55+(E713-'Operating Model'!D49)-E715+IF('Operating Model'!D$4=Assumptions!$C$154,G714,0)</f>
        <v>175925.744216626</v>
      </c>
      <c r="F716" s="30" t="n">
        <f aca="false">'Operating Model'!E55+(F713-'Operating Model'!E49)-F715+IF('Operating Model'!E$4=Assumptions!$C$154,G714,0)</f>
        <v>178922.921372378</v>
      </c>
      <c r="G716" s="30" t="n">
        <f aca="false">'Operating Model'!F55+(G713-'Operating Model'!F49)-G715+IF('Operating Model'!F$4=Assumptions!$C$154,G714,0)</f>
        <v>7315143.48439117</v>
      </c>
      <c r="H716" s="22" t="n">
        <f aca="false">IFERROR(IRR(B716:G716),"N/A")</f>
        <v>0.00572237140023573</v>
      </c>
      <c r="I716" s="24" t="n">
        <f aca="false">SUM(C716:G716)/D714</f>
        <v>1.02807139126442</v>
      </c>
    </row>
    <row r="718" customFormat="false" ht="15" hidden="false" customHeight="false" outlineLevel="0" collapsed="false">
      <c r="A718" s="2" t="s">
        <v>1099</v>
      </c>
      <c r="C718" s="30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18" s="30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18" s="30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18" s="30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18" s="30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18" s="30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18" s="30" t="n">
        <f aca="false">H718-'Operating Model'!$B$42*(B$51/Assumptions!$C$7)*(1+Assumptions!$C$18+0)^('Operating Model'!G$4-1)</f>
        <v>1209117.41207427</v>
      </c>
    </row>
    <row r="719" customFormat="false" ht="15" hidden="false" customHeight="false" outlineLevel="0" collapsed="false">
      <c r="A719" s="2" t="s">
        <v>1100</v>
      </c>
      <c r="B719" s="30" t="n">
        <f aca="false">Assumptions!$C$7*(B$51/Assumptions!$C$7)</f>
        <v>12420000</v>
      </c>
      <c r="C719" s="30" t="n">
        <f aca="false">MIN(B719*Assumptions!$C$108,C718/(Assumptions!$C$109*Debt!$C$6))</f>
        <v>8741590.53956644</v>
      </c>
      <c r="D719" s="30" t="n">
        <f aca="false">B719*(1+Assumptions!$C$10)+'Unit Mix'!$D$18*1-C719</f>
        <v>4355749.46043355</v>
      </c>
      <c r="E719" s="30" t="n">
        <f aca="false">IF(MAX(0,Assumptions!$C$154-Assumptions!$C$110)=0,C719,-FV(Assumptions!$C$107,MAX(0,Assumptions!$C$154-Assumptions!$C$110),PMT(Assumptions!$C$107,Assumptions!$C$111,C719),C719))</f>
        <v>8229504.21459068</v>
      </c>
      <c r="F719" s="30" t="n">
        <f aca="false">E719*INDEX(Assumptions!$C$112:$C$121,Assumptions!$C$154)</f>
        <v>246885.12643772</v>
      </c>
      <c r="G719" s="30" t="n">
        <f aca="false">I718/($A$54+Returns!$B$35)*(1-Assumptions!$C$158)-E719-F719</f>
        <v>5774979.66316469</v>
      </c>
    </row>
    <row r="720" customFormat="false" ht="15" hidden="false" customHeight="false" outlineLevel="0" collapsed="false">
      <c r="A720" s="2" t="s">
        <v>1101</v>
      </c>
      <c r="C720" s="30" t="n">
        <f aca="false">IF('Operating Model'!B$4&lt;=Assumptions!$C$110,C719*Assumptions!$C$107,-PMT(Assumptions!$C$107,Assumptions!$C$111,C719))</f>
        <v>721512.8171968</v>
      </c>
      <c r="D720" s="30" t="n">
        <f aca="false">IF('Operating Model'!C$4&lt;=Assumptions!$C$110,C719*Assumptions!$C$107,-PMT(Assumptions!$C$107,Assumptions!$C$111,C719))</f>
        <v>721512.8171968</v>
      </c>
      <c r="E720" s="30" t="n">
        <f aca="false">IF('Operating Model'!D$4&lt;=Assumptions!$C$110,C719*Assumptions!$C$107,-PMT(Assumptions!$C$107,Assumptions!$C$111,C719))</f>
        <v>721512.8171968</v>
      </c>
      <c r="F720" s="30" t="n">
        <f aca="false">IF('Operating Model'!E$4&lt;=Assumptions!$C$110,C719*Assumptions!$C$107,-PMT(Assumptions!$C$107,Assumptions!$C$111,C719))</f>
        <v>721512.8171968</v>
      </c>
      <c r="G720" s="30" t="n">
        <f aca="false">IF('Operating Model'!F$4&lt;=Assumptions!$C$110,C719*Assumptions!$C$107,-PMT(Assumptions!$C$107,Assumptions!$C$111,C719))</f>
        <v>721512.8171968</v>
      </c>
    </row>
    <row r="721" customFormat="false" ht="15" hidden="false" customHeight="false" outlineLevel="0" collapsed="false">
      <c r="A721" s="2" t="s">
        <v>1102</v>
      </c>
      <c r="B721" s="30" t="n">
        <f aca="false">-D719</f>
        <v>-4355749.46043355</v>
      </c>
      <c r="C721" s="30" t="n">
        <f aca="false">'Operating Model'!B55+(C718-'Operating Model'!B49)-C720+IF('Operating Model'!B$4=Assumptions!$C$154,G719,0)</f>
        <v>151278.2042992</v>
      </c>
      <c r="D721" s="30" t="n">
        <f aca="false">'Operating Model'!C55+(D718-'Operating Model'!C49)-D720+IF('Operating Model'!C$4=Assumptions!$C$154,G719,0)</f>
        <v>28674.6246696552</v>
      </c>
      <c r="E721" s="30" t="n">
        <f aca="false">'Operating Model'!D55+(E718-'Operating Model'!D49)-E720+IF('Operating Model'!D$4=Assumptions!$C$154,G719,0)</f>
        <v>188271.836426026</v>
      </c>
      <c r="F721" s="30" t="n">
        <f aca="false">'Operating Model'!E55+(F718-'Operating Model'!E49)-F720+IF('Operating Model'!E$4=Assumptions!$C$154,G719,0)</f>
        <v>192775.10433206</v>
      </c>
      <c r="G721" s="30" t="n">
        <f aca="false">'Operating Model'!F55+(G718-'Operating Model'!F49)-G720+IF('Operating Model'!F$4=Assumptions!$C$154,G719,0)</f>
        <v>5973950.61836217</v>
      </c>
      <c r="H721" s="22" t="n">
        <f aca="false">IFERROR(IRR(B721:G721),"N/A")</f>
        <v>0.0885114560429346</v>
      </c>
      <c r="I721" s="24" t="n">
        <f aca="false">SUM(C721:G721)/D719</f>
        <v>1.50030447055112</v>
      </c>
    </row>
    <row r="723" customFormat="false" ht="15" hidden="false" customHeight="false" outlineLevel="0" collapsed="false">
      <c r="A723" s="2" t="s">
        <v>1103</v>
      </c>
      <c r="C723" s="30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23" s="30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23" s="30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23" s="30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23" s="30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23" s="30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23" s="30" t="n">
        <f aca="false">H723-'Operating Model'!$B$42*(C$51/Assumptions!$C$7)*(1+Assumptions!$C$18+0)^('Operating Model'!G$4-1)</f>
        <v>1209117.41207427</v>
      </c>
    </row>
    <row r="724" customFormat="false" ht="15" hidden="false" customHeight="false" outlineLevel="0" collapsed="false">
      <c r="A724" s="2" t="s">
        <v>1104</v>
      </c>
      <c r="B724" s="30" t="n">
        <f aca="false">Assumptions!$C$7*(C$51/Assumptions!$C$7)</f>
        <v>13110000</v>
      </c>
      <c r="C724" s="30" t="n">
        <f aca="false">MIN(B724*Assumptions!$C$108,C723/(Assumptions!$C$109*Debt!$C$6))</f>
        <v>8626925.28423972</v>
      </c>
      <c r="D724" s="30" t="n">
        <f aca="false">B724*(1+Assumptions!$C$10)+'Unit Mix'!$D$18*1-C724</f>
        <v>5170764.71576027</v>
      </c>
      <c r="E724" s="30" t="n">
        <f aca="false">IF(MAX(0,Assumptions!$C$154-Assumptions!$C$110)=0,C724,-FV(Assumptions!$C$107,MAX(0,Assumptions!$C$154-Assumptions!$C$110),PMT(Assumptions!$C$107,Assumptions!$C$111,C724),C724))</f>
        <v>8121556.10174929</v>
      </c>
      <c r="F724" s="30" t="n">
        <f aca="false">E724*INDEX(Assumptions!$C$112:$C$121,Assumptions!$C$154)</f>
        <v>243646.683052479</v>
      </c>
      <c r="G724" s="30" t="n">
        <f aca="false">I723/($A$54+Returns!$B$35)*(1-Assumptions!$C$158)-E724-F724</f>
        <v>5886166.21939132</v>
      </c>
    </row>
    <row r="725" customFormat="false" ht="15" hidden="false" customHeight="false" outlineLevel="0" collapsed="false">
      <c r="A725" s="2" t="s">
        <v>1105</v>
      </c>
      <c r="C725" s="30" t="n">
        <f aca="false">IF('Operating Model'!B$4&lt;=Assumptions!$C$110,C724*Assumptions!$C$107,-PMT(Assumptions!$C$107,Assumptions!$C$111,C724))</f>
        <v>712048.5839968</v>
      </c>
      <c r="D725" s="30" t="n">
        <f aca="false">IF('Operating Model'!C$4&lt;=Assumptions!$C$110,C724*Assumptions!$C$107,-PMT(Assumptions!$C$107,Assumptions!$C$111,C724))</f>
        <v>712048.5839968</v>
      </c>
      <c r="E725" s="30" t="n">
        <f aca="false">IF('Operating Model'!D$4&lt;=Assumptions!$C$110,C724*Assumptions!$C$107,-PMT(Assumptions!$C$107,Assumptions!$C$111,C724))</f>
        <v>712048.5839968</v>
      </c>
      <c r="F725" s="30" t="n">
        <f aca="false">IF('Operating Model'!E$4&lt;=Assumptions!$C$110,C724*Assumptions!$C$107,-PMT(Assumptions!$C$107,Assumptions!$C$111,C724))</f>
        <v>712048.5839968</v>
      </c>
      <c r="G725" s="30" t="n">
        <f aca="false">IF('Operating Model'!F$4&lt;=Assumptions!$C$110,C724*Assumptions!$C$107,-PMT(Assumptions!$C$107,Assumptions!$C$111,C724))</f>
        <v>712048.5839968</v>
      </c>
    </row>
    <row r="726" customFormat="false" ht="15" hidden="false" customHeight="false" outlineLevel="0" collapsed="false">
      <c r="A726" s="2" t="s">
        <v>1106</v>
      </c>
      <c r="B726" s="30" t="n">
        <f aca="false">-D724</f>
        <v>-5170764.71576027</v>
      </c>
      <c r="C726" s="30" t="n">
        <f aca="false">'Operating Model'!B55+(C723-'Operating Model'!B49)-C725+IF('Operating Model'!B$4=Assumptions!$C$154,G724,0)</f>
        <v>148912.1459992</v>
      </c>
      <c r="D726" s="30" t="n">
        <f aca="false">'Operating Model'!C55+(D723-'Operating Model'!C49)-D725+IF('Operating Model'!C$4=Assumptions!$C$154,G724,0)</f>
        <v>25953.6576246554</v>
      </c>
      <c r="E726" s="30" t="n">
        <f aca="false">'Operating Model'!D55+(E723-'Operating Model'!D49)-E725+IF('Operating Model'!D$4=Assumptions!$C$154,G724,0)</f>
        <v>185185.313373676</v>
      </c>
      <c r="F726" s="30" t="n">
        <f aca="false">'Operating Model'!E55+(F723-'Operating Model'!E49)-F725+IF('Operating Model'!E$4=Assumptions!$C$154,G724,0)</f>
        <v>189312.058592139</v>
      </c>
      <c r="G726" s="30" t="n">
        <f aca="false">'Operating Model'!F55+(G723-'Operating Model'!F49)-G725+IF('Operating Model'!F$4=Assumptions!$C$154,G724,0)</f>
        <v>6081286.31048068</v>
      </c>
      <c r="H726" s="22" t="n">
        <f aca="false">IFERROR(IRR(B726:G726),"N/A")</f>
        <v>0.0531702856826172</v>
      </c>
      <c r="I726" s="24" t="n">
        <f aca="false">SUM(C726:G726)/D724</f>
        <v>1.28233440323835</v>
      </c>
    </row>
    <row r="728" customFormat="false" ht="15" hidden="false" customHeight="false" outlineLevel="0" collapsed="false">
      <c r="A728" s="2" t="s">
        <v>1107</v>
      </c>
      <c r="C728" s="30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28" s="30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28" s="30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28" s="30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28" s="30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28" s="30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28" s="30" t="n">
        <f aca="false">H728-'Operating Model'!$B$42*(D$51/Assumptions!$C$7)*(1+Assumptions!$C$18+0)^('Operating Model'!G$4-1)</f>
        <v>1209117.41207427</v>
      </c>
    </row>
    <row r="729" customFormat="false" ht="15" hidden="false" customHeight="false" outlineLevel="0" collapsed="false">
      <c r="A729" s="2" t="s">
        <v>1108</v>
      </c>
      <c r="B729" s="30" t="n">
        <f aca="false">Assumptions!$C$7*(D$51/Assumptions!$C$7)</f>
        <v>13800000</v>
      </c>
      <c r="C729" s="30" t="n">
        <f aca="false">MIN(B729*Assumptions!$C$108,C728/(Assumptions!$C$109*Debt!$C$6))</f>
        <v>8512260.02891301</v>
      </c>
      <c r="D729" s="30" t="n">
        <f aca="false">B729*(1+Assumptions!$C$10)+'Unit Mix'!$D$18*1-C729</f>
        <v>5985779.97108699</v>
      </c>
      <c r="E729" s="30" t="n">
        <f aca="false">IF(MAX(0,Assumptions!$C$154-Assumptions!$C$110)=0,C729,-FV(Assumptions!$C$107,MAX(0,Assumptions!$C$154-Assumptions!$C$110),PMT(Assumptions!$C$107,Assumptions!$C$111,C729),C729))</f>
        <v>8013607.9889079</v>
      </c>
      <c r="F729" s="30" t="n">
        <f aca="false">E729*INDEX(Assumptions!$C$112:$C$121,Assumptions!$C$154)</f>
        <v>240408.239667237</v>
      </c>
      <c r="G729" s="30" t="n">
        <f aca="false">I728/($A$54+Returns!$B$35)*(1-Assumptions!$C$158)-E729-F729</f>
        <v>5997352.77561795</v>
      </c>
    </row>
    <row r="730" customFormat="false" ht="15" hidden="false" customHeight="false" outlineLevel="0" collapsed="false">
      <c r="A730" s="2" t="s">
        <v>1109</v>
      </c>
      <c r="C730" s="30" t="n">
        <f aca="false">IF('Operating Model'!B$4&lt;=Assumptions!$C$110,C729*Assumptions!$C$107,-PMT(Assumptions!$C$107,Assumptions!$C$111,C729))</f>
        <v>702584.3507968</v>
      </c>
      <c r="D730" s="30" t="n">
        <f aca="false">IF('Operating Model'!C$4&lt;=Assumptions!$C$110,C729*Assumptions!$C$107,-PMT(Assumptions!$C$107,Assumptions!$C$111,C729))</f>
        <v>702584.3507968</v>
      </c>
      <c r="E730" s="30" t="n">
        <f aca="false">IF('Operating Model'!D$4&lt;=Assumptions!$C$110,C729*Assumptions!$C$107,-PMT(Assumptions!$C$107,Assumptions!$C$111,C729))</f>
        <v>702584.3507968</v>
      </c>
      <c r="F730" s="30" t="n">
        <f aca="false">IF('Operating Model'!E$4&lt;=Assumptions!$C$110,C729*Assumptions!$C$107,-PMT(Assumptions!$C$107,Assumptions!$C$111,C729))</f>
        <v>702584.3507968</v>
      </c>
      <c r="G730" s="30" t="n">
        <f aca="false">IF('Operating Model'!F$4&lt;=Assumptions!$C$110,C729*Assumptions!$C$107,-PMT(Assumptions!$C$107,Assumptions!$C$111,C729))</f>
        <v>702584.3507968</v>
      </c>
    </row>
    <row r="731" customFormat="false" ht="15" hidden="false" customHeight="false" outlineLevel="0" collapsed="false">
      <c r="A731" s="2" t="s">
        <v>1110</v>
      </c>
      <c r="B731" s="30" t="n">
        <f aca="false">-D729</f>
        <v>-5985779.97108699</v>
      </c>
      <c r="C731" s="30" t="n">
        <f aca="false">'Operating Model'!B55+(C728-'Operating Model'!B49)-C730+IF('Operating Model'!B$4=Assumptions!$C$154,G729,0)</f>
        <v>146546.0876992</v>
      </c>
      <c r="D731" s="30" t="n">
        <f aca="false">'Operating Model'!C55+(D728-'Operating Model'!C49)-D730+IF('Operating Model'!C$4=Assumptions!$C$154,G729,0)</f>
        <v>23232.6905796553</v>
      </c>
      <c r="E731" s="30" t="n">
        <f aca="false">'Operating Model'!D55+(E728-'Operating Model'!D49)-E730+IF('Operating Model'!D$4=Assumptions!$C$154,G729,0)</f>
        <v>182098.790321326</v>
      </c>
      <c r="F731" s="30" t="n">
        <f aca="false">'Operating Model'!E55+(F728-'Operating Model'!E49)-F730+IF('Operating Model'!E$4=Assumptions!$C$154,G729,0)</f>
        <v>185849.012852219</v>
      </c>
      <c r="G731" s="30" t="n">
        <f aca="false">'Operating Model'!F55+(G728-'Operating Model'!F49)-G730+IF('Operating Model'!F$4=Assumptions!$C$154,G729,0)</f>
        <v>6188622.0025992</v>
      </c>
      <c r="H731" s="22" t="n">
        <f aca="false">IFERROR(IRR(B731:G731),"N/A")</f>
        <v>0.0245228004269769</v>
      </c>
      <c r="I731" s="24" t="n">
        <f aca="false">SUM(C731:G731)/D729</f>
        <v>1.12372132229079</v>
      </c>
    </row>
    <row r="733" customFormat="false" ht="15" hidden="false" customHeight="false" outlineLevel="0" collapsed="false">
      <c r="A733" s="2" t="s">
        <v>1111</v>
      </c>
      <c r="C733" s="30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33" s="30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33" s="30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33" s="30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33" s="30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33" s="30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33" s="30" t="n">
        <f aca="false">H733-'Operating Model'!$B$42*(E$51/Assumptions!$C$7)*(1+Assumptions!$C$18+0)^('Operating Model'!G$4-1)</f>
        <v>1209117.41207427</v>
      </c>
    </row>
    <row r="734" customFormat="false" ht="15" hidden="false" customHeight="false" outlineLevel="0" collapsed="false">
      <c r="A734" s="2" t="s">
        <v>1112</v>
      </c>
      <c r="B734" s="30" t="n">
        <f aca="false">Assumptions!$C$7*(E$51/Assumptions!$C$7)</f>
        <v>14490000</v>
      </c>
      <c r="C734" s="30" t="n">
        <f aca="false">MIN(B734*Assumptions!$C$108,C733/(Assumptions!$C$109*Debt!$C$6))</f>
        <v>8397594.77358629</v>
      </c>
      <c r="D734" s="30" t="n">
        <f aca="false">B734*(1+Assumptions!$C$10)+'Unit Mix'!$D$18*1-C734</f>
        <v>6800795.22641371</v>
      </c>
      <c r="E734" s="30" t="n">
        <f aca="false">IF(MAX(0,Assumptions!$C$154-Assumptions!$C$110)=0,C734,-FV(Assumptions!$C$107,MAX(0,Assumptions!$C$154-Assumptions!$C$110),PMT(Assumptions!$C$107,Assumptions!$C$111,C734),C734))</f>
        <v>7905659.87606651</v>
      </c>
      <c r="F734" s="30" t="n">
        <f aca="false">E734*INDEX(Assumptions!$C$112:$C$121,Assumptions!$C$154)</f>
        <v>237169.796281995</v>
      </c>
      <c r="G734" s="30" t="n">
        <f aca="false">I733/($A$54+Returns!$B$35)*(1-Assumptions!$C$158)-E734-F734</f>
        <v>6108539.33184458</v>
      </c>
    </row>
    <row r="735" customFormat="false" ht="15" hidden="false" customHeight="false" outlineLevel="0" collapsed="false">
      <c r="A735" s="2" t="s">
        <v>1113</v>
      </c>
      <c r="C735" s="30" t="n">
        <f aca="false">IF('Operating Model'!B$4&lt;=Assumptions!$C$110,C734*Assumptions!$C$107,-PMT(Assumptions!$C$107,Assumptions!$C$111,C734))</f>
        <v>693120.1175968</v>
      </c>
      <c r="D735" s="30" t="n">
        <f aca="false">IF('Operating Model'!C$4&lt;=Assumptions!$C$110,C734*Assumptions!$C$107,-PMT(Assumptions!$C$107,Assumptions!$C$111,C734))</f>
        <v>693120.1175968</v>
      </c>
      <c r="E735" s="30" t="n">
        <f aca="false">IF('Operating Model'!D$4&lt;=Assumptions!$C$110,C734*Assumptions!$C$107,-PMT(Assumptions!$C$107,Assumptions!$C$111,C734))</f>
        <v>693120.1175968</v>
      </c>
      <c r="F735" s="30" t="n">
        <f aca="false">IF('Operating Model'!E$4&lt;=Assumptions!$C$110,C734*Assumptions!$C$107,-PMT(Assumptions!$C$107,Assumptions!$C$111,C734))</f>
        <v>693120.1175968</v>
      </c>
      <c r="G735" s="30" t="n">
        <f aca="false">IF('Operating Model'!F$4&lt;=Assumptions!$C$110,C734*Assumptions!$C$107,-PMT(Assumptions!$C$107,Assumptions!$C$111,C734))</f>
        <v>693120.1175968</v>
      </c>
    </row>
    <row r="736" customFormat="false" ht="15" hidden="false" customHeight="false" outlineLevel="0" collapsed="false">
      <c r="A736" s="2" t="s">
        <v>1114</v>
      </c>
      <c r="B736" s="30" t="n">
        <f aca="false">-D734</f>
        <v>-6800795.22641371</v>
      </c>
      <c r="C736" s="30" t="n">
        <f aca="false">'Operating Model'!B55+(C733-'Operating Model'!B49)-C735+IF('Operating Model'!B$4=Assumptions!$C$154,G734,0)</f>
        <v>144180.0293992</v>
      </c>
      <c r="D736" s="30" t="n">
        <f aca="false">'Operating Model'!C55+(D733-'Operating Model'!C49)-D735+IF('Operating Model'!C$4=Assumptions!$C$154,G734,0)</f>
        <v>20511.7235346552</v>
      </c>
      <c r="E736" s="30" t="n">
        <f aca="false">'Operating Model'!D55+(E733-'Operating Model'!D49)-E735+IF('Operating Model'!D$4=Assumptions!$C$154,G734,0)</f>
        <v>179012.267268976</v>
      </c>
      <c r="F736" s="30" t="n">
        <f aca="false">'Operating Model'!E55+(F733-'Operating Model'!E49)-F735+IF('Operating Model'!E$4=Assumptions!$C$154,G734,0)</f>
        <v>182385.967112298</v>
      </c>
      <c r="G736" s="30" t="n">
        <f aca="false">'Operating Model'!F55+(G733-'Operating Model'!F49)-G735+IF('Operating Model'!F$4=Assumptions!$C$154,G734,0)</f>
        <v>6295957.69471771</v>
      </c>
      <c r="H736" s="22" t="n">
        <f aca="false">IFERROR(IRR(B736:G736),"N/A")</f>
        <v>0.000646588466940971</v>
      </c>
      <c r="I736" s="24" t="n">
        <f aca="false">SUM(C736:G736)/D734</f>
        <v>1.00312499566765</v>
      </c>
    </row>
    <row r="738" customFormat="false" ht="15" hidden="false" customHeight="false" outlineLevel="0" collapsed="false">
      <c r="A738" s="2" t="s">
        <v>1115</v>
      </c>
      <c r="C738" s="30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38" s="30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38" s="30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38" s="30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38" s="30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38" s="30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38" s="30" t="n">
        <f aca="false">H738-'Operating Model'!$B$42*(F$51/Assumptions!$C$7)*(1+Assumptions!$C$18+0)^('Operating Model'!G$4-1)</f>
        <v>1209117.41207427</v>
      </c>
    </row>
    <row r="739" customFormat="false" ht="15" hidden="false" customHeight="false" outlineLevel="0" collapsed="false">
      <c r="A739" s="2" t="s">
        <v>1116</v>
      </c>
      <c r="B739" s="30" t="n">
        <f aca="false">Assumptions!$C$7*(F$51/Assumptions!$C$7)</f>
        <v>15180000</v>
      </c>
      <c r="C739" s="30" t="n">
        <f aca="false">MIN(B739*Assumptions!$C$108,C738/(Assumptions!$C$109*Debt!$C$6))</f>
        <v>8282929.51825957</v>
      </c>
      <c r="D739" s="30" t="n">
        <f aca="false">B739*(1+Assumptions!$C$10)+'Unit Mix'!$D$18*1-C739</f>
        <v>7615810.48174043</v>
      </c>
      <c r="E739" s="30" t="n">
        <f aca="false">IF(MAX(0,Assumptions!$C$154-Assumptions!$C$110)=0,C739,-FV(Assumptions!$C$107,MAX(0,Assumptions!$C$154-Assumptions!$C$110),PMT(Assumptions!$C$107,Assumptions!$C$111,C739),C739))</f>
        <v>7797711.76322512</v>
      </c>
      <c r="F739" s="30" t="n">
        <f aca="false">E739*INDEX(Assumptions!$C$112:$C$121,Assumptions!$C$154)</f>
        <v>233931.352896754</v>
      </c>
      <c r="G739" s="30" t="n">
        <f aca="false">I738/($A$54+Returns!$B$35)*(1-Assumptions!$C$158)-E739-F739</f>
        <v>6219725.88807121</v>
      </c>
    </row>
    <row r="740" customFormat="false" ht="15" hidden="false" customHeight="false" outlineLevel="0" collapsed="false">
      <c r="A740" s="2" t="s">
        <v>1117</v>
      </c>
      <c r="C740" s="30" t="n">
        <f aca="false">IF('Operating Model'!B$4&lt;=Assumptions!$C$110,C739*Assumptions!$C$107,-PMT(Assumptions!$C$107,Assumptions!$C$111,C739))</f>
        <v>683655.8843968</v>
      </c>
      <c r="D740" s="30" t="n">
        <f aca="false">IF('Operating Model'!C$4&lt;=Assumptions!$C$110,C739*Assumptions!$C$107,-PMT(Assumptions!$C$107,Assumptions!$C$111,C739))</f>
        <v>683655.8843968</v>
      </c>
      <c r="E740" s="30" t="n">
        <f aca="false">IF('Operating Model'!D$4&lt;=Assumptions!$C$110,C739*Assumptions!$C$107,-PMT(Assumptions!$C$107,Assumptions!$C$111,C739))</f>
        <v>683655.8843968</v>
      </c>
      <c r="F740" s="30" t="n">
        <f aca="false">IF('Operating Model'!E$4&lt;=Assumptions!$C$110,C739*Assumptions!$C$107,-PMT(Assumptions!$C$107,Assumptions!$C$111,C739))</f>
        <v>683655.8843968</v>
      </c>
      <c r="G740" s="30" t="n">
        <f aca="false">IF('Operating Model'!F$4&lt;=Assumptions!$C$110,C739*Assumptions!$C$107,-PMT(Assumptions!$C$107,Assumptions!$C$111,C739))</f>
        <v>683655.8843968</v>
      </c>
    </row>
    <row r="741" customFormat="false" ht="15" hidden="false" customHeight="false" outlineLevel="0" collapsed="false">
      <c r="A741" s="2" t="s">
        <v>1118</v>
      </c>
      <c r="B741" s="30" t="n">
        <f aca="false">-D739</f>
        <v>-7615810.48174043</v>
      </c>
      <c r="C741" s="30" t="n">
        <f aca="false">'Operating Model'!B55+(C738-'Operating Model'!B49)-C740+IF('Operating Model'!B$4=Assumptions!$C$154,G739,0)</f>
        <v>141813.9710992</v>
      </c>
      <c r="D741" s="30" t="n">
        <f aca="false">'Operating Model'!C55+(D738-'Operating Model'!C49)-D740+IF('Operating Model'!C$4=Assumptions!$C$154,G739,0)</f>
        <v>17790.7564896554</v>
      </c>
      <c r="E741" s="30" t="n">
        <f aca="false">'Operating Model'!D55+(E738-'Operating Model'!D49)-E740+IF('Operating Model'!D$4=Assumptions!$C$154,G739,0)</f>
        <v>175925.744216626</v>
      </c>
      <c r="F741" s="30" t="n">
        <f aca="false">'Operating Model'!E55+(F738-'Operating Model'!E49)-F740+IF('Operating Model'!E$4=Assumptions!$C$154,G739,0)</f>
        <v>178922.921372378</v>
      </c>
      <c r="G741" s="30" t="n">
        <f aca="false">'Operating Model'!F55+(G738-'Operating Model'!F49)-G740+IF('Operating Model'!F$4=Assumptions!$C$154,G739,0)</f>
        <v>6403293.38683622</v>
      </c>
      <c r="H741" s="22" t="n">
        <f aca="false">IFERROR(IRR(B741:G741),"N/A")</f>
        <v>-0.019675157148602</v>
      </c>
      <c r="I741" s="24" t="n">
        <f aca="false">SUM(C741:G741)/D739</f>
        <v>0.908340195255644</v>
      </c>
    </row>
    <row r="743" customFormat="false" ht="15" hidden="false" customHeight="false" outlineLevel="0" collapsed="false">
      <c r="A743" s="2" t="s">
        <v>1119</v>
      </c>
      <c r="C743" s="30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43" s="30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43" s="30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43" s="30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43" s="30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43" s="30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43" s="30" t="n">
        <f aca="false">H743-'Operating Model'!$B$42*(B$51/Assumptions!$C$7)*(1+Assumptions!$C$18+0)^('Operating Model'!G$4-1)</f>
        <v>1209117.41207427</v>
      </c>
    </row>
    <row r="744" customFormat="false" ht="15" hidden="false" customHeight="false" outlineLevel="0" collapsed="false">
      <c r="A744" s="2" t="s">
        <v>1120</v>
      </c>
      <c r="B744" s="30" t="n">
        <f aca="false">Assumptions!$C$7*(B$51/Assumptions!$C$7)</f>
        <v>12420000</v>
      </c>
      <c r="C744" s="30" t="n">
        <f aca="false">MIN(B744*Assumptions!$C$108,C743/(Assumptions!$C$109*Debt!$C$6))</f>
        <v>8741590.53956644</v>
      </c>
      <c r="D744" s="30" t="n">
        <f aca="false">B744*(1+Assumptions!$C$10)+'Unit Mix'!$D$18*1-C744</f>
        <v>4355749.46043355</v>
      </c>
      <c r="E744" s="30" t="n">
        <f aca="false">IF(MAX(0,Assumptions!$C$154-Assumptions!$C$110)=0,C744,-FV(Assumptions!$C$107,MAX(0,Assumptions!$C$154-Assumptions!$C$110),PMT(Assumptions!$C$107,Assumptions!$C$111,C744),C744))</f>
        <v>8229504.21459068</v>
      </c>
      <c r="F744" s="30" t="n">
        <f aca="false">E744*INDEX(Assumptions!$C$112:$C$121,Assumptions!$C$154)</f>
        <v>246885.12643772</v>
      </c>
      <c r="G744" s="30" t="n">
        <f aca="false">I743/($A$55+Returns!$B$35)*(1-Assumptions!$C$158)-E744-F744</f>
        <v>4966578.02858084</v>
      </c>
    </row>
    <row r="745" customFormat="false" ht="15" hidden="false" customHeight="false" outlineLevel="0" collapsed="false">
      <c r="A745" s="2" t="s">
        <v>1121</v>
      </c>
      <c r="C745" s="30" t="n">
        <f aca="false">IF('Operating Model'!B$4&lt;=Assumptions!$C$110,C744*Assumptions!$C$107,-PMT(Assumptions!$C$107,Assumptions!$C$111,C744))</f>
        <v>721512.8171968</v>
      </c>
      <c r="D745" s="30" t="n">
        <f aca="false">IF('Operating Model'!C$4&lt;=Assumptions!$C$110,C744*Assumptions!$C$107,-PMT(Assumptions!$C$107,Assumptions!$C$111,C744))</f>
        <v>721512.8171968</v>
      </c>
      <c r="E745" s="30" t="n">
        <f aca="false">IF('Operating Model'!D$4&lt;=Assumptions!$C$110,C744*Assumptions!$C$107,-PMT(Assumptions!$C$107,Assumptions!$C$111,C744))</f>
        <v>721512.8171968</v>
      </c>
      <c r="F745" s="30" t="n">
        <f aca="false">IF('Operating Model'!E$4&lt;=Assumptions!$C$110,C744*Assumptions!$C$107,-PMT(Assumptions!$C$107,Assumptions!$C$111,C744))</f>
        <v>721512.8171968</v>
      </c>
      <c r="G745" s="30" t="n">
        <f aca="false">IF('Operating Model'!F$4&lt;=Assumptions!$C$110,C744*Assumptions!$C$107,-PMT(Assumptions!$C$107,Assumptions!$C$111,C744))</f>
        <v>721512.8171968</v>
      </c>
    </row>
    <row r="746" customFormat="false" ht="15" hidden="false" customHeight="false" outlineLevel="0" collapsed="false">
      <c r="A746" s="2" t="s">
        <v>1122</v>
      </c>
      <c r="B746" s="30" t="n">
        <f aca="false">-D744</f>
        <v>-4355749.46043355</v>
      </c>
      <c r="C746" s="30" t="n">
        <f aca="false">'Operating Model'!B55+(C743-'Operating Model'!B49)-C745+IF('Operating Model'!B$4=Assumptions!$C$154,G744,0)</f>
        <v>151278.2042992</v>
      </c>
      <c r="D746" s="30" t="n">
        <f aca="false">'Operating Model'!C55+(D743-'Operating Model'!C49)-D745+IF('Operating Model'!C$4=Assumptions!$C$154,G744,0)</f>
        <v>28674.6246696552</v>
      </c>
      <c r="E746" s="30" t="n">
        <f aca="false">'Operating Model'!D55+(E743-'Operating Model'!D49)-E745+IF('Operating Model'!D$4=Assumptions!$C$154,G744,0)</f>
        <v>188271.836426026</v>
      </c>
      <c r="F746" s="30" t="n">
        <f aca="false">'Operating Model'!E55+(F743-'Operating Model'!E49)-F745+IF('Operating Model'!E$4=Assumptions!$C$154,G744,0)</f>
        <v>192775.10433206</v>
      </c>
      <c r="G746" s="30" t="n">
        <f aca="false">'Operating Model'!F55+(G743-'Operating Model'!F49)-G745+IF('Operating Model'!F$4=Assumptions!$C$154,G744,0)</f>
        <v>5165548.98377832</v>
      </c>
      <c r="H746" s="22" t="n">
        <f aca="false">IFERROR(IRR(B746:G746),"N/A")</f>
        <v>0.0591396604961728</v>
      </c>
      <c r="I746" s="24" t="n">
        <f aca="false">SUM(C746:G746)/D744</f>
        <v>1.31471031690956</v>
      </c>
    </row>
    <row r="748" customFormat="false" ht="15" hidden="false" customHeight="false" outlineLevel="0" collapsed="false">
      <c r="A748" s="2" t="s">
        <v>1123</v>
      </c>
      <c r="C748" s="30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48" s="30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48" s="30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48" s="30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48" s="30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48" s="30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48" s="30" t="n">
        <f aca="false">H748-'Operating Model'!$B$42*(C$51/Assumptions!$C$7)*(1+Assumptions!$C$18+0)^('Operating Model'!G$4-1)</f>
        <v>1209117.41207427</v>
      </c>
    </row>
    <row r="749" customFormat="false" ht="15" hidden="false" customHeight="false" outlineLevel="0" collapsed="false">
      <c r="A749" s="2" t="s">
        <v>1124</v>
      </c>
      <c r="B749" s="30" t="n">
        <f aca="false">Assumptions!$C$7*(C$51/Assumptions!$C$7)</f>
        <v>13110000</v>
      </c>
      <c r="C749" s="30" t="n">
        <f aca="false">MIN(B749*Assumptions!$C$108,C748/(Assumptions!$C$109*Debt!$C$6))</f>
        <v>8626925.28423972</v>
      </c>
      <c r="D749" s="30" t="n">
        <f aca="false">B749*(1+Assumptions!$C$10)+'Unit Mix'!$D$18*1-C749</f>
        <v>5170764.71576027</v>
      </c>
      <c r="E749" s="30" t="n">
        <f aca="false">IF(MAX(0,Assumptions!$C$154-Assumptions!$C$110)=0,C749,-FV(Assumptions!$C$107,MAX(0,Assumptions!$C$154-Assumptions!$C$110),PMT(Assumptions!$C$107,Assumptions!$C$111,C749),C749))</f>
        <v>8121556.10174929</v>
      </c>
      <c r="F749" s="30" t="n">
        <f aca="false">E749*INDEX(Assumptions!$C$112:$C$121,Assumptions!$C$154)</f>
        <v>243646.683052479</v>
      </c>
      <c r="G749" s="30" t="n">
        <f aca="false">I748/($A$55+Returns!$B$35)*(1-Assumptions!$C$158)-E749-F749</f>
        <v>5077764.58480747</v>
      </c>
    </row>
    <row r="750" customFormat="false" ht="15" hidden="false" customHeight="false" outlineLevel="0" collapsed="false">
      <c r="A750" s="2" t="s">
        <v>1125</v>
      </c>
      <c r="C750" s="30" t="n">
        <f aca="false">IF('Operating Model'!B$4&lt;=Assumptions!$C$110,C749*Assumptions!$C$107,-PMT(Assumptions!$C$107,Assumptions!$C$111,C749))</f>
        <v>712048.5839968</v>
      </c>
      <c r="D750" s="30" t="n">
        <f aca="false">IF('Operating Model'!C$4&lt;=Assumptions!$C$110,C749*Assumptions!$C$107,-PMT(Assumptions!$C$107,Assumptions!$C$111,C749))</f>
        <v>712048.5839968</v>
      </c>
      <c r="E750" s="30" t="n">
        <f aca="false">IF('Operating Model'!D$4&lt;=Assumptions!$C$110,C749*Assumptions!$C$107,-PMT(Assumptions!$C$107,Assumptions!$C$111,C749))</f>
        <v>712048.5839968</v>
      </c>
      <c r="F750" s="30" t="n">
        <f aca="false">IF('Operating Model'!E$4&lt;=Assumptions!$C$110,C749*Assumptions!$C$107,-PMT(Assumptions!$C$107,Assumptions!$C$111,C749))</f>
        <v>712048.5839968</v>
      </c>
      <c r="G750" s="30" t="n">
        <f aca="false">IF('Operating Model'!F$4&lt;=Assumptions!$C$110,C749*Assumptions!$C$107,-PMT(Assumptions!$C$107,Assumptions!$C$111,C749))</f>
        <v>712048.5839968</v>
      </c>
    </row>
    <row r="751" customFormat="false" ht="15" hidden="false" customHeight="false" outlineLevel="0" collapsed="false">
      <c r="A751" s="2" t="s">
        <v>1126</v>
      </c>
      <c r="B751" s="30" t="n">
        <f aca="false">-D749</f>
        <v>-5170764.71576027</v>
      </c>
      <c r="C751" s="30" t="n">
        <f aca="false">'Operating Model'!B55+(C748-'Operating Model'!B49)-C750+IF('Operating Model'!B$4=Assumptions!$C$154,G749,0)</f>
        <v>148912.1459992</v>
      </c>
      <c r="D751" s="30" t="n">
        <f aca="false">'Operating Model'!C55+(D748-'Operating Model'!C49)-D750+IF('Operating Model'!C$4=Assumptions!$C$154,G749,0)</f>
        <v>25953.6576246554</v>
      </c>
      <c r="E751" s="30" t="n">
        <f aca="false">'Operating Model'!D55+(E748-'Operating Model'!D49)-E750+IF('Operating Model'!D$4=Assumptions!$C$154,G749,0)</f>
        <v>185185.313373676</v>
      </c>
      <c r="F751" s="30" t="n">
        <f aca="false">'Operating Model'!E55+(F748-'Operating Model'!E49)-F750+IF('Operating Model'!E$4=Assumptions!$C$154,G749,0)</f>
        <v>189312.058592139</v>
      </c>
      <c r="G751" s="30" t="n">
        <f aca="false">'Operating Model'!F55+(G748-'Operating Model'!F49)-G750+IF('Operating Model'!F$4=Assumptions!$C$154,G749,0)</f>
        <v>5272884.67589684</v>
      </c>
      <c r="H751" s="22" t="n">
        <f aca="false">IFERROR(IRR(B751:G751),"N/A")</f>
        <v>0.0251307974660006</v>
      </c>
      <c r="I751" s="24" t="n">
        <f aca="false">SUM(C751:G751)/D749</f>
        <v>1.12599357571628</v>
      </c>
    </row>
    <row r="753" customFormat="false" ht="15" hidden="false" customHeight="false" outlineLevel="0" collapsed="false">
      <c r="A753" s="2" t="s">
        <v>1127</v>
      </c>
      <c r="C753" s="30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53" s="30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53" s="30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53" s="30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53" s="30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53" s="30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53" s="30" t="n">
        <f aca="false">H753-'Operating Model'!$B$42*(D$51/Assumptions!$C$7)*(1+Assumptions!$C$18+0)^('Operating Model'!G$4-1)</f>
        <v>1209117.41207427</v>
      </c>
    </row>
    <row r="754" customFormat="false" ht="15" hidden="false" customHeight="false" outlineLevel="0" collapsed="false">
      <c r="A754" s="2" t="s">
        <v>1128</v>
      </c>
      <c r="B754" s="30" t="n">
        <f aca="false">Assumptions!$C$7*(D$51/Assumptions!$C$7)</f>
        <v>13800000</v>
      </c>
      <c r="C754" s="30" t="n">
        <f aca="false">MIN(B754*Assumptions!$C$108,C753/(Assumptions!$C$109*Debt!$C$6))</f>
        <v>8512260.02891301</v>
      </c>
      <c r="D754" s="30" t="n">
        <f aca="false">B754*(1+Assumptions!$C$10)+'Unit Mix'!$D$18*1-C754</f>
        <v>5985779.97108699</v>
      </c>
      <c r="E754" s="30" t="n">
        <f aca="false">IF(MAX(0,Assumptions!$C$154-Assumptions!$C$110)=0,C754,-FV(Assumptions!$C$107,MAX(0,Assumptions!$C$154-Assumptions!$C$110),PMT(Assumptions!$C$107,Assumptions!$C$111,C754),C754))</f>
        <v>8013607.9889079</v>
      </c>
      <c r="F754" s="30" t="n">
        <f aca="false">E754*INDEX(Assumptions!$C$112:$C$121,Assumptions!$C$154)</f>
        <v>240408.239667237</v>
      </c>
      <c r="G754" s="30" t="n">
        <f aca="false">I753/($A$55+Returns!$B$35)*(1-Assumptions!$C$158)-E754-F754</f>
        <v>5188951.1410341</v>
      </c>
    </row>
    <row r="755" customFormat="false" ht="15" hidden="false" customHeight="false" outlineLevel="0" collapsed="false">
      <c r="A755" s="2" t="s">
        <v>1129</v>
      </c>
      <c r="C755" s="30" t="n">
        <f aca="false">IF('Operating Model'!B$4&lt;=Assumptions!$C$110,C754*Assumptions!$C$107,-PMT(Assumptions!$C$107,Assumptions!$C$111,C754))</f>
        <v>702584.3507968</v>
      </c>
      <c r="D755" s="30" t="n">
        <f aca="false">IF('Operating Model'!C$4&lt;=Assumptions!$C$110,C754*Assumptions!$C$107,-PMT(Assumptions!$C$107,Assumptions!$C$111,C754))</f>
        <v>702584.3507968</v>
      </c>
      <c r="E755" s="30" t="n">
        <f aca="false">IF('Operating Model'!D$4&lt;=Assumptions!$C$110,C754*Assumptions!$C$107,-PMT(Assumptions!$C$107,Assumptions!$C$111,C754))</f>
        <v>702584.3507968</v>
      </c>
      <c r="F755" s="30" t="n">
        <f aca="false">IF('Operating Model'!E$4&lt;=Assumptions!$C$110,C754*Assumptions!$C$107,-PMT(Assumptions!$C$107,Assumptions!$C$111,C754))</f>
        <v>702584.3507968</v>
      </c>
      <c r="G755" s="30" t="n">
        <f aca="false">IF('Operating Model'!F$4&lt;=Assumptions!$C$110,C754*Assumptions!$C$107,-PMT(Assumptions!$C$107,Assumptions!$C$111,C754))</f>
        <v>702584.3507968</v>
      </c>
    </row>
    <row r="756" customFormat="false" ht="15" hidden="false" customHeight="false" outlineLevel="0" collapsed="false">
      <c r="A756" s="2" t="s">
        <v>1130</v>
      </c>
      <c r="B756" s="30" t="n">
        <f aca="false">-D754</f>
        <v>-5985779.97108699</v>
      </c>
      <c r="C756" s="30" t="n">
        <f aca="false">'Operating Model'!B55+(C753-'Operating Model'!B49)-C755+IF('Operating Model'!B$4=Assumptions!$C$154,G754,0)</f>
        <v>146546.0876992</v>
      </c>
      <c r="D756" s="30" t="n">
        <f aca="false">'Operating Model'!C55+(D753-'Operating Model'!C49)-D755+IF('Operating Model'!C$4=Assumptions!$C$154,G754,0)</f>
        <v>23232.6905796553</v>
      </c>
      <c r="E756" s="30" t="n">
        <f aca="false">'Operating Model'!D55+(E753-'Operating Model'!D49)-E755+IF('Operating Model'!D$4=Assumptions!$C$154,G754,0)</f>
        <v>182098.790321326</v>
      </c>
      <c r="F756" s="30" t="n">
        <f aca="false">'Operating Model'!E55+(F753-'Operating Model'!E49)-F755+IF('Operating Model'!E$4=Assumptions!$C$154,G754,0)</f>
        <v>185849.012852219</v>
      </c>
      <c r="G756" s="30" t="n">
        <f aca="false">'Operating Model'!F55+(G753-'Operating Model'!F49)-G755+IF('Operating Model'!F$4=Assumptions!$C$154,G754,0)</f>
        <v>5380220.36801535</v>
      </c>
      <c r="H756" s="22" t="n">
        <f aca="false">IFERROR(IRR(B756:G756),"N/A")</f>
        <v>-0.00237311667385039</v>
      </c>
      <c r="I756" s="24" t="n">
        <f aca="false">SUM(C756:G756)/D754</f>
        <v>0.988667638645775</v>
      </c>
    </row>
    <row r="758" customFormat="false" ht="15" hidden="false" customHeight="false" outlineLevel="0" collapsed="false">
      <c r="A758" s="2" t="s">
        <v>1131</v>
      </c>
      <c r="C758" s="30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58" s="30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58" s="30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58" s="30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58" s="30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58" s="30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58" s="30" t="n">
        <f aca="false">H758-'Operating Model'!$B$42*(E$51/Assumptions!$C$7)*(1+Assumptions!$C$18+0)^('Operating Model'!G$4-1)</f>
        <v>1209117.41207427</v>
      </c>
    </row>
    <row r="759" customFormat="false" ht="15" hidden="false" customHeight="false" outlineLevel="0" collapsed="false">
      <c r="A759" s="2" t="s">
        <v>1132</v>
      </c>
      <c r="B759" s="30" t="n">
        <f aca="false">Assumptions!$C$7*(E$51/Assumptions!$C$7)</f>
        <v>14490000</v>
      </c>
      <c r="C759" s="30" t="n">
        <f aca="false">MIN(B759*Assumptions!$C$108,C758/(Assumptions!$C$109*Debt!$C$6))</f>
        <v>8397594.77358629</v>
      </c>
      <c r="D759" s="30" t="n">
        <f aca="false">B759*(1+Assumptions!$C$10)+'Unit Mix'!$D$18*1-C759</f>
        <v>6800795.22641371</v>
      </c>
      <c r="E759" s="30" t="n">
        <f aca="false">IF(MAX(0,Assumptions!$C$154-Assumptions!$C$110)=0,C759,-FV(Assumptions!$C$107,MAX(0,Assumptions!$C$154-Assumptions!$C$110),PMT(Assumptions!$C$107,Assumptions!$C$111,C759),C759))</f>
        <v>7905659.87606651</v>
      </c>
      <c r="F759" s="30" t="n">
        <f aca="false">E759*INDEX(Assumptions!$C$112:$C$121,Assumptions!$C$154)</f>
        <v>237169.796281995</v>
      </c>
      <c r="G759" s="30" t="n">
        <f aca="false">I758/($A$55+Returns!$B$35)*(1-Assumptions!$C$158)-E759-F759</f>
        <v>5300137.69726073</v>
      </c>
    </row>
    <row r="760" customFormat="false" ht="15" hidden="false" customHeight="false" outlineLevel="0" collapsed="false">
      <c r="A760" s="2" t="s">
        <v>1133</v>
      </c>
      <c r="C760" s="30" t="n">
        <f aca="false">IF('Operating Model'!B$4&lt;=Assumptions!$C$110,C759*Assumptions!$C$107,-PMT(Assumptions!$C$107,Assumptions!$C$111,C759))</f>
        <v>693120.1175968</v>
      </c>
      <c r="D760" s="30" t="n">
        <f aca="false">IF('Operating Model'!C$4&lt;=Assumptions!$C$110,C759*Assumptions!$C$107,-PMT(Assumptions!$C$107,Assumptions!$C$111,C759))</f>
        <v>693120.1175968</v>
      </c>
      <c r="E760" s="30" t="n">
        <f aca="false">IF('Operating Model'!D$4&lt;=Assumptions!$C$110,C759*Assumptions!$C$107,-PMT(Assumptions!$C$107,Assumptions!$C$111,C759))</f>
        <v>693120.1175968</v>
      </c>
      <c r="F760" s="30" t="n">
        <f aca="false">IF('Operating Model'!E$4&lt;=Assumptions!$C$110,C759*Assumptions!$C$107,-PMT(Assumptions!$C$107,Assumptions!$C$111,C759))</f>
        <v>693120.1175968</v>
      </c>
      <c r="G760" s="30" t="n">
        <f aca="false">IF('Operating Model'!F$4&lt;=Assumptions!$C$110,C759*Assumptions!$C$107,-PMT(Assumptions!$C$107,Assumptions!$C$111,C759))</f>
        <v>693120.1175968</v>
      </c>
    </row>
    <row r="761" customFormat="false" ht="15" hidden="false" customHeight="false" outlineLevel="0" collapsed="false">
      <c r="A761" s="2" t="s">
        <v>1134</v>
      </c>
      <c r="B761" s="30" t="n">
        <f aca="false">-D759</f>
        <v>-6800795.22641371</v>
      </c>
      <c r="C761" s="30" t="n">
        <f aca="false">'Operating Model'!B55+(C758-'Operating Model'!B49)-C760+IF('Operating Model'!B$4=Assumptions!$C$154,G759,0)</f>
        <v>144180.0293992</v>
      </c>
      <c r="D761" s="30" t="n">
        <f aca="false">'Operating Model'!C55+(D758-'Operating Model'!C49)-D760+IF('Operating Model'!C$4=Assumptions!$C$154,G759,0)</f>
        <v>20511.7235346552</v>
      </c>
      <c r="E761" s="30" t="n">
        <f aca="false">'Operating Model'!D55+(E758-'Operating Model'!D49)-E760+IF('Operating Model'!D$4=Assumptions!$C$154,G759,0)</f>
        <v>179012.267268976</v>
      </c>
      <c r="F761" s="30" t="n">
        <f aca="false">'Operating Model'!E55+(F758-'Operating Model'!E49)-F760+IF('Operating Model'!E$4=Assumptions!$C$154,G759,0)</f>
        <v>182385.967112298</v>
      </c>
      <c r="G761" s="30" t="n">
        <f aca="false">'Operating Model'!F55+(G758-'Operating Model'!F49)-G760+IF('Operating Model'!F$4=Assumptions!$C$154,G759,0)</f>
        <v>5487556.06013386</v>
      </c>
      <c r="H761" s="22" t="n">
        <f aca="false">IFERROR(IRR(B761:G761),"N/A")</f>
        <v>-0.0252463816404587</v>
      </c>
      <c r="I761" s="24" t="n">
        <f aca="false">SUM(C761:G761)/D759</f>
        <v>0.884256303452941</v>
      </c>
    </row>
    <row r="763" customFormat="false" ht="15" hidden="false" customHeight="false" outlineLevel="0" collapsed="false">
      <c r="A763" s="2" t="s">
        <v>1135</v>
      </c>
      <c r="C763" s="30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63" s="30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63" s="30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63" s="30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63" s="30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63" s="30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63" s="30" t="n">
        <f aca="false">H763-'Operating Model'!$B$42*(F$51/Assumptions!$C$7)*(1+Assumptions!$C$18+0)^('Operating Model'!G$4-1)</f>
        <v>1209117.41207427</v>
      </c>
    </row>
    <row r="764" customFormat="false" ht="15" hidden="false" customHeight="false" outlineLevel="0" collapsed="false">
      <c r="A764" s="2" t="s">
        <v>1136</v>
      </c>
      <c r="B764" s="30" t="n">
        <f aca="false">Assumptions!$C$7*(F$51/Assumptions!$C$7)</f>
        <v>15180000</v>
      </c>
      <c r="C764" s="30" t="n">
        <f aca="false">MIN(B764*Assumptions!$C$108,C763/(Assumptions!$C$109*Debt!$C$6))</f>
        <v>8282929.51825957</v>
      </c>
      <c r="D764" s="30" t="n">
        <f aca="false">B764*(1+Assumptions!$C$10)+'Unit Mix'!$D$18*1-C764</f>
        <v>7615810.48174043</v>
      </c>
      <c r="E764" s="30" t="n">
        <f aca="false">IF(MAX(0,Assumptions!$C$154-Assumptions!$C$110)=0,C764,-FV(Assumptions!$C$107,MAX(0,Assumptions!$C$154-Assumptions!$C$110),PMT(Assumptions!$C$107,Assumptions!$C$111,C764),C764))</f>
        <v>7797711.76322512</v>
      </c>
      <c r="F764" s="30" t="n">
        <f aca="false">E764*INDEX(Assumptions!$C$112:$C$121,Assumptions!$C$154)</f>
        <v>233931.352896754</v>
      </c>
      <c r="G764" s="30" t="n">
        <f aca="false">I763/($A$55+Returns!$B$35)*(1-Assumptions!$C$158)-E764-F764</f>
        <v>5411324.25348736</v>
      </c>
    </row>
    <row r="765" customFormat="false" ht="15" hidden="false" customHeight="false" outlineLevel="0" collapsed="false">
      <c r="A765" s="2" t="s">
        <v>1137</v>
      </c>
      <c r="C765" s="30" t="n">
        <f aca="false">IF('Operating Model'!B$4&lt;=Assumptions!$C$110,C764*Assumptions!$C$107,-PMT(Assumptions!$C$107,Assumptions!$C$111,C764))</f>
        <v>683655.8843968</v>
      </c>
      <c r="D765" s="30" t="n">
        <f aca="false">IF('Operating Model'!C$4&lt;=Assumptions!$C$110,C764*Assumptions!$C$107,-PMT(Assumptions!$C$107,Assumptions!$C$111,C764))</f>
        <v>683655.8843968</v>
      </c>
      <c r="E765" s="30" t="n">
        <f aca="false">IF('Operating Model'!D$4&lt;=Assumptions!$C$110,C764*Assumptions!$C$107,-PMT(Assumptions!$C$107,Assumptions!$C$111,C764))</f>
        <v>683655.8843968</v>
      </c>
      <c r="F765" s="30" t="n">
        <f aca="false">IF('Operating Model'!E$4&lt;=Assumptions!$C$110,C764*Assumptions!$C$107,-PMT(Assumptions!$C$107,Assumptions!$C$111,C764))</f>
        <v>683655.8843968</v>
      </c>
      <c r="G765" s="30" t="n">
        <f aca="false">IF('Operating Model'!F$4&lt;=Assumptions!$C$110,C764*Assumptions!$C$107,-PMT(Assumptions!$C$107,Assumptions!$C$111,C764))</f>
        <v>683655.8843968</v>
      </c>
    </row>
    <row r="766" customFormat="false" ht="15" hidden="false" customHeight="false" outlineLevel="0" collapsed="false">
      <c r="A766" s="2" t="s">
        <v>1138</v>
      </c>
      <c r="B766" s="30" t="n">
        <f aca="false">-D764</f>
        <v>-7615810.48174043</v>
      </c>
      <c r="C766" s="30" t="n">
        <f aca="false">'Operating Model'!B55+(C763-'Operating Model'!B49)-C765+IF('Operating Model'!B$4=Assumptions!$C$154,G764,0)</f>
        <v>141813.9710992</v>
      </c>
      <c r="D766" s="30" t="n">
        <f aca="false">'Operating Model'!C55+(D763-'Operating Model'!C49)-D765+IF('Operating Model'!C$4=Assumptions!$C$154,G764,0)</f>
        <v>17790.7564896554</v>
      </c>
      <c r="E766" s="30" t="n">
        <f aca="false">'Operating Model'!D55+(E763-'Operating Model'!D49)-E765+IF('Operating Model'!D$4=Assumptions!$C$154,G764,0)</f>
        <v>175925.744216626</v>
      </c>
      <c r="F766" s="30" t="n">
        <f aca="false">'Operating Model'!E55+(F763-'Operating Model'!E49)-F765+IF('Operating Model'!E$4=Assumptions!$C$154,G764,0)</f>
        <v>178922.921372378</v>
      </c>
      <c r="G766" s="30" t="n">
        <f aca="false">'Operating Model'!F55+(G763-'Operating Model'!F49)-G765+IF('Operating Model'!F$4=Assumptions!$C$154,G764,0)</f>
        <v>5594891.75225237</v>
      </c>
      <c r="H766" s="22" t="n">
        <f aca="false">IFERROR(IRR(B766:G766),"N/A")</f>
        <v>-0.0446743013171718</v>
      </c>
      <c r="I766" s="24" t="n">
        <f aca="false">SUM(C766:G766)/D764</f>
        <v>0.802192381241356</v>
      </c>
    </row>
    <row r="768" customFormat="false" ht="15" hidden="false" customHeight="false" outlineLevel="0" collapsed="false">
      <c r="A768" s="2" t="s">
        <v>1139</v>
      </c>
      <c r="C768" s="30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68" s="30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68" s="30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68" s="30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68" s="30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68" s="30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68" s="30" t="n">
        <f aca="false">H768-'Operating Model'!$B$42*(B$51/Assumptions!$C$7)*(1+Assumptions!$C$18+0)^('Operating Model'!G$4-1)</f>
        <v>1209117.41207427</v>
      </c>
    </row>
    <row r="769" customFormat="false" ht="15" hidden="false" customHeight="false" outlineLevel="0" collapsed="false">
      <c r="A769" s="2" t="s">
        <v>1140</v>
      </c>
      <c r="B769" s="30" t="n">
        <f aca="false">Assumptions!$C$7*(B$51/Assumptions!$C$7)</f>
        <v>12420000</v>
      </c>
      <c r="C769" s="30" t="n">
        <f aca="false">MIN(B769*Assumptions!$C$108,C768/(Assumptions!$C$109*Debt!$C$6))</f>
        <v>8741590.53956644</v>
      </c>
      <c r="D769" s="30" t="n">
        <f aca="false">B769*(1+Assumptions!$C$10)+'Unit Mix'!$D$18*1-C769</f>
        <v>4355749.46043355</v>
      </c>
      <c r="E769" s="30" t="n">
        <f aca="false">IF(MAX(0,Assumptions!$C$154-Assumptions!$C$110)=0,C769,-FV(Assumptions!$C$107,MAX(0,Assumptions!$C$154-Assumptions!$C$110),PMT(Assumptions!$C$107,Assumptions!$C$111,C769),C769))</f>
        <v>8229504.21459068</v>
      </c>
      <c r="F769" s="30" t="n">
        <f aca="false">E769*INDEX(Assumptions!$C$112:$C$121,Assumptions!$C$154)</f>
        <v>246885.12643772</v>
      </c>
      <c r="G769" s="30" t="n">
        <f aca="false">I768/($A$56+Returns!$B$35)*(1-Assumptions!$C$158)-E769-F769</f>
        <v>4244965.65772125</v>
      </c>
    </row>
    <row r="770" customFormat="false" ht="15" hidden="false" customHeight="false" outlineLevel="0" collapsed="false">
      <c r="A770" s="2" t="s">
        <v>1141</v>
      </c>
      <c r="C770" s="30" t="n">
        <f aca="false">IF('Operating Model'!B$4&lt;=Assumptions!$C$110,C769*Assumptions!$C$107,-PMT(Assumptions!$C$107,Assumptions!$C$111,C769))</f>
        <v>721512.8171968</v>
      </c>
      <c r="D770" s="30" t="n">
        <f aca="false">IF('Operating Model'!C$4&lt;=Assumptions!$C$110,C769*Assumptions!$C$107,-PMT(Assumptions!$C$107,Assumptions!$C$111,C769))</f>
        <v>721512.8171968</v>
      </c>
      <c r="E770" s="30" t="n">
        <f aca="false">IF('Operating Model'!D$4&lt;=Assumptions!$C$110,C769*Assumptions!$C$107,-PMT(Assumptions!$C$107,Assumptions!$C$111,C769))</f>
        <v>721512.8171968</v>
      </c>
      <c r="F770" s="30" t="n">
        <f aca="false">IF('Operating Model'!E$4&lt;=Assumptions!$C$110,C769*Assumptions!$C$107,-PMT(Assumptions!$C$107,Assumptions!$C$111,C769))</f>
        <v>721512.8171968</v>
      </c>
      <c r="G770" s="30" t="n">
        <f aca="false">IF('Operating Model'!F$4&lt;=Assumptions!$C$110,C769*Assumptions!$C$107,-PMT(Assumptions!$C$107,Assumptions!$C$111,C769))</f>
        <v>721512.8171968</v>
      </c>
    </row>
    <row r="771" customFormat="false" ht="15" hidden="false" customHeight="false" outlineLevel="0" collapsed="false">
      <c r="A771" s="2" t="s">
        <v>1142</v>
      </c>
      <c r="B771" s="30" t="n">
        <f aca="false">-D769</f>
        <v>-4355749.46043355</v>
      </c>
      <c r="C771" s="30" t="n">
        <f aca="false">'Operating Model'!B55+(C768-'Operating Model'!B49)-C770+IF('Operating Model'!B$4=Assumptions!$C$154,G769,0)</f>
        <v>151278.2042992</v>
      </c>
      <c r="D771" s="30" t="n">
        <f aca="false">'Operating Model'!C55+(D768-'Operating Model'!C49)-D770+IF('Operating Model'!C$4=Assumptions!$C$154,G769,0)</f>
        <v>28674.6246696552</v>
      </c>
      <c r="E771" s="30" t="n">
        <f aca="false">'Operating Model'!D55+(E768-'Operating Model'!D49)-E770+IF('Operating Model'!D$4=Assumptions!$C$154,G769,0)</f>
        <v>188271.836426026</v>
      </c>
      <c r="F771" s="30" t="n">
        <f aca="false">'Operating Model'!E55+(F768-'Operating Model'!E49)-F770+IF('Operating Model'!E$4=Assumptions!$C$154,G769,0)</f>
        <v>192775.10433206</v>
      </c>
      <c r="G771" s="30" t="n">
        <f aca="false">'Operating Model'!F55+(G768-'Operating Model'!F49)-G770+IF('Operating Model'!F$4=Assumptions!$C$154,G769,0)</f>
        <v>4443936.61291873</v>
      </c>
      <c r="H771" s="22" t="n">
        <f aca="false">IFERROR(IRR(B771:G771),"N/A")</f>
        <v>0.0297549877711914</v>
      </c>
      <c r="I771" s="24" t="n">
        <f aca="false">SUM(C771:G771)/D769</f>
        <v>1.14904138268492</v>
      </c>
    </row>
    <row r="773" customFormat="false" ht="15" hidden="false" customHeight="false" outlineLevel="0" collapsed="false">
      <c r="A773" s="2" t="s">
        <v>1143</v>
      </c>
      <c r="C773" s="30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73" s="30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73" s="30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73" s="30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73" s="30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73" s="30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73" s="30" t="n">
        <f aca="false">H773-'Operating Model'!$B$42*(C$51/Assumptions!$C$7)*(1+Assumptions!$C$18+0)^('Operating Model'!G$4-1)</f>
        <v>1209117.41207427</v>
      </c>
    </row>
    <row r="774" customFormat="false" ht="15" hidden="false" customHeight="false" outlineLevel="0" collapsed="false">
      <c r="A774" s="2" t="s">
        <v>1144</v>
      </c>
      <c r="B774" s="30" t="n">
        <f aca="false">Assumptions!$C$7*(C$51/Assumptions!$C$7)</f>
        <v>13110000</v>
      </c>
      <c r="C774" s="30" t="n">
        <f aca="false">MIN(B774*Assumptions!$C$108,C773/(Assumptions!$C$109*Debt!$C$6))</f>
        <v>8626925.28423972</v>
      </c>
      <c r="D774" s="30" t="n">
        <f aca="false">B774*(1+Assumptions!$C$10)+'Unit Mix'!$D$18*1-C774</f>
        <v>5170764.71576027</v>
      </c>
      <c r="E774" s="30" t="n">
        <f aca="false">IF(MAX(0,Assumptions!$C$154-Assumptions!$C$110)=0,C774,-FV(Assumptions!$C$107,MAX(0,Assumptions!$C$154-Assumptions!$C$110),PMT(Assumptions!$C$107,Assumptions!$C$111,C774),C774))</f>
        <v>8121556.10174929</v>
      </c>
      <c r="F774" s="30" t="n">
        <f aca="false">E774*INDEX(Assumptions!$C$112:$C$121,Assumptions!$C$154)</f>
        <v>243646.683052479</v>
      </c>
      <c r="G774" s="30" t="n">
        <f aca="false">I773/($A$56+Returns!$B$35)*(1-Assumptions!$C$158)-E774-F774</f>
        <v>4356152.21394788</v>
      </c>
    </row>
    <row r="775" customFormat="false" ht="15" hidden="false" customHeight="false" outlineLevel="0" collapsed="false">
      <c r="A775" s="2" t="s">
        <v>1145</v>
      </c>
      <c r="C775" s="30" t="n">
        <f aca="false">IF('Operating Model'!B$4&lt;=Assumptions!$C$110,C774*Assumptions!$C$107,-PMT(Assumptions!$C$107,Assumptions!$C$111,C774))</f>
        <v>712048.5839968</v>
      </c>
      <c r="D775" s="30" t="n">
        <f aca="false">IF('Operating Model'!C$4&lt;=Assumptions!$C$110,C774*Assumptions!$C$107,-PMT(Assumptions!$C$107,Assumptions!$C$111,C774))</f>
        <v>712048.5839968</v>
      </c>
      <c r="E775" s="30" t="n">
        <f aca="false">IF('Operating Model'!D$4&lt;=Assumptions!$C$110,C774*Assumptions!$C$107,-PMT(Assumptions!$C$107,Assumptions!$C$111,C774))</f>
        <v>712048.5839968</v>
      </c>
      <c r="F775" s="30" t="n">
        <f aca="false">IF('Operating Model'!E$4&lt;=Assumptions!$C$110,C774*Assumptions!$C$107,-PMT(Assumptions!$C$107,Assumptions!$C$111,C774))</f>
        <v>712048.5839968</v>
      </c>
      <c r="G775" s="30" t="n">
        <f aca="false">IF('Operating Model'!F$4&lt;=Assumptions!$C$110,C774*Assumptions!$C$107,-PMT(Assumptions!$C$107,Assumptions!$C$111,C774))</f>
        <v>712048.5839968</v>
      </c>
    </row>
    <row r="776" customFormat="false" ht="15" hidden="false" customHeight="false" outlineLevel="0" collapsed="false">
      <c r="A776" s="2" t="s">
        <v>1146</v>
      </c>
      <c r="B776" s="30" t="n">
        <f aca="false">-D774</f>
        <v>-5170764.71576027</v>
      </c>
      <c r="C776" s="30" t="n">
        <f aca="false">'Operating Model'!B55+(C773-'Operating Model'!B49)-C775+IF('Operating Model'!B$4=Assumptions!$C$154,G774,0)</f>
        <v>148912.1459992</v>
      </c>
      <c r="D776" s="30" t="n">
        <f aca="false">'Operating Model'!C55+(D773-'Operating Model'!C49)-D775+IF('Operating Model'!C$4=Assumptions!$C$154,G774,0)</f>
        <v>25953.6576246554</v>
      </c>
      <c r="E776" s="30" t="n">
        <f aca="false">'Operating Model'!D55+(E773-'Operating Model'!D49)-E775+IF('Operating Model'!D$4=Assumptions!$C$154,G774,0)</f>
        <v>185185.313373676</v>
      </c>
      <c r="F776" s="30" t="n">
        <f aca="false">'Operating Model'!E55+(F773-'Operating Model'!E49)-F775+IF('Operating Model'!E$4=Assumptions!$C$154,G774,0)</f>
        <v>189312.058592139</v>
      </c>
      <c r="G776" s="30" t="n">
        <f aca="false">'Operating Model'!F55+(G773-'Operating Model'!F49)-G775+IF('Operating Model'!F$4=Assumptions!$C$154,G774,0)</f>
        <v>4551272.30503725</v>
      </c>
      <c r="H776" s="22" t="n">
        <f aca="false">IFERROR(IRR(B776:G776),"N/A")</f>
        <v>-0.00286519980706333</v>
      </c>
      <c r="I776" s="24" t="n">
        <f aca="false">SUM(C776:G776)/D774</f>
        <v>0.986437357143789</v>
      </c>
    </row>
    <row r="778" customFormat="false" ht="15" hidden="false" customHeight="false" outlineLevel="0" collapsed="false">
      <c r="A778" s="2" t="s">
        <v>1147</v>
      </c>
      <c r="C778" s="30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78" s="30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78" s="30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78" s="30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78" s="30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78" s="30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78" s="30" t="n">
        <f aca="false">H778-'Operating Model'!$B$42*(D$51/Assumptions!$C$7)*(1+Assumptions!$C$18+0)^('Operating Model'!G$4-1)</f>
        <v>1209117.41207427</v>
      </c>
    </row>
    <row r="779" customFormat="false" ht="15" hidden="false" customHeight="false" outlineLevel="0" collapsed="false">
      <c r="A779" s="2" t="s">
        <v>1148</v>
      </c>
      <c r="B779" s="30" t="n">
        <f aca="false">Assumptions!$C$7*(D$51/Assumptions!$C$7)</f>
        <v>13800000</v>
      </c>
      <c r="C779" s="30" t="n">
        <f aca="false">MIN(B779*Assumptions!$C$108,C778/(Assumptions!$C$109*Debt!$C$6))</f>
        <v>8512260.02891301</v>
      </c>
      <c r="D779" s="30" t="n">
        <f aca="false">B779*(1+Assumptions!$C$10)+'Unit Mix'!$D$18*1-C779</f>
        <v>5985779.97108699</v>
      </c>
      <c r="E779" s="30" t="n">
        <f aca="false">IF(MAX(0,Assumptions!$C$154-Assumptions!$C$110)=0,C779,-FV(Assumptions!$C$107,MAX(0,Assumptions!$C$154-Assumptions!$C$110),PMT(Assumptions!$C$107,Assumptions!$C$111,C779),C779))</f>
        <v>8013607.9889079</v>
      </c>
      <c r="F779" s="30" t="n">
        <f aca="false">E779*INDEX(Assumptions!$C$112:$C$121,Assumptions!$C$154)</f>
        <v>240408.239667237</v>
      </c>
      <c r="G779" s="30" t="n">
        <f aca="false">I778/($A$56+Returns!$B$35)*(1-Assumptions!$C$158)-E779-F779</f>
        <v>4467338.77017451</v>
      </c>
    </row>
    <row r="780" customFormat="false" ht="15" hidden="false" customHeight="false" outlineLevel="0" collapsed="false">
      <c r="A780" s="2" t="s">
        <v>1149</v>
      </c>
      <c r="C780" s="30" t="n">
        <f aca="false">IF('Operating Model'!B$4&lt;=Assumptions!$C$110,C779*Assumptions!$C$107,-PMT(Assumptions!$C$107,Assumptions!$C$111,C779))</f>
        <v>702584.3507968</v>
      </c>
      <c r="D780" s="30" t="n">
        <f aca="false">IF('Operating Model'!C$4&lt;=Assumptions!$C$110,C779*Assumptions!$C$107,-PMT(Assumptions!$C$107,Assumptions!$C$111,C779))</f>
        <v>702584.3507968</v>
      </c>
      <c r="E780" s="30" t="n">
        <f aca="false">IF('Operating Model'!D$4&lt;=Assumptions!$C$110,C779*Assumptions!$C$107,-PMT(Assumptions!$C$107,Assumptions!$C$111,C779))</f>
        <v>702584.3507968</v>
      </c>
      <c r="F780" s="30" t="n">
        <f aca="false">IF('Operating Model'!E$4&lt;=Assumptions!$C$110,C779*Assumptions!$C$107,-PMT(Assumptions!$C$107,Assumptions!$C$111,C779))</f>
        <v>702584.3507968</v>
      </c>
      <c r="G780" s="30" t="n">
        <f aca="false">IF('Operating Model'!F$4&lt;=Assumptions!$C$110,C779*Assumptions!$C$107,-PMT(Assumptions!$C$107,Assumptions!$C$111,C779))</f>
        <v>702584.3507968</v>
      </c>
    </row>
    <row r="781" customFormat="false" ht="15" hidden="false" customHeight="false" outlineLevel="0" collapsed="false">
      <c r="A781" s="2" t="s">
        <v>1150</v>
      </c>
      <c r="B781" s="30" t="n">
        <f aca="false">-D779</f>
        <v>-5985779.97108699</v>
      </c>
      <c r="C781" s="30" t="n">
        <f aca="false">'Operating Model'!B55+(C778-'Operating Model'!B49)-C780+IF('Operating Model'!B$4=Assumptions!$C$154,G779,0)</f>
        <v>146546.0876992</v>
      </c>
      <c r="D781" s="30" t="n">
        <f aca="false">'Operating Model'!C55+(D778-'Operating Model'!C49)-D780+IF('Operating Model'!C$4=Assumptions!$C$154,G779,0)</f>
        <v>23232.6905796553</v>
      </c>
      <c r="E781" s="30" t="n">
        <f aca="false">'Operating Model'!D55+(E778-'Operating Model'!D49)-E780+IF('Operating Model'!D$4=Assumptions!$C$154,G779,0)</f>
        <v>182098.790321326</v>
      </c>
      <c r="F781" s="30" t="n">
        <f aca="false">'Operating Model'!E55+(F778-'Operating Model'!E49)-F780+IF('Operating Model'!E$4=Assumptions!$C$154,G779,0)</f>
        <v>185849.012852219</v>
      </c>
      <c r="G781" s="30" t="n">
        <f aca="false">'Operating Model'!F55+(G778-'Operating Model'!F49)-G780+IF('Operating Model'!F$4=Assumptions!$C$154,G779,0)</f>
        <v>4658607.99715576</v>
      </c>
      <c r="H781" s="22" t="n">
        <f aca="false">IFERROR(IRR(B781:G781),"N/A")</f>
        <v>-0.0291746028347964</v>
      </c>
      <c r="I781" s="24" t="n">
        <f aca="false">SUM(C781:G781)/D779</f>
        <v>0.868113195558127</v>
      </c>
    </row>
    <row r="783" customFormat="false" ht="15" hidden="false" customHeight="false" outlineLevel="0" collapsed="false">
      <c r="A783" s="2" t="s">
        <v>1151</v>
      </c>
      <c r="C783" s="30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83" s="30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83" s="30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83" s="30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83" s="30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83" s="30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83" s="30" t="n">
        <f aca="false">H783-'Operating Model'!$B$42*(E$51/Assumptions!$C$7)*(1+Assumptions!$C$18+0)^('Operating Model'!G$4-1)</f>
        <v>1209117.41207427</v>
      </c>
    </row>
    <row r="784" customFormat="false" ht="15" hidden="false" customHeight="false" outlineLevel="0" collapsed="false">
      <c r="A784" s="2" t="s">
        <v>1152</v>
      </c>
      <c r="B784" s="30" t="n">
        <f aca="false">Assumptions!$C$7*(E$51/Assumptions!$C$7)</f>
        <v>14490000</v>
      </c>
      <c r="C784" s="30" t="n">
        <f aca="false">MIN(B784*Assumptions!$C$108,C783/(Assumptions!$C$109*Debt!$C$6))</f>
        <v>8397594.77358629</v>
      </c>
      <c r="D784" s="30" t="n">
        <f aca="false">B784*(1+Assumptions!$C$10)+'Unit Mix'!$D$18*1-C784</f>
        <v>6800795.22641371</v>
      </c>
      <c r="E784" s="30" t="n">
        <f aca="false">IF(MAX(0,Assumptions!$C$154-Assumptions!$C$110)=0,C784,-FV(Assumptions!$C$107,MAX(0,Assumptions!$C$154-Assumptions!$C$110),PMT(Assumptions!$C$107,Assumptions!$C$111,C784),C784))</f>
        <v>7905659.87606651</v>
      </c>
      <c r="F784" s="30" t="n">
        <f aca="false">E784*INDEX(Assumptions!$C$112:$C$121,Assumptions!$C$154)</f>
        <v>237169.796281995</v>
      </c>
      <c r="G784" s="30" t="n">
        <f aca="false">I783/($A$56+Returns!$B$35)*(1-Assumptions!$C$158)-E784-F784</f>
        <v>4578525.32640114</v>
      </c>
    </row>
    <row r="785" customFormat="false" ht="15" hidden="false" customHeight="false" outlineLevel="0" collapsed="false">
      <c r="A785" s="2" t="s">
        <v>1153</v>
      </c>
      <c r="C785" s="30" t="n">
        <f aca="false">IF('Operating Model'!B$4&lt;=Assumptions!$C$110,C784*Assumptions!$C$107,-PMT(Assumptions!$C$107,Assumptions!$C$111,C784))</f>
        <v>693120.1175968</v>
      </c>
      <c r="D785" s="30" t="n">
        <f aca="false">IF('Operating Model'!C$4&lt;=Assumptions!$C$110,C784*Assumptions!$C$107,-PMT(Assumptions!$C$107,Assumptions!$C$111,C784))</f>
        <v>693120.1175968</v>
      </c>
      <c r="E785" s="30" t="n">
        <f aca="false">IF('Operating Model'!D$4&lt;=Assumptions!$C$110,C784*Assumptions!$C$107,-PMT(Assumptions!$C$107,Assumptions!$C$111,C784))</f>
        <v>693120.1175968</v>
      </c>
      <c r="F785" s="30" t="n">
        <f aca="false">IF('Operating Model'!E$4&lt;=Assumptions!$C$110,C784*Assumptions!$C$107,-PMT(Assumptions!$C$107,Assumptions!$C$111,C784))</f>
        <v>693120.1175968</v>
      </c>
      <c r="G785" s="30" t="n">
        <f aca="false">IF('Operating Model'!F$4&lt;=Assumptions!$C$110,C784*Assumptions!$C$107,-PMT(Assumptions!$C$107,Assumptions!$C$111,C784))</f>
        <v>693120.1175968</v>
      </c>
    </row>
    <row r="786" customFormat="false" ht="15" hidden="false" customHeight="false" outlineLevel="0" collapsed="false">
      <c r="A786" s="2" t="s">
        <v>1154</v>
      </c>
      <c r="B786" s="30" t="n">
        <f aca="false">-D784</f>
        <v>-6800795.22641371</v>
      </c>
      <c r="C786" s="30" t="n">
        <f aca="false">'Operating Model'!B55+(C783-'Operating Model'!B49)-C785+IF('Operating Model'!B$4=Assumptions!$C$154,G784,0)</f>
        <v>144180.0293992</v>
      </c>
      <c r="D786" s="30" t="n">
        <f aca="false">'Operating Model'!C55+(D783-'Operating Model'!C49)-D785+IF('Operating Model'!C$4=Assumptions!$C$154,G784,0)</f>
        <v>20511.7235346552</v>
      </c>
      <c r="E786" s="30" t="n">
        <f aca="false">'Operating Model'!D55+(E783-'Operating Model'!D49)-E785+IF('Operating Model'!D$4=Assumptions!$C$154,G784,0)</f>
        <v>179012.267268976</v>
      </c>
      <c r="F786" s="30" t="n">
        <f aca="false">'Operating Model'!E55+(F783-'Operating Model'!E49)-F785+IF('Operating Model'!E$4=Assumptions!$C$154,G784,0)</f>
        <v>182385.967112298</v>
      </c>
      <c r="G786" s="30" t="n">
        <f aca="false">'Operating Model'!F55+(G783-'Operating Model'!F49)-G785+IF('Operating Model'!F$4=Assumptions!$C$154,G784,0)</f>
        <v>4765943.68927427</v>
      </c>
      <c r="H786" s="22" t="n">
        <f aca="false">IFERROR(IRR(B786:G786),"N/A")</f>
        <v>-0.0509988038749949</v>
      </c>
      <c r="I786" s="24" t="n">
        <f aca="false">SUM(C786:G786)/D784</f>
        <v>0.778149245846367</v>
      </c>
    </row>
    <row r="788" customFormat="false" ht="15" hidden="false" customHeight="false" outlineLevel="0" collapsed="false">
      <c r="A788" s="2" t="s">
        <v>1155</v>
      </c>
      <c r="C788" s="30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88" s="30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88" s="30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88" s="30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88" s="30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88" s="30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88" s="30" t="n">
        <f aca="false">H788-'Operating Model'!$B$42*(F$51/Assumptions!$C$7)*(1+Assumptions!$C$18+0)^('Operating Model'!G$4-1)</f>
        <v>1209117.41207427</v>
      </c>
    </row>
    <row r="789" customFormat="false" ht="15" hidden="false" customHeight="false" outlineLevel="0" collapsed="false">
      <c r="A789" s="2" t="s">
        <v>1156</v>
      </c>
      <c r="B789" s="30" t="n">
        <f aca="false">Assumptions!$C$7*(F$51/Assumptions!$C$7)</f>
        <v>15180000</v>
      </c>
      <c r="C789" s="30" t="n">
        <f aca="false">MIN(B789*Assumptions!$C$108,C788/(Assumptions!$C$109*Debt!$C$6))</f>
        <v>8282929.51825957</v>
      </c>
      <c r="D789" s="30" t="n">
        <f aca="false">B789*(1+Assumptions!$C$10)+'Unit Mix'!$D$18*1-C789</f>
        <v>7615810.48174043</v>
      </c>
      <c r="E789" s="30" t="n">
        <f aca="false">IF(MAX(0,Assumptions!$C$154-Assumptions!$C$110)=0,C789,-FV(Assumptions!$C$107,MAX(0,Assumptions!$C$154-Assumptions!$C$110),PMT(Assumptions!$C$107,Assumptions!$C$111,C789),C789))</f>
        <v>7797711.76322512</v>
      </c>
      <c r="F789" s="30" t="n">
        <f aca="false">E789*INDEX(Assumptions!$C$112:$C$121,Assumptions!$C$154)</f>
        <v>233931.352896754</v>
      </c>
      <c r="G789" s="30" t="n">
        <f aca="false">I788/($A$56+Returns!$B$35)*(1-Assumptions!$C$158)-E789-F789</f>
        <v>4689711.88262778</v>
      </c>
    </row>
    <row r="790" customFormat="false" ht="15" hidden="false" customHeight="false" outlineLevel="0" collapsed="false">
      <c r="A790" s="2" t="s">
        <v>1157</v>
      </c>
      <c r="C790" s="30" t="n">
        <f aca="false">IF('Operating Model'!B$4&lt;=Assumptions!$C$110,C789*Assumptions!$C$107,-PMT(Assumptions!$C$107,Assumptions!$C$111,C789))</f>
        <v>683655.8843968</v>
      </c>
      <c r="D790" s="30" t="n">
        <f aca="false">IF('Operating Model'!C$4&lt;=Assumptions!$C$110,C789*Assumptions!$C$107,-PMT(Assumptions!$C$107,Assumptions!$C$111,C789))</f>
        <v>683655.8843968</v>
      </c>
      <c r="E790" s="30" t="n">
        <f aca="false">IF('Operating Model'!D$4&lt;=Assumptions!$C$110,C789*Assumptions!$C$107,-PMT(Assumptions!$C$107,Assumptions!$C$111,C789))</f>
        <v>683655.8843968</v>
      </c>
      <c r="F790" s="30" t="n">
        <f aca="false">IF('Operating Model'!E$4&lt;=Assumptions!$C$110,C789*Assumptions!$C$107,-PMT(Assumptions!$C$107,Assumptions!$C$111,C789))</f>
        <v>683655.8843968</v>
      </c>
      <c r="G790" s="30" t="n">
        <f aca="false">IF('Operating Model'!F$4&lt;=Assumptions!$C$110,C789*Assumptions!$C$107,-PMT(Assumptions!$C$107,Assumptions!$C$111,C789))</f>
        <v>683655.8843968</v>
      </c>
    </row>
    <row r="791" customFormat="false" ht="15" hidden="false" customHeight="false" outlineLevel="0" collapsed="false">
      <c r="A791" s="2" t="s">
        <v>1158</v>
      </c>
      <c r="B791" s="30" t="n">
        <f aca="false">-D789</f>
        <v>-7615810.48174043</v>
      </c>
      <c r="C791" s="30" t="n">
        <f aca="false">'Operating Model'!B55+(C788-'Operating Model'!B49)-C790+IF('Operating Model'!B$4=Assumptions!$C$154,G789,0)</f>
        <v>141813.9710992</v>
      </c>
      <c r="D791" s="30" t="n">
        <f aca="false">'Operating Model'!C55+(D788-'Operating Model'!C49)-D790+IF('Operating Model'!C$4=Assumptions!$C$154,G789,0)</f>
        <v>17790.7564896554</v>
      </c>
      <c r="E791" s="30" t="n">
        <f aca="false">'Operating Model'!D55+(E788-'Operating Model'!D49)-E790+IF('Operating Model'!D$4=Assumptions!$C$154,G789,0)</f>
        <v>175925.744216626</v>
      </c>
      <c r="F791" s="30" t="n">
        <f aca="false">'Operating Model'!E55+(F788-'Operating Model'!E49)-F790+IF('Operating Model'!E$4=Assumptions!$C$154,G789,0)</f>
        <v>178922.921372378</v>
      </c>
      <c r="G791" s="30" t="n">
        <f aca="false">'Operating Model'!F55+(G788-'Operating Model'!F49)-G790+IF('Operating Model'!F$4=Assumptions!$C$154,G789,0)</f>
        <v>4873279.38139279</v>
      </c>
      <c r="H791" s="22" t="n">
        <f aca="false">IFERROR(IRR(B791:G791),"N/A")</f>
        <v>-0.069491063130119</v>
      </c>
      <c r="I791" s="24" t="n">
        <f aca="false">SUM(C791:G791)/D789</f>
        <v>0.707440499929483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1159</v>
      </c>
    </row>
    <row r="4" customFormat="false" ht="15" hidden="false" customHeight="false" outlineLevel="0" collapsed="false">
      <c r="A4" s="3" t="s">
        <v>1160</v>
      </c>
      <c r="B4" s="3"/>
      <c r="C4" s="3"/>
    </row>
    <row r="5" customFormat="false" ht="15" hidden="false" customHeight="false" outlineLevel="0" collapsed="false">
      <c r="A5" s="0" t="s">
        <v>1161</v>
      </c>
      <c r="B5" s="31" t="n">
        <f aca="false">Capital!$B$19</f>
        <v>0</v>
      </c>
      <c r="C5" s="0" t="str">
        <f aca="false">IF(ABS(B5)&lt;0.01,"OK","FAIL")</f>
        <v>OK</v>
      </c>
    </row>
    <row r="7" customFormat="false" ht="15" hidden="false" customHeight="false" outlineLevel="0" collapsed="false">
      <c r="A7" s="3" t="s">
        <v>1162</v>
      </c>
      <c r="B7" s="3"/>
      <c r="C7" s="3"/>
    </row>
    <row r="8" customFormat="false" ht="15" hidden="false" customHeight="false" outlineLevel="0" collapsed="false">
      <c r="A8" s="0" t="s">
        <v>1163</v>
      </c>
      <c r="B8" s="31" t="n">
        <f aca="false">('Operating Model'!B$55-Debt!$E$18)-Returns!C50</f>
        <v>0</v>
      </c>
      <c r="C8" s="0" t="str">
        <f aca="false">IF(ABS(B8)&lt;0.01,"OK","FAIL")</f>
        <v>OK</v>
      </c>
    </row>
    <row r="9" customFormat="false" ht="15" hidden="false" customHeight="false" outlineLevel="0" collapsed="false">
      <c r="A9" s="0" t="s">
        <v>1164</v>
      </c>
      <c r="B9" s="31" t="n">
        <f aca="false">('Operating Model'!C$55-Debt!$E$19)-Returns!D50</f>
        <v>0</v>
      </c>
      <c r="C9" s="0" t="str">
        <f aca="false">IF(ABS(B9)&lt;0.01,"OK","FAIL")</f>
        <v>OK</v>
      </c>
    </row>
    <row r="10" customFormat="false" ht="15" hidden="false" customHeight="false" outlineLevel="0" collapsed="false">
      <c r="A10" s="0" t="s">
        <v>1165</v>
      </c>
      <c r="B10" s="31" t="n">
        <f aca="false">('Operating Model'!D$55-Debt!$E$20)-Returns!E50</f>
        <v>0</v>
      </c>
      <c r="C10" s="0" t="str">
        <f aca="false">IF(ABS(B10)&lt;0.01,"OK","FAIL")</f>
        <v>OK</v>
      </c>
    </row>
    <row r="11" customFormat="false" ht="15" hidden="false" customHeight="false" outlineLevel="0" collapsed="false">
      <c r="A11" s="0" t="s">
        <v>1166</v>
      </c>
      <c r="B11" s="31" t="n">
        <f aca="false">('Operating Model'!E$55-Debt!$E$21)-Returns!F50</f>
        <v>0</v>
      </c>
      <c r="C11" s="0" t="str">
        <f aca="false">IF(ABS(B11)&lt;0.01,"OK","FAIL")</f>
        <v>OK</v>
      </c>
    </row>
    <row r="12" customFormat="false" ht="15" hidden="false" customHeight="false" outlineLevel="0" collapsed="false">
      <c r="A12" s="0" t="s">
        <v>1167</v>
      </c>
      <c r="B12" s="31" t="n">
        <f aca="false">('Operating Model'!F$55-Debt!$E$22)-Returns!G50</f>
        <v>0</v>
      </c>
      <c r="C12" s="0" t="str">
        <f aca="false">IF(ABS(B12)&lt;0.01,"OK","FAIL")</f>
        <v>OK</v>
      </c>
    </row>
    <row r="14" customFormat="false" ht="15" hidden="false" customHeight="false" outlineLevel="0" collapsed="false">
      <c r="A14" s="3" t="s">
        <v>1168</v>
      </c>
      <c r="B14" s="3"/>
      <c r="C14" s="3"/>
    </row>
    <row r="15" customFormat="false" ht="15" hidden="false" customHeight="false" outlineLevel="0" collapsed="false">
      <c r="A15" s="0" t="s">
        <v>1169</v>
      </c>
      <c r="B15" s="31" t="n">
        <f aca="false">'Operating Model'!B31+'Operating Model'!B47-'Operating Model'!B49</f>
        <v>0</v>
      </c>
      <c r="C15" s="0" t="str">
        <f aca="false">IF(ABS(B15)&lt;0.01,"OK","FAIL")</f>
        <v>OK</v>
      </c>
    </row>
    <row r="16" customFormat="false" ht="15" hidden="false" customHeight="false" outlineLevel="0" collapsed="false">
      <c r="A16" s="0" t="s">
        <v>1170</v>
      </c>
      <c r="B16" s="31" t="n">
        <f aca="false">'Operating Model'!C31+'Operating Model'!C47-'Operating Model'!C49</f>
        <v>0</v>
      </c>
      <c r="C16" s="0" t="str">
        <f aca="false">IF(ABS(B16)&lt;0.01,"OK","FAIL")</f>
        <v>OK</v>
      </c>
    </row>
    <row r="17" customFormat="false" ht="15" hidden="false" customHeight="false" outlineLevel="0" collapsed="false">
      <c r="A17" s="0" t="s">
        <v>1171</v>
      </c>
      <c r="B17" s="31" t="n">
        <f aca="false">'Operating Model'!D31+'Operating Model'!D47-'Operating Model'!D49</f>
        <v>0</v>
      </c>
      <c r="C17" s="0" t="str">
        <f aca="false">IF(ABS(B17)&lt;0.01,"OK","FAIL")</f>
        <v>OK</v>
      </c>
    </row>
    <row r="18" customFormat="false" ht="15" hidden="false" customHeight="false" outlineLevel="0" collapsed="false">
      <c r="A18" s="0" t="s">
        <v>1172</v>
      </c>
      <c r="B18" s="31" t="n">
        <f aca="false">'Operating Model'!E31+'Operating Model'!E47-'Operating Model'!E49</f>
        <v>0</v>
      </c>
      <c r="C18" s="0" t="str">
        <f aca="false">IF(ABS(B18)&lt;0.01,"OK","FAIL")</f>
        <v>OK</v>
      </c>
    </row>
    <row r="19" customFormat="false" ht="15" hidden="false" customHeight="false" outlineLevel="0" collapsed="false">
      <c r="A19" s="0" t="s">
        <v>1173</v>
      </c>
      <c r="B19" s="31" t="n">
        <f aca="false">'Operating Model'!F31+'Operating Model'!F47-'Operating Model'!F49</f>
        <v>0</v>
      </c>
      <c r="C19" s="0" t="str">
        <f aca="false">IF(ABS(B19)&lt;0.01,"OK","FAIL")</f>
        <v>OK</v>
      </c>
    </row>
    <row r="21" customFormat="false" ht="15" hidden="false" customHeight="false" outlineLevel="0" collapsed="false">
      <c r="A21" s="3" t="s">
        <v>1174</v>
      </c>
      <c r="B21" s="3"/>
      <c r="C21" s="3"/>
    </row>
    <row r="22" customFormat="false" ht="15" hidden="false" customHeight="false" outlineLevel="0" collapsed="false">
      <c r="A22" s="0" t="s">
        <v>1175</v>
      </c>
      <c r="B22" s="31" t="n">
        <f aca="false">Waterfall!C37</f>
        <v>0</v>
      </c>
      <c r="C22" s="0" t="str">
        <f aca="false">IF(ABS(B22)&lt;0.01,"OK","FAIL")</f>
        <v>OK</v>
      </c>
    </row>
    <row r="23" customFormat="false" ht="15" hidden="false" customHeight="false" outlineLevel="0" collapsed="false">
      <c r="A23" s="0" t="s">
        <v>1176</v>
      </c>
      <c r="B23" s="31" t="n">
        <f aca="false">Waterfall!D37</f>
        <v>0</v>
      </c>
      <c r="C23" s="0" t="str">
        <f aca="false">IF(ABS(B23)&lt;0.01,"OK","FAIL")</f>
        <v>OK</v>
      </c>
    </row>
    <row r="24" customFormat="false" ht="15" hidden="false" customHeight="false" outlineLevel="0" collapsed="false">
      <c r="A24" s="0" t="s">
        <v>1177</v>
      </c>
      <c r="B24" s="31" t="n">
        <f aca="false">Waterfall!E37</f>
        <v>0</v>
      </c>
      <c r="C24" s="0" t="str">
        <f aca="false">IF(ABS(B24)&lt;0.01,"OK","FAIL")</f>
        <v>OK</v>
      </c>
    </row>
    <row r="25" customFormat="false" ht="15" hidden="false" customHeight="false" outlineLevel="0" collapsed="false">
      <c r="A25" s="0" t="s">
        <v>1178</v>
      </c>
      <c r="B25" s="31" t="n">
        <f aca="false">Waterfall!F37</f>
        <v>0</v>
      </c>
      <c r="C25" s="0" t="str">
        <f aca="false">IF(ABS(B25)&lt;0.01,"OK","FAIL")</f>
        <v>OK</v>
      </c>
    </row>
    <row r="26" customFormat="false" ht="15" hidden="false" customHeight="false" outlineLevel="0" collapsed="false">
      <c r="A26" s="0" t="s">
        <v>1179</v>
      </c>
      <c r="B26" s="31" t="n">
        <f aca="false">Waterfall!G37</f>
        <v>0</v>
      </c>
      <c r="C26" s="0" t="str">
        <f aca="false">IF(ABS(B26)&lt;0.01,"OK","FAIL")</f>
        <v>OK</v>
      </c>
    </row>
    <row r="28" customFormat="false" ht="15" hidden="false" customHeight="false" outlineLevel="0" collapsed="false">
      <c r="A28" s="3" t="s">
        <v>1180</v>
      </c>
      <c r="B28" s="3"/>
      <c r="C28" s="3"/>
    </row>
    <row r="29" customFormat="false" ht="15" hidden="false" customHeight="false" outlineLevel="0" collapsed="false">
      <c r="A29" s="0" t="s">
        <v>1181</v>
      </c>
      <c r="B29" s="31" t="n">
        <f aca="false">MIN(Waterfall!C12:G12)</f>
        <v>689787.612002462</v>
      </c>
      <c r="C29" s="0" t="str">
        <f aca="false">IF(B29&gt;=-0.01,"OK","FAIL")</f>
        <v>OK</v>
      </c>
    </row>
    <row r="30" customFormat="false" ht="15" hidden="false" customHeight="false" outlineLevel="0" collapsed="false">
      <c r="A30" s="0" t="s">
        <v>1182</v>
      </c>
      <c r="B30" s="31" t="n">
        <f aca="false">MIN(Waterfall!C17:G17)</f>
        <v>2058292.17919759</v>
      </c>
      <c r="C30" s="0" t="str">
        <f aca="false">IF(B30&gt;=-0.01,"OK","FAIL")</f>
        <v>OK</v>
      </c>
    </row>
    <row r="32" customFormat="false" ht="15" hidden="false" customHeight="false" outlineLevel="0" collapsed="false">
      <c r="A32" s="3" t="s">
        <v>1183</v>
      </c>
      <c r="B32" s="3"/>
      <c r="C32" s="3"/>
    </row>
    <row r="33" customFormat="false" ht="15" hidden="false" customHeight="false" outlineLevel="0" collapsed="false">
      <c r="A33" s="0" t="s">
        <v>1184</v>
      </c>
      <c r="B33" s="31" t="n">
        <f aca="false">Capital!$B$16+Capital!$B$17-Capital!$B$12</f>
        <v>0</v>
      </c>
      <c r="C33" s="0" t="str">
        <f aca="false">IF(ABS(B33)&lt;0.01,"OK","FAIL")</f>
        <v>OK</v>
      </c>
    </row>
    <row r="34" customFormat="false" ht="15" hidden="false" customHeight="false" outlineLevel="0" collapsed="false">
      <c r="A34" s="0" t="s">
        <v>1185</v>
      </c>
      <c r="B34" s="31" t="n">
        <f aca="false">'Returns (Assumed)'!$B$10+'Returns (Assumed)'!$B$11-'Returns (Assumed)'!$B$9</f>
        <v>0</v>
      </c>
      <c r="C34" s="0" t="str">
        <f aca="false">IF(ABS(B34)&lt;0.01,"OK","FAIL")</f>
        <v>OK</v>
      </c>
    </row>
    <row r="36" customFormat="false" ht="15" hidden="false" customHeight="false" outlineLevel="0" collapsed="false">
      <c r="A36" s="3" t="s">
        <v>1186</v>
      </c>
      <c r="B36" s="3"/>
      <c r="C36" s="3"/>
    </row>
    <row r="37" customFormat="false" ht="15" hidden="false" customHeight="false" outlineLevel="0" collapsed="false">
      <c r="A37" s="0" t="s">
        <v>1187</v>
      </c>
      <c r="B37" s="31" t="n">
        <f aca="false">Debt!$C$9-SUM(Debt!D18:D22)-Debt!F22</f>
        <v>0</v>
      </c>
      <c r="C37" s="0" t="str">
        <f aca="false">IF(ABS(B37)&lt;0.01,"OK","FAIL")</f>
        <v>OK</v>
      </c>
    </row>
    <row r="39" customFormat="false" ht="15" hidden="false" customHeight="false" outlineLevel="0" collapsed="false">
      <c r="A39" s="3" t="s">
        <v>1188</v>
      </c>
      <c r="B39" s="3"/>
      <c r="C39" s="3"/>
    </row>
    <row r="40" customFormat="false" ht="15" hidden="false" customHeight="false" outlineLevel="0" collapsed="false">
      <c r="A40" s="0" t="s">
        <v>1189</v>
      </c>
      <c r="B40" s="31" t="n">
        <f aca="false">Returns!B25-'Operating Model'!$B$49</f>
        <v>0</v>
      </c>
      <c r="C40" s="0" t="str">
        <f aca="false">IF(ABS(B40)&lt;0.01,"OK","FAIL")</f>
        <v>OK</v>
      </c>
    </row>
    <row r="42" customFormat="false" ht="15" hidden="false" customHeight="false" outlineLevel="0" collapsed="false">
      <c r="A42" s="3" t="s">
        <v>1190</v>
      </c>
      <c r="B42" s="3"/>
      <c r="C42" s="3"/>
    </row>
    <row r="43" customFormat="false" ht="15" hidden="false" customHeight="false" outlineLevel="0" collapsed="false">
      <c r="A43" s="0" t="s">
        <v>1191</v>
      </c>
      <c r="B43" s="31" t="n">
        <f aca="false">'Debt (Assumed)'!$B$38-SUM('Debt (Assumed)'!B45:F45)-'Debt (Assumed)'!F46</f>
        <v>0</v>
      </c>
      <c r="C43" s="0" t="str">
        <f aca="false">IF(ABS(B43)&lt;0.01,"OK","FAIL")</f>
        <v>OK</v>
      </c>
    </row>
    <row r="44" customFormat="false" ht="15" hidden="false" customHeight="false" outlineLevel="0" collapsed="false">
      <c r="A44" s="0" t="s">
        <v>1192</v>
      </c>
      <c r="B44" s="31" t="n">
        <f aca="false">'Debt (Assumed)'!$B$59-SUM('Debt (Assumed)'!B66:F66)-'Debt (Assumed)'!F67</f>
        <v>0</v>
      </c>
      <c r="C44" s="0" t="str">
        <f aca="false">IF(ABS(B44)&lt;0.01,"OK","FAIL")</f>
        <v>OK</v>
      </c>
    </row>
    <row r="45" customFormat="false" ht="15" hidden="false" customHeight="false" outlineLevel="0" collapsed="false">
      <c r="A45" s="0" t="s">
        <v>1193</v>
      </c>
      <c r="B45" s="31" t="n">
        <f aca="false">'Debt (Assumed)'!$B$80-SUM('Debt (Assumed)'!B87:F87)-'Debt (Assumed)'!F88</f>
        <v>0</v>
      </c>
      <c r="C45" s="0" t="str">
        <f aca="false">IF(ABS(B45)&lt;0.01,"OK","FAIL")</f>
        <v>OK</v>
      </c>
    </row>
    <row r="46" customFormat="false" ht="15" hidden="false" customHeight="false" outlineLevel="0" collapsed="false">
      <c r="A46" s="0" t="s">
        <v>1194</v>
      </c>
      <c r="B46" s="31" t="n">
        <f aca="false">'Returns (Assumed)'!G80-IF(Assumptions!$C$136=1,'Returns (Assumed)'!G25,CHOOSE('Debt (Assumed)'!$B$97,'Returns (Assumed)'!G38,'Returns (Assumed)'!G51,'Returns (Assumed)'!G64))</f>
        <v>0</v>
      </c>
      <c r="C46" s="0" t="str">
        <f aca="false">IF(ABS(B46)&lt;0.01,"OK","FAIL")</f>
        <v>OK</v>
      </c>
    </row>
    <row r="48" customFormat="false" ht="15" hidden="false" customHeight="false" outlineLevel="0" collapsed="false">
      <c r="A48" s="3" t="s">
        <v>1195</v>
      </c>
      <c r="B48" s="3"/>
      <c r="C48" s="3"/>
    </row>
    <row r="49" customFormat="false" ht="15" hidden="false" customHeight="false" outlineLevel="0" collapsed="false">
      <c r="A49" s="0" t="s">
        <v>1196</v>
      </c>
      <c r="B49" s="32" t="n">
        <f aca="false">Sensitivity!$D$9-'Returns (Assumed)'!B83</f>
        <v>0</v>
      </c>
      <c r="C49" s="0" t="str">
        <f aca="false">IF(ABS(B49)&lt;0.000001,"OK","FAIL")</f>
        <v>OK</v>
      </c>
    </row>
    <row r="50" customFormat="false" ht="15" hidden="false" customHeight="false" outlineLevel="0" collapsed="false">
      <c r="A50" s="0" t="s">
        <v>1197</v>
      </c>
      <c r="B50" s="32" t="n">
        <f aca="false">Sensitivity!$D$24-'Returns (Assumed)'!B83</f>
        <v>0</v>
      </c>
      <c r="C50" s="0" t="str">
        <f aca="false">IF(ABS(B50)&lt;0.000001,"OK","FAIL")</f>
        <v>OK</v>
      </c>
    </row>
    <row r="51" customFormat="false" ht="15" hidden="false" customHeight="false" outlineLevel="0" collapsed="false">
      <c r="A51" s="0" t="s">
        <v>1198</v>
      </c>
      <c r="B51" s="32" t="n">
        <f aca="false">Sensitivity!$D$37-'Returns (Assumed)'!B83</f>
        <v>0</v>
      </c>
      <c r="C51" s="0" t="str">
        <f aca="false">IF(ABS(B51)&lt;0.000001,"OK","FAIL")</f>
        <v>OK</v>
      </c>
    </row>
    <row r="52" customFormat="false" ht="15" hidden="false" customHeight="false" outlineLevel="0" collapsed="false">
      <c r="A52" s="0" t="s">
        <v>1199</v>
      </c>
      <c r="B52" s="32" t="n">
        <f aca="false">Sensitivity!$D$54-Returns!B58</f>
        <v>2.60208521396521E-016</v>
      </c>
      <c r="C52" s="0" t="str">
        <f aca="false">IF(ABS(B52)&lt;0.000001,"OK","FAIL")</f>
        <v>OK</v>
      </c>
    </row>
    <row r="54" customFormat="false" ht="15" hidden="false" customHeight="false" outlineLevel="0" collapsed="false">
      <c r="A54" s="3" t="s">
        <v>1200</v>
      </c>
      <c r="B54" s="3"/>
      <c r="C54" s="3"/>
    </row>
    <row r="55" customFormat="false" ht="15" hidden="false" customHeight="false" outlineLevel="0" collapsed="false">
      <c r="A55" s="2" t="s">
        <v>1201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1202</v>
      </c>
    </row>
    <row r="3" customFormat="false" ht="45" hidden="false" customHeight="true" outlineLevel="0" collapsed="false">
      <c r="A3" s="27" t="s">
        <v>1203</v>
      </c>
    </row>
    <row r="6" customFormat="false" ht="15" hidden="false" customHeight="false" outlineLevel="0" collapsed="false">
      <c r="A6" s="3" t="s">
        <v>1204</v>
      </c>
      <c r="B6" s="3"/>
    </row>
    <row r="7" customFormat="false" ht="15" hidden="false" customHeight="false" outlineLevel="0" collapsed="false">
      <c r="A7" s="0" t="s">
        <v>315</v>
      </c>
      <c r="B7" s="21" t="n">
        <f aca="false">Assumptions!$C$7</f>
        <v>13800000</v>
      </c>
    </row>
    <row r="8" customFormat="false" ht="15" hidden="false" customHeight="false" outlineLevel="0" collapsed="false">
      <c r="A8" s="0" t="s">
        <v>1205</v>
      </c>
      <c r="B8" s="21" t="n">
        <f aca="false">'Returns (Assumed)'!$B$7</f>
        <v>14545290</v>
      </c>
    </row>
    <row r="9" customFormat="false" ht="15" hidden="false" customHeight="false" outlineLevel="0" collapsed="false">
      <c r="A9" s="0" t="s">
        <v>1206</v>
      </c>
      <c r="B9" s="21" t="n">
        <f aca="false">'Returns (Assumed)'!$B$8</f>
        <v>9450000</v>
      </c>
    </row>
    <row r="10" customFormat="false" ht="15" hidden="false" customHeight="false" outlineLevel="0" collapsed="false">
      <c r="A10" s="19" t="s">
        <v>438</v>
      </c>
      <c r="B10" s="10" t="n">
        <f aca="false">'Returns (Assumed)'!$B$9</f>
        <v>5095290</v>
      </c>
    </row>
    <row r="11" customFormat="false" ht="15" hidden="false" customHeight="false" outlineLevel="0" collapsed="false">
      <c r="A11" s="0" t="s">
        <v>439</v>
      </c>
      <c r="B11" s="21" t="n">
        <f aca="false">'Returns (Assumed)'!$B$10</f>
        <v>4585761</v>
      </c>
    </row>
    <row r="12" customFormat="false" ht="15" hidden="false" customHeight="false" outlineLevel="0" collapsed="false">
      <c r="A12" s="0" t="s">
        <v>1207</v>
      </c>
      <c r="B12" s="21" t="n">
        <f aca="false">'Returns (Assumed)'!$B$11</f>
        <v>509529</v>
      </c>
    </row>
    <row r="13" customFormat="false" ht="15" hidden="false" customHeight="false" outlineLevel="0" collapsed="false">
      <c r="A13" s="0" t="s">
        <v>1208</v>
      </c>
      <c r="B13" s="0" t="str">
        <f aca="false">'Returns (Assumed)'!B78</f>
        <v>2a. Short refi: floating + cap</v>
      </c>
    </row>
    <row r="14" customFormat="false" ht="15" hidden="false" customHeight="false" outlineLevel="0" collapsed="false">
      <c r="A14" s="0" t="s">
        <v>1209</v>
      </c>
      <c r="B14" s="21" t="n">
        <f aca="false">'Returns (Assumed)'!B86</f>
        <v>357752.114533679</v>
      </c>
    </row>
    <row r="15" customFormat="false" ht="15" hidden="false" customHeight="false" outlineLevel="0" collapsed="false">
      <c r="A15" s="19" t="s">
        <v>1210</v>
      </c>
      <c r="B15" s="21" t="n">
        <f aca="false">'Returns (Assumed)'!B87</f>
        <v>5453042.11453368</v>
      </c>
    </row>
    <row r="17" customFormat="false" ht="15" hidden="false" customHeight="false" outlineLevel="0" collapsed="false">
      <c r="A17" s="3" t="s">
        <v>1211</v>
      </c>
      <c r="B17" s="3"/>
    </row>
    <row r="18" customFormat="false" ht="15" hidden="false" customHeight="false" outlineLevel="0" collapsed="false">
      <c r="A18" s="0" t="s">
        <v>346</v>
      </c>
      <c r="B18" s="22" t="n">
        <f aca="false">Assumptions!$C$8</f>
        <v>0.07</v>
      </c>
    </row>
    <row r="19" customFormat="false" ht="15" hidden="false" customHeight="false" outlineLevel="0" collapsed="false">
      <c r="A19" s="19" t="s">
        <v>1212</v>
      </c>
      <c r="B19" s="25" t="n">
        <f aca="false">Returns!$B$29</f>
        <v>0.0585889919275362</v>
      </c>
    </row>
    <row r="20" customFormat="false" ht="15" hidden="false" customHeight="false" outlineLevel="0" collapsed="false">
      <c r="A20" s="0" t="s">
        <v>1213</v>
      </c>
      <c r="B20" s="22" t="n">
        <f aca="false">Returns!B30</f>
        <v>0.0636398868475362</v>
      </c>
    </row>
    <row r="21" customFormat="false" ht="15" hidden="false" customHeight="false" outlineLevel="0" collapsed="false">
      <c r="A21" s="0" t="s">
        <v>1214</v>
      </c>
      <c r="B21" s="26" t="n">
        <f aca="false">Returns!$B$33</f>
        <v>0.066</v>
      </c>
    </row>
    <row r="22" customFormat="false" ht="15" hidden="false" customHeight="false" outlineLevel="0" collapsed="false">
      <c r="A22" s="0" t="s">
        <v>1215</v>
      </c>
      <c r="B22" s="22" t="n">
        <f aca="false">'Returns (Assumed)'!$B$8/Assumptions!$C$7</f>
        <v>0.684782608695652</v>
      </c>
    </row>
    <row r="23" customFormat="false" ht="15" hidden="false" customHeight="false" outlineLevel="0" collapsed="false">
      <c r="A23" s="0" t="s">
        <v>1216</v>
      </c>
      <c r="B23" s="26" t="n">
        <f aca="false">Assumptions!$C$107</f>
        <v>0.0724</v>
      </c>
    </row>
    <row r="24" customFormat="false" ht="15" hidden="false" customHeight="false" outlineLevel="0" collapsed="false">
      <c r="A24" s="0" t="s">
        <v>1217</v>
      </c>
      <c r="B24" s="26" t="n">
        <f aca="false">'Debt (Assumed)'!$B$98</f>
        <v>0.0674</v>
      </c>
    </row>
    <row r="25" customFormat="false" ht="15" hidden="false" customHeight="false" outlineLevel="0" collapsed="false">
      <c r="A25" s="0" t="s">
        <v>1218</v>
      </c>
      <c r="B25" s="33" t="n">
        <f aca="false">Assumptions!$C$154</f>
        <v>5</v>
      </c>
    </row>
    <row r="27" customFormat="false" ht="15" hidden="false" customHeight="false" outlineLevel="0" collapsed="false">
      <c r="A27" s="3" t="s">
        <v>1219</v>
      </c>
      <c r="B27" s="3"/>
    </row>
    <row r="28" customFormat="false" ht="15" hidden="false" customHeight="false" outlineLevel="0" collapsed="false">
      <c r="A28" s="0" t="s">
        <v>377</v>
      </c>
      <c r="B28" s="22" t="n">
        <f aca="false">Returns!B57</f>
        <v>0.0552856148143237</v>
      </c>
    </row>
    <row r="29" customFormat="false" ht="15" hidden="false" customHeight="false" outlineLevel="0" collapsed="false">
      <c r="A29" s="19" t="s">
        <v>1220</v>
      </c>
      <c r="B29" s="25" t="n">
        <f aca="false">'Returns (Assumed)'!B83</f>
        <v>0.0572839138202696</v>
      </c>
    </row>
    <row r="30" customFormat="false" ht="15" hidden="false" customHeight="false" outlineLevel="0" collapsed="false">
      <c r="A30" s="0" t="s">
        <v>379</v>
      </c>
      <c r="B30" s="24" t="n">
        <f aca="false">Returns!B59</f>
        <v>1.27557149563739</v>
      </c>
    </row>
    <row r="31" customFormat="false" ht="15" hidden="false" customHeight="false" outlineLevel="0" collapsed="false">
      <c r="A31" s="19" t="s">
        <v>1221</v>
      </c>
      <c r="B31" s="28" t="n">
        <f aca="false">'Returns (Assumed)'!B84</f>
        <v>1.29220510689532</v>
      </c>
    </row>
    <row r="32" customFormat="false" ht="15" hidden="false" customHeight="false" outlineLevel="0" collapsed="false">
      <c r="A32" s="0" t="s">
        <v>1222</v>
      </c>
      <c r="B32" s="22" t="n">
        <f aca="false">Waterfall!B40</f>
        <v>0.0572839138202697</v>
      </c>
    </row>
    <row r="33" customFormat="false" ht="15" hidden="false" customHeight="false" outlineLevel="0" collapsed="false">
      <c r="A33" s="0" t="s">
        <v>1223</v>
      </c>
      <c r="B33" s="24" t="n">
        <f aca="false">Waterfall!B42</f>
        <v>1.29220510689532</v>
      </c>
    </row>
    <row r="34" customFormat="false" ht="15" hidden="false" customHeight="false" outlineLevel="0" collapsed="false">
      <c r="A34" s="0" t="s">
        <v>1224</v>
      </c>
      <c r="B34" s="22" t="n">
        <f aca="false">Waterfall!B41</f>
        <v>0.0572839138202696</v>
      </c>
    </row>
    <row r="35" customFormat="false" ht="15" hidden="false" customHeight="false" outlineLevel="0" collapsed="false">
      <c r="A35" s="0" t="s">
        <v>1225</v>
      </c>
      <c r="B35" s="24" t="n">
        <f aca="false">Waterfall!B43</f>
        <v>1.29220510689532</v>
      </c>
    </row>
    <row r="36" customFormat="false" ht="15" hidden="false" customHeight="false" outlineLevel="0" collapsed="false">
      <c r="A36" s="0" t="s">
        <v>1226</v>
      </c>
      <c r="B36" s="21" t="n">
        <f aca="false">Waterfall!B44</f>
        <v>0</v>
      </c>
    </row>
    <row r="38" customFormat="false" ht="15" hidden="false" customHeight="false" outlineLevel="0" collapsed="false">
      <c r="A38" s="3" t="s">
        <v>1227</v>
      </c>
      <c r="B38" s="3"/>
      <c r="C38" s="3"/>
      <c r="D38" s="3"/>
      <c r="E38" s="3"/>
      <c r="F38" s="3"/>
      <c r="G38" s="3"/>
      <c r="H38" s="3"/>
    </row>
    <row r="39" customFormat="false" ht="15" hidden="false" customHeight="false" outlineLevel="0" collapsed="false">
      <c r="A39" s="19" t="s">
        <v>465</v>
      </c>
      <c r="B39" s="19" t="s">
        <v>452</v>
      </c>
      <c r="C39" s="19" t="s">
        <v>466</v>
      </c>
      <c r="D39" s="19" t="s">
        <v>467</v>
      </c>
      <c r="E39" s="19" t="s">
        <v>455</v>
      </c>
      <c r="F39" s="19" t="s">
        <v>468</v>
      </c>
      <c r="G39" s="19" t="s">
        <v>469</v>
      </c>
      <c r="H39" s="19" t="s">
        <v>470</v>
      </c>
    </row>
    <row r="40" customFormat="false" ht="15" hidden="false" customHeight="false" outlineLevel="0" collapsed="false">
      <c r="A40" s="0" t="str">
        <f aca="false">'Returns (Assumed)'!A72</f>
        <v>1. Sell at maturity</v>
      </c>
      <c r="B40" s="26" t="n">
        <f aca="false">'Returns (Assumed)'!B72</f>
        <v>0.0422747582088142</v>
      </c>
      <c r="C40" s="24" t="n">
        <f aca="false">'Returns (Assumed)'!C72</f>
        <v>1.12188509437166</v>
      </c>
      <c r="D40" s="21" t="n">
        <f aca="false">'Returns (Assumed)'!D72</f>
        <v>-0</v>
      </c>
      <c r="E40" s="21" t="n">
        <f aca="false">'Returns (Assumed)'!E72</f>
        <v>5095290</v>
      </c>
      <c r="F40" s="26" t="str">
        <f aca="false">'Returns (Assumed)'!F72</f>
        <v>n/a</v>
      </c>
      <c r="G40" s="26" t="str">
        <f aca="false">'Returns (Assumed)'!G72</f>
        <v>n/a</v>
      </c>
      <c r="H40" s="20" t="n">
        <f aca="false">'Returns (Assumed)'!H72</f>
        <v>3</v>
      </c>
    </row>
    <row r="41" customFormat="false" ht="15" hidden="false" customHeight="false" outlineLevel="0" collapsed="false">
      <c r="A41" s="0" t="str">
        <f aca="false">'Returns (Assumed)'!A73</f>
        <v>2a. Short refi: floating + cap</v>
      </c>
      <c r="B41" s="26" t="n">
        <f aca="false">'Returns (Assumed)'!B73</f>
        <v>0.0572839138202696</v>
      </c>
      <c r="C41" s="24" t="n">
        <f aca="false">'Returns (Assumed)'!C73</f>
        <v>1.29220510689532</v>
      </c>
      <c r="D41" s="21" t="n">
        <f aca="false">'Returns (Assumed)'!D73</f>
        <v>357752.114533679</v>
      </c>
      <c r="E41" s="21" t="n">
        <f aca="false">'Returns (Assumed)'!E73</f>
        <v>5453042.11453368</v>
      </c>
      <c r="F41" s="26" t="n">
        <f aca="false">'Returns (Assumed)'!F73</f>
        <v>0.0674</v>
      </c>
      <c r="G41" s="26" t="n">
        <f aca="false">'Returns (Assumed)'!G73</f>
        <v>0.0728</v>
      </c>
      <c r="H41" s="20" t="n">
        <f aca="false">'Returns (Assumed)'!H73</f>
        <v>5</v>
      </c>
    </row>
    <row r="42" customFormat="false" ht="15" hidden="false" customHeight="false" outlineLevel="0" collapsed="false">
      <c r="A42" s="0" t="str">
        <f aca="false">'Returns (Assumed)'!A74</f>
        <v>2b. Short refi: 5-yr fixed</v>
      </c>
      <c r="B42" s="26" t="n">
        <f aca="false">'Returns (Assumed)'!B74</f>
        <v>0.0457748994243466</v>
      </c>
      <c r="C42" s="24" t="n">
        <f aca="false">'Returns (Assumed)'!C74</f>
        <v>1.22055984148701</v>
      </c>
      <c r="D42" s="21" t="n">
        <f aca="false">'Returns (Assumed)'!D74</f>
        <v>0</v>
      </c>
      <c r="E42" s="21" t="n">
        <f aca="false">'Returns (Assumed)'!E74</f>
        <v>5095290</v>
      </c>
      <c r="F42" s="26" t="n">
        <f aca="false">'Returns (Assumed)'!F74</f>
        <v>0.0706</v>
      </c>
      <c r="G42" s="26" t="n">
        <f aca="false">'Returns (Assumed)'!G74</f>
        <v>0.0897966207816412</v>
      </c>
      <c r="H42" s="20" t="n">
        <f aca="false">'Returns (Assumed)'!H74</f>
        <v>5</v>
      </c>
    </row>
    <row r="43" customFormat="false" ht="15" hidden="false" customHeight="false" outlineLevel="0" collapsed="false">
      <c r="A43" s="0" t="str">
        <f aca="false">'Returns (Assumed)'!A75</f>
        <v>3. 10-yr fixed refi (comparison)</v>
      </c>
      <c r="B43" s="26" t="n">
        <f aca="false">'Returns (Assumed)'!B75</f>
        <v>0.0418587207256136</v>
      </c>
      <c r="C43" s="24" t="n">
        <f aca="false">'Returns (Assumed)'!C75</f>
        <v>1.20273693674645</v>
      </c>
      <c r="D43" s="21" t="n">
        <f aca="false">'Returns (Assumed)'!D75</f>
        <v>38964.6047602594</v>
      </c>
      <c r="E43" s="21" t="n">
        <f aca="false">'Returns (Assumed)'!E75</f>
        <v>5134254.60476026</v>
      </c>
      <c r="F43" s="26" t="n">
        <f aca="false">'Returns (Assumed)'!F75</f>
        <v>0.0724</v>
      </c>
      <c r="G43" s="26" t="n">
        <f aca="false">'Returns (Assumed)'!G75</f>
        <v>0.0965077604871847</v>
      </c>
      <c r="H43" s="20" t="n">
        <f aca="false">'Returns (Assumed)'!H75</f>
        <v>5</v>
      </c>
    </row>
    <row r="44" customFormat="false" ht="15" hidden="false" customHeight="false" outlineLevel="0" collapsed="false">
      <c r="A44" s="2" t="s">
        <v>1228</v>
      </c>
    </row>
    <row r="46" customFormat="false" ht="15" hidden="false" customHeight="false" outlineLevel="0" collapsed="false">
      <c r="A46" s="3" t="s">
        <v>1229</v>
      </c>
      <c r="B46" s="3"/>
      <c r="C46" s="3"/>
    </row>
    <row r="47" customFormat="false" ht="15" hidden="false" customHeight="false" outlineLevel="0" collapsed="false">
      <c r="B47" s="19" t="s">
        <v>1230</v>
      </c>
      <c r="C47" s="19" t="s">
        <v>1231</v>
      </c>
    </row>
    <row r="48" customFormat="false" ht="15" hidden="false" customHeight="false" outlineLevel="0" collapsed="false">
      <c r="A48" s="0" t="s">
        <v>1232</v>
      </c>
      <c r="B48" s="21" t="n">
        <f aca="false">'Returns (Assumed)'!$B$8</f>
        <v>9450000</v>
      </c>
      <c r="C48" s="21" t="n">
        <f aca="false">Debt!$C$9</f>
        <v>8512260.02891301</v>
      </c>
    </row>
    <row r="49" customFormat="false" ht="15" hidden="false" customHeight="false" outlineLevel="0" collapsed="false">
      <c r="A49" s="0" t="s">
        <v>1233</v>
      </c>
      <c r="B49" s="26" t="n">
        <f aca="false">Assumptions!$C$129</f>
        <v>0.0420651851851852</v>
      </c>
      <c r="C49" s="26" t="n">
        <f aca="false">Assumptions!$C$107</f>
        <v>0.0724</v>
      </c>
    </row>
    <row r="50" customFormat="false" ht="15" hidden="false" customHeight="false" outlineLevel="0" collapsed="false">
      <c r="A50" s="0" t="s">
        <v>1234</v>
      </c>
      <c r="B50" s="21" t="n">
        <f aca="false">'Returns (Assumed)'!$B$9</f>
        <v>5095290</v>
      </c>
      <c r="C50" s="21" t="n">
        <f aca="false">Capital!$B$12</f>
        <v>5985779.97108699</v>
      </c>
    </row>
    <row r="51" customFormat="false" ht="15" hidden="false" customHeight="false" outlineLevel="0" collapsed="false">
      <c r="A51" s="0" t="s">
        <v>1235</v>
      </c>
      <c r="B51" s="22" t="n">
        <f aca="false">'Returns (Assumed)'!B83</f>
        <v>0.0572839138202696</v>
      </c>
      <c r="C51" s="22" t="n">
        <f aca="false">Returns!B58</f>
        <v>0.0245228004269767</v>
      </c>
    </row>
    <row r="52" customFormat="false" ht="15" hidden="false" customHeight="false" outlineLevel="0" collapsed="false">
      <c r="A52" s="0" t="s">
        <v>1236</v>
      </c>
      <c r="B52" s="24" t="n">
        <f aca="false">'Returns (Assumed)'!B84</f>
        <v>1.29220510689532</v>
      </c>
      <c r="C52" s="24" t="n">
        <f aca="false">Returns!B60</f>
        <v>1.12372132229079</v>
      </c>
    </row>
    <row r="53" customFormat="false" ht="15" hidden="false" customHeight="false" outlineLevel="0" collapsed="false">
      <c r="A53" s="0" t="s">
        <v>1237</v>
      </c>
      <c r="B53" s="22" t="n">
        <f aca="false">'Returns (Assumed)'!B85</f>
        <v>0.0886337065203354</v>
      </c>
      <c r="C53" s="22" t="n">
        <f aca="false">Returns!C50/Returns!B55</f>
        <v>0.0244823712877952</v>
      </c>
    </row>
    <row r="55" customFormat="false" ht="15" hidden="false" customHeight="false" outlineLevel="0" collapsed="false">
      <c r="A55" s="3" t="s">
        <v>1238</v>
      </c>
      <c r="B55" s="3"/>
      <c r="C55" s="3"/>
      <c r="D55" s="3"/>
      <c r="E55" s="3"/>
      <c r="F55" s="3"/>
      <c r="G55" s="3"/>
      <c r="H55" s="3"/>
    </row>
    <row r="56" customFormat="false" ht="15" hidden="false" customHeight="false" outlineLevel="0" collapsed="false">
      <c r="A56" s="2" t="s">
        <v>1239</v>
      </c>
    </row>
    <row r="57" customFormat="false" ht="15" hidden="false" customHeight="false" outlineLevel="0" collapsed="false">
      <c r="A57" s="19" t="s">
        <v>1240</v>
      </c>
      <c r="B57" s="19" t="s">
        <v>1241</v>
      </c>
      <c r="C57" s="19" t="s">
        <v>1242</v>
      </c>
      <c r="D57" s="19" t="s">
        <v>1243</v>
      </c>
      <c r="E57" s="19" t="s">
        <v>1244</v>
      </c>
      <c r="F57" s="19" t="s">
        <v>1245</v>
      </c>
      <c r="G57" s="19" t="s">
        <v>515</v>
      </c>
      <c r="H57" s="19" t="s">
        <v>1246</v>
      </c>
    </row>
    <row r="58" customFormat="false" ht="15" hidden="false" customHeight="false" outlineLevel="0" collapsed="false">
      <c r="A58" s="0" t="s">
        <v>1247</v>
      </c>
      <c r="B58" s="21" t="n">
        <v>13368908.8827984</v>
      </c>
      <c r="C58" s="21" t="n">
        <v>137823.802915448</v>
      </c>
      <c r="D58" s="22" t="n">
        <v>-0.0312384867537368</v>
      </c>
      <c r="E58" s="26" t="n">
        <v>0.0610311061163819</v>
      </c>
      <c r="F58" s="26" t="n">
        <v>0.0800000001063828</v>
      </c>
      <c r="G58" s="26" t="n">
        <v>0.0800000000744685</v>
      </c>
      <c r="H58" s="21" t="n">
        <v>0</v>
      </c>
    </row>
    <row r="59" customFormat="false" ht="15" hidden="false" customHeight="false" outlineLevel="0" collapsed="false">
      <c r="A59" s="0" t="s">
        <v>1248</v>
      </c>
      <c r="B59" s="21" t="n">
        <v>12728533.5560166</v>
      </c>
      <c r="C59" s="21" t="n">
        <v>131221.995422852</v>
      </c>
      <c r="D59" s="22" t="n">
        <v>-0.0776424959408235</v>
      </c>
      <c r="E59" s="26" t="n">
        <v>0.0649641808426929</v>
      </c>
      <c r="F59" s="26" t="n">
        <v>0.119999999999223</v>
      </c>
      <c r="G59" s="26" t="n">
        <v>0.108627131146193</v>
      </c>
      <c r="H59" s="21" t="n">
        <v>0</v>
      </c>
    </row>
    <row r="60" customFormat="false" ht="15" hidden="false" customHeight="false" outlineLevel="0" collapsed="false">
      <c r="A60" s="0" t="s">
        <v>1249</v>
      </c>
      <c r="B60" s="21" t="n">
        <v>12286567.0906961</v>
      </c>
      <c r="C60" s="21" t="n">
        <v>126665.640110269</v>
      </c>
      <c r="D60" s="22" t="n">
        <v>-0.109669051398832</v>
      </c>
      <c r="E60" s="26" t="n">
        <v>0.0679177852830375</v>
      </c>
      <c r="F60" s="26" t="n">
        <v>0.150000000022697</v>
      </c>
      <c r="G60" s="26" t="n">
        <v>0.127839310676823</v>
      </c>
      <c r="H60" s="21" t="n">
        <v>235074.681977913</v>
      </c>
    </row>
    <row r="61" customFormat="false" ht="15" hidden="false" customHeight="false" outlineLevel="0" collapsed="false">
      <c r="A61" s="0" t="s">
        <v>1250</v>
      </c>
      <c r="B61" s="21" t="n">
        <v>12572261.4315845</v>
      </c>
      <c r="C61" s="21" t="n">
        <v>129610.942593655</v>
      </c>
      <c r="D61" s="22" t="n">
        <v>-0.0889665629286597</v>
      </c>
      <c r="E61" s="26" t="n">
        <v>0.0659847952238637</v>
      </c>
      <c r="F61" s="26" t="n">
        <v>0.0800000000861907</v>
      </c>
      <c r="G61" s="26" t="n">
        <v>0.0800000000603336</v>
      </c>
      <c r="H61" s="21" t="n">
        <v>8716287.50198812</v>
      </c>
    </row>
    <row r="62" customFormat="false" ht="15" hidden="false" customHeight="false" outlineLevel="0" collapsed="false">
      <c r="A62" s="0" t="s">
        <v>1251</v>
      </c>
      <c r="B62" s="21" t="n">
        <v>11921109.0566385</v>
      </c>
      <c r="C62" s="21" t="n">
        <v>122898.031511737</v>
      </c>
      <c r="D62" s="22" t="n">
        <v>-0.136151517634895</v>
      </c>
      <c r="E62" s="26" t="n">
        <v>0.0705255129737769</v>
      </c>
      <c r="F62" s="26" t="n">
        <v>0.119999990455474</v>
      </c>
      <c r="G62" s="26" t="n">
        <v>0.108614373770606</v>
      </c>
      <c r="H62" s="21" t="n">
        <v>8824496.99956752</v>
      </c>
    </row>
    <row r="63" customFormat="false" ht="15" hidden="false" customHeight="false" outlineLevel="0" collapsed="false">
      <c r="A63" s="0" t="s">
        <v>1252</v>
      </c>
      <c r="B63" s="21" t="n">
        <v>11458597.5263007</v>
      </c>
      <c r="C63" s="21" t="n">
        <v>118129.871405162</v>
      </c>
      <c r="D63" s="22" t="n">
        <v>-0.169666845920241</v>
      </c>
      <c r="E63" s="26" t="n">
        <v>0.074064234436588</v>
      </c>
      <c r="F63" s="26" t="n">
        <v>0.150000000004131</v>
      </c>
      <c r="G63" s="26" t="n">
        <v>0.127783921063779</v>
      </c>
      <c r="H63" s="21" t="n">
        <v>8593948.14472551</v>
      </c>
    </row>
    <row r="64" customFormat="false" ht="15" hidden="false" customHeight="false" outlineLevel="0" collapsed="false">
      <c r="A64" s="2" t="s">
        <v>1253</v>
      </c>
    </row>
    <row r="66" customFormat="false" ht="15" hidden="false" customHeight="false" outlineLevel="0" collapsed="false">
      <c r="A66" s="3" t="s">
        <v>1254</v>
      </c>
      <c r="B66" s="3"/>
    </row>
    <row r="67" customFormat="false" ht="109.5" hidden="false" customHeight="true" outlineLevel="0" collapsed="false">
      <c r="A67" s="27" t="s">
        <v>1255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2026-09-30T01:29:52Z</dcterms:created>
  <dc:creator>openpyxl</dc:creator>
  <dc:description/>
  <dc:language>en-US</dc:language>
  <cp:lastModifiedBy/>
  <dcterms:modified xsi:type="dcterms:W3CDTF">2026-09-30T01:29:52Z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