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Assumptions" sheetId="1" state="visible" r:id="rId3"/>
    <sheet name="Unit Mix" sheetId="2" state="visible" r:id="rId4"/>
    <sheet name="Operating Model" sheetId="3" state="visible" r:id="rId5"/>
    <sheet name="Debt" sheetId="4" state="visible" r:id="rId6"/>
    <sheet name="Capital" sheetId="5" state="visible" r:id="rId7"/>
    <sheet name="Returns" sheetId="6" state="visible" r:id="rId8"/>
    <sheet name="Waterfall" sheetId="7" state="visible" r:id="rId9"/>
    <sheet name="Sensitivity" sheetId="8" state="visible" r:id="rId10"/>
    <sheet name="Checks" sheetId="9" state="visible" r:id="rId11"/>
    <sheet name="Summary"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<sst xmlns="http://schemas.openxmlformats.org/spreadsheetml/2006/main" count="496" uniqueCount="434">
  <si>
    <t xml:space="preserve">ASSUMPTIONS — Parkview Crossing, 901-951 NW 8th Ave, Pompano Beach, FL 33060</t>
  </si>
  <si>
    <t xml:space="preserve">Blue = input. Black = formula. Every number elsewhere in this workbook traces back to a cell on this tab or Unit Mix.</t>
  </si>
  <si>
    <t xml:space="preserve">ACQUISITION</t>
  </si>
  <si>
    <t xml:space="preserve">Units</t>
  </si>
  <si>
    <t xml:space="preserve">LoopNet listing</t>
  </si>
  <si>
    <t xml:space="preserve">Purchase Price ($)</t>
  </si>
  <si>
    <t xml:space="preserve">Broker-stated asking price (LoopNet)</t>
  </si>
  <si>
    <t xml:space="preserve">Broker-Stated Cap Rate</t>
  </si>
  <si>
    <t xml:space="preserve">LoopNet advertised cap rate</t>
  </si>
  <si>
    <t xml:space="preserve">Broker-Implied NOI ($)</t>
  </si>
  <si>
    <t xml:space="preserve">i.e. Price x Broker Cap (not used downstream)</t>
  </si>
  <si>
    <t xml:space="preserve">Closing Costs (% of Price)</t>
  </si>
  <si>
    <t xml:space="preserve">Broward doc stamps $0.70/$100 + title/legal/reports</t>
  </si>
  <si>
    <t xml:space="preserve">Closing Costs ($)</t>
  </si>
  <si>
    <t xml:space="preserve">PROPERTY TAX REASSESSMENT</t>
  </si>
  <si>
    <t xml:space="preserve">Combined Millage Rate</t>
  </si>
  <si>
    <t xml:space="preserve">PLACEHOLDER (Broward county-wide avg) — REPLACE with BCPA-confirmed parcel millage code rate</t>
  </si>
  <si>
    <t xml:space="preserve">Seller's Current TAXABLE Value ($)</t>
  </si>
  <si>
    <t xml:space="preserve">PLACEHOLDER (LoopNet-disclosed 'assessed value', treated as taxable value since no exemptions apply to non-homestead rental) — REPLACE with BCPA-confirmed taxable value</t>
  </si>
  <si>
    <t xml:space="preserve">Cost-of-Sale Factor (DOR customary)</t>
  </si>
  <si>
    <t xml:space="preserve">Fla. Stat. 193.011(8): DOR sales-ratio studies customarily net sale price by 15% cost-of-sale allowance. Set to 100% to run the conservative (full-price) case instead.</t>
  </si>
  <si>
    <t xml:space="preserve">Non-Homestead Annual Assessment Cap</t>
  </si>
  <si>
    <t xml:space="preserve">Fla. Const. Art VII — 10% cap today; Amendment 3 (Nov 2026 ballot) would cut to 5% starting 2027 if passed — NOT modeled</t>
  </si>
  <si>
    <t xml:space="preserve">Reassessed Just Value at Purchase ($)</t>
  </si>
  <si>
    <t xml:space="preserve">i.e. Purchase Price x Cost-of-Sale Factor</t>
  </si>
  <si>
    <t xml:space="preserve">Seller's Current Annual Tax ($)</t>
  </si>
  <si>
    <t xml:space="preserve">Buyer's Year-1 Tax ($)</t>
  </si>
  <si>
    <t xml:space="preserve">RENOVATION PROGRAM — bottom-up scope, per classic unit</t>
  </si>
  <si>
    <t xml:space="preserve">Kitchen (cabinet refacing, counter, appliance pkg)</t>
  </si>
  <si>
    <t xml:space="preserve">Mini-split ductless AC system</t>
  </si>
  <si>
    <t xml:space="preserve">Vinyl slider window replacement (~3 openings)</t>
  </si>
  <si>
    <t xml:space="preserve">Modern lighting fixtures + ceiling fans</t>
  </si>
  <si>
    <t xml:space="preserve">LVP flooring (~700 SF)</t>
  </si>
  <si>
    <t xml:space="preserve">Bathroom refresh (vanity, fixtures, re-caulk)</t>
  </si>
  <si>
    <t xml:space="preserve">Interior paint</t>
  </si>
  <si>
    <t xml:space="preserve">Turnover labor / make-ready cleaning</t>
  </si>
  <si>
    <t xml:space="preserve">Subtotal ($/unit)</t>
  </si>
  <si>
    <t xml:space="preserve">Contingency %</t>
  </si>
  <si>
    <t xml:space="preserve">Contingency ($/unit)</t>
  </si>
  <si>
    <t xml:space="preserve">TOTAL Renovation Cost ($/unit)</t>
  </si>
  <si>
    <t xml:space="preserve">Renovation Pace (units/month)</t>
  </si>
  <si>
    <t xml:space="preserve">Renovated-Unit Rent Premium ($/month)</t>
  </si>
  <si>
    <t xml:space="preserve">Southeast Class B/C industry commentary, $100-250/mo range</t>
  </si>
  <si>
    <t xml:space="preserve">Renovated-Unit Rent Premium ($/year)</t>
  </si>
  <si>
    <t xml:space="preserve">Year-1 Premium Capture % (mid-program convention)</t>
  </si>
  <si>
    <t xml:space="preserve">6-month program starting month 1 of the hold -&gt; average unit captures ~half a year of uplift in Year 1</t>
  </si>
  <si>
    <t xml:space="preserve">OPERATING ASSUMPTIONS</t>
  </si>
  <si>
    <t xml:space="preserve">Physical Vacancy %</t>
  </si>
  <si>
    <t xml:space="preserve">vs. 92% disclosed occupancy; nudged for renovation downtime</t>
  </si>
  <si>
    <t xml:space="preserve">Credit Loss % (of GPR)</t>
  </si>
  <si>
    <t xml:space="preserve">Concessions % (of GPR)</t>
  </si>
  <si>
    <t xml:space="preserve">Other Income ($/unit/month)</t>
  </si>
  <si>
    <t xml:space="preserve">RUBS, pet, parking, admin fees</t>
  </si>
  <si>
    <t xml:space="preserve">Loss-to-Lease Burn-off % per Turnover</t>
  </si>
  <si>
    <t xml:space="preserve">of remaining gap to market rent, closed at each turnover</t>
  </si>
  <si>
    <t xml:space="preserve">Annual Turnover Rate %</t>
  </si>
  <si>
    <t xml:space="preserve">general Class B/C garden-apartment convention, not property-specific</t>
  </si>
  <si>
    <t xml:space="preserve">Prior-Owner-Renovated Units: Starting Capture of Total Uplift</t>
  </si>
  <si>
    <t xml:space="preserve">judgment split of the disclosed 20.76% blended upside between already-renovated (partial capture) and classic (zero capture) units</t>
  </si>
  <si>
    <t xml:space="preserve">MARKET RENT GROWTH SCHEDULE (Broward/Pompano-sourced, capped at 3.0% terminal)</t>
  </si>
  <si>
    <t xml:space="preserve">Year 1 Market Rent Growth</t>
  </si>
  <si>
    <t xml:space="preserve">Yardi Matrix (via MIAMI REALTORS+RWorld South Florida Rental Market Report, May 2026): Broward County Class C/C+ asking rents +0.2% YoY — near-flat current read, nudged to 1.0% for a full forward year</t>
  </si>
  <si>
    <t xml:space="preserve">Year 2 Market Rent Growth</t>
  </si>
  <si>
    <t xml:space="preserve">judgment, gradual convergence</t>
  </si>
  <si>
    <t xml:space="preserve">Year 3 Market Rent Growth</t>
  </si>
  <si>
    <t xml:space="preserve">Year 4 Market Rent Growth</t>
  </si>
  <si>
    <t xml:space="preserve">capped at 3.0% per instruction — no source supports going higher for a multi-year terminal rate</t>
  </si>
  <si>
    <t xml:space="preserve">Year 5 Market Rent Growth</t>
  </si>
  <si>
    <t xml:space="preserve">capped</t>
  </si>
  <si>
    <t xml:space="preserve">Year 6 Market Rent Growth</t>
  </si>
  <si>
    <t xml:space="preserve">Year 7 Market Rent Growth</t>
  </si>
  <si>
    <t xml:space="preserve">Year 8 Market Rent Growth</t>
  </si>
  <si>
    <t xml:space="preserve">Year 9 Market Rent Growth</t>
  </si>
  <si>
    <t xml:space="preserve">Year 10 Market Rent Growth</t>
  </si>
  <si>
    <t xml:space="preserve">EXPENSE GROWTH</t>
  </si>
  <si>
    <t xml:space="preserve">General Expense Growth % (ex-insurance, ex-tax)</t>
  </si>
  <si>
    <t xml:space="preserve">Insurance Growth %</t>
  </si>
  <si>
    <t xml:space="preserve">above general expense growth given the recent ~37% two-year South Florida trend</t>
  </si>
  <si>
    <t xml:space="preserve">OPERATING EXPENSES (Year 1, $/unit/year unless noted)</t>
  </si>
  <si>
    <t xml:space="preserve">Payroll (on-site mgmt + maintenance)</t>
  </si>
  <si>
    <t xml:space="preserve">Repairs &amp; Maintenance</t>
  </si>
  <si>
    <t xml:space="preserve">nudged up for 1958 vintage / undisclosed roof</t>
  </si>
  <si>
    <t xml:space="preserve">Turnover / Make-Ready</t>
  </si>
  <si>
    <t xml:space="preserve">Contract Services (landscaping, pest, trash)</t>
  </si>
  <si>
    <t xml:space="preserve">Utilities (owner-paid common area/vacant)</t>
  </si>
  <si>
    <t xml:space="preserve">Insurance — Base Case ($/unit)</t>
  </si>
  <si>
    <t xml:space="preserve">vintage-risk-adjusted above the general $2,000/unit South Florida average</t>
  </si>
  <si>
    <t xml:space="preserve">Insurance — If Roof Replaced ($/unit)</t>
  </si>
  <si>
    <t xml:space="preserve">scenario only — see Roof section below</t>
  </si>
  <si>
    <t xml:space="preserve">Management Fee (% of EGI)</t>
  </si>
  <si>
    <t xml:space="preserve">G&amp;A / Admin</t>
  </si>
  <si>
    <t xml:space="preserve">Marketing</t>
  </si>
  <si>
    <t xml:space="preserve">Replacement Reserves (below NOI)</t>
  </si>
  <si>
    <t xml:space="preserve">ROOF &amp; RECERTIFICATION — diligence items, not confident estimates</t>
  </si>
  <si>
    <t xml:space="preserve">Roof Replacement Scenario Toggle (1=on, 0=off)</t>
  </si>
  <si>
    <t xml:space="preserve">Roof Replacement Cost ($, one-time, Year 1 if toggled)</t>
  </si>
  <si>
    <t xml:space="preserve">~23,480 SF est. roof area x $8-12/SF hurricane-code TPO/mod-bit; midpoint of $188k-282k range</t>
  </si>
  <si>
    <t xml:space="preserve">Recertification Year (model Year #)</t>
  </si>
  <si>
    <t xml:space="preserve">next 40/50-Year Program cycle due ~2028; Year 2 of the hold if closing is late 2026/early 2027</t>
  </si>
  <si>
    <t xml:space="preserve">Recertification Inspection Cost ($, one-time)</t>
  </si>
  <si>
    <t xml:space="preserve">placeholder — no sourced fee</t>
  </si>
  <si>
    <t xml:space="preserve">Recertification Remediation Contingency ($, one-time)</t>
  </si>
  <si>
    <t xml:space="preserve">placeholder — genuinely unknowable without an engineer's report</t>
  </si>
  <si>
    <t xml:space="preserve">DEBT</t>
  </si>
  <si>
    <t xml:space="preserve">1-Month SOFR</t>
  </si>
  <si>
    <t xml:space="preserve">sofrrate.com, reading as of 9/18/2026</t>
  </si>
  <si>
    <t xml:space="preserve">Spread (bps over SOFR)</t>
  </si>
  <si>
    <t xml:space="preserve">All-In Floating Rate</t>
  </si>
  <si>
    <t xml:space="preserve">Maximum LTV %</t>
  </si>
  <si>
    <t xml:space="preserve">Minimum DSCR</t>
  </si>
  <si>
    <t xml:space="preserve">Minimum Debt Yield %</t>
  </si>
  <si>
    <t xml:space="preserve">Interest-Only Period (years)</t>
  </si>
  <si>
    <t xml:space="preserve">Amortization (years)</t>
  </si>
  <si>
    <t xml:space="preserve">HOLD &amp; EXIT</t>
  </si>
  <si>
    <t xml:space="preserve">Hold Period (years)</t>
  </si>
  <si>
    <t xml:space="preserve">Exit Cap Spread over Entry — Base Case (bps)</t>
  </si>
  <si>
    <t xml:space="preserve">per instruction: entry + 50bps</t>
  </si>
  <si>
    <t xml:space="preserve">Exit Cap Spread over Entry — Sensitivity Ceiling (bps)</t>
  </si>
  <si>
    <t xml:space="preserve">per instruction: sensitivity extends to +100bps</t>
  </si>
  <si>
    <t xml:space="preserve">Cost of Sale at Exit (%)</t>
  </si>
  <si>
    <t xml:space="preserve">WATERFALL</t>
  </si>
  <si>
    <t xml:space="preserve">Preferred Return %</t>
  </si>
  <si>
    <t xml:space="preserve">Tier 2 LP Share</t>
  </si>
  <si>
    <t xml:space="preserve">Tier 2 GP Share</t>
  </si>
  <si>
    <t xml:space="preserve">Tier 2 IRR Hurdle</t>
  </si>
  <si>
    <t xml:space="preserve">Tier 3 LP Share</t>
  </si>
  <si>
    <t xml:space="preserve">Tier 3 GP Share</t>
  </si>
  <si>
    <t xml:space="preserve">GP Co-Invest %</t>
  </si>
  <si>
    <t xml:space="preserve">UNIT MIX / RENT ROLL — 97 units</t>
  </si>
  <si>
    <t xml:space="preserve">75% of units already renovated by prior owner (LoopNet/Crexi). Classic-unit counts below are a proportional allocation of that disclosed 75/25 split across unit types — judgment, not unit-type-level disclosed data.</t>
  </si>
  <si>
    <t xml:space="preserve">Unit Type</t>
  </si>
  <si>
    <t xml:space="preserve">Total Units</t>
  </si>
  <si>
    <t xml:space="preserve">Classic Units</t>
  </si>
  <si>
    <t xml:space="preserve">Renovated Units</t>
  </si>
  <si>
    <t xml:space="preserve">Avg SF</t>
  </si>
  <si>
    <t xml:space="preserve">Classic In-Place Rent/mo</t>
  </si>
  <si>
    <t xml:space="preserve">Renovated In-Place Rent/mo</t>
  </si>
  <si>
    <t xml:space="preserve">Market Rent/mo (at close)</t>
  </si>
  <si>
    <t xml:space="preserve">Studio</t>
  </si>
  <si>
    <t xml:space="preserve">1BR/1BA</t>
  </si>
  <si>
    <t xml:space="preserve">2BR/1BA</t>
  </si>
  <si>
    <t xml:space="preserve">2BR/2BA</t>
  </si>
  <si>
    <t xml:space="preserve">TOTAL / WEIGHTED AVG</t>
  </si>
  <si>
    <t xml:space="preserve">RENOVATION CAPEX BY TYPE (classic units only)</t>
  </si>
  <si>
    <t xml:space="preserve">Cost/Unit</t>
  </si>
  <si>
    <t xml:space="preserve">Total Cost</t>
  </si>
  <si>
    <t xml:space="preserve">TOTAL</t>
  </si>
  <si>
    <t xml:space="preserve">OPERATING MODEL — Annual, 10 Years</t>
  </si>
  <si>
    <t xml:space="preserve">Year</t>
  </si>
  <si>
    <t xml:space="preserve">Calendar Year</t>
  </si>
  <si>
    <t xml:space="preserve">Market Rent Growth (this year)</t>
  </si>
  <si>
    <t xml:space="preserve">MARKET &amp; ACHIEVED RENT BY UNIT TYPE ($/unit/month)</t>
  </si>
  <si>
    <t xml:space="preserve">Studio — Market Rent/mo</t>
  </si>
  <si>
    <t xml:space="preserve">Studio — Classic-Unit Track Rent/mo</t>
  </si>
  <si>
    <t xml:space="preserve">Studio — Prior-Renovated Track Rent/mo</t>
  </si>
  <si>
    <t xml:space="preserve">1BR/1BA — Market Rent/mo</t>
  </si>
  <si>
    <t xml:space="preserve">1BR/1BA — Classic-Unit Track Rent/mo</t>
  </si>
  <si>
    <t xml:space="preserve">1BR/1BA — Prior-Renovated Track Rent/mo</t>
  </si>
  <si>
    <t xml:space="preserve">2BR/1BA — Market Rent/mo</t>
  </si>
  <si>
    <t xml:space="preserve">2BR/1BA — Classic-Unit Track Rent/mo</t>
  </si>
  <si>
    <t xml:space="preserve">2BR/1BA — Prior-Renovated Track Rent/mo</t>
  </si>
  <si>
    <t xml:space="preserve">2BR/2BA — Market Rent/mo</t>
  </si>
  <si>
    <t xml:space="preserve">2BR/2BA — Classic-Unit Track Rent/mo</t>
  </si>
  <si>
    <t xml:space="preserve">2BR/2BA — Prior-Renovated Track Rent/mo</t>
  </si>
  <si>
    <t xml:space="preserve">INCOME</t>
  </si>
  <si>
    <t xml:space="preserve">Gross Potential Rent (GPR)</t>
  </si>
  <si>
    <t xml:space="preserve">Less: Physical Vacancy</t>
  </si>
  <si>
    <t xml:space="preserve">Less: Credit Loss</t>
  </si>
  <si>
    <t xml:space="preserve">Less: Concessions</t>
  </si>
  <si>
    <t xml:space="preserve">Plus: Other Income</t>
  </si>
  <si>
    <t xml:space="preserve">Effective Gross Income (EGI)</t>
  </si>
  <si>
    <t xml:space="preserve">OPERATING EXPENSES</t>
  </si>
  <si>
    <t xml:space="preserve">Payroll</t>
  </si>
  <si>
    <t xml:space="preserve">Contract Services</t>
  </si>
  <si>
    <t xml:space="preserve">Utilities (owner-paid)</t>
  </si>
  <si>
    <t xml:space="preserve">Insurance</t>
  </si>
  <si>
    <t xml:space="preserve">Property Tax (reassessed basis, capped growth)</t>
  </si>
  <si>
    <t xml:space="preserve">Total Operating Expenses</t>
  </si>
  <si>
    <t xml:space="preserve">NET OPERATING INCOME (NOI)</t>
  </si>
  <si>
    <t xml:space="preserve">  memo: NOI Before Property Tax (for exit valuation)</t>
  </si>
  <si>
    <t xml:space="preserve">BELOW-NOI ITEMS</t>
  </si>
  <si>
    <t xml:space="preserve">Less: Replacement Reserves</t>
  </si>
  <si>
    <t xml:space="preserve">Less: One-Time Capex (roof scenario / recertification)</t>
  </si>
  <si>
    <t xml:space="preserve">UNLEVERED CASH FLOW (before renovation capex, before debt)</t>
  </si>
  <si>
    <t xml:space="preserve">DEBT — sized explicitly on the binding constraint (no circularity, no iteration)</t>
  </si>
  <si>
    <t xml:space="preserve">SIZING</t>
  </si>
  <si>
    <t xml:space="preserve">Year 1 NOI (from Operating Model)</t>
  </si>
  <si>
    <t xml:space="preserve">Loan Amount — LTV Constraint</t>
  </si>
  <si>
    <t xml:space="preserve">Loan Amount — Debt Yield Constraint</t>
  </si>
  <si>
    <t xml:space="preserve">Loan Amount — DSCR Constraint (IO-period debt service)</t>
  </si>
  <si>
    <t xml:space="preserve">SIZED LOAN AMOUNT (binding = minimum)</t>
  </si>
  <si>
    <t xml:space="preserve">Binding Constraint</t>
  </si>
  <si>
    <t xml:space="preserve">Resulting LTV</t>
  </si>
  <si>
    <t xml:space="preserve">Resulting Debt Yield</t>
  </si>
  <si>
    <t xml:space="preserve">Resulting DSCR (Year 1, IO)</t>
  </si>
  <si>
    <t xml:space="preserve">AMORTIZATION SCHEDULE (Years 1-5, matching the hold period)</t>
  </si>
  <si>
    <t xml:space="preserve">Beg. Balance</t>
  </si>
  <si>
    <t xml:space="preserve">Interest</t>
  </si>
  <si>
    <t xml:space="preserve">Principal</t>
  </si>
  <si>
    <t xml:space="preserve">Debt Service</t>
  </si>
  <si>
    <t xml:space="preserve">End Balance</t>
  </si>
  <si>
    <t xml:space="preserve">Annual P&amp;I Payment (post-IO)</t>
  </si>
  <si>
    <t xml:space="preserve">CAPITAL — Sources &amp; Uses</t>
  </si>
  <si>
    <t xml:space="preserve">USES</t>
  </si>
  <si>
    <t xml:space="preserve">Purchase Price</t>
  </si>
  <si>
    <t xml:space="preserve">Closing Costs</t>
  </si>
  <si>
    <t xml:space="preserve">Renovation Capex (24 classic units)</t>
  </si>
  <si>
    <t xml:space="preserve">TOTAL USES</t>
  </si>
  <si>
    <t xml:space="preserve">SOURCES</t>
  </si>
  <si>
    <t xml:space="preserve">Senior Loan (sized on Debt tab)</t>
  </si>
  <si>
    <t xml:space="preserve">Sponsor Equity (plug)</t>
  </si>
  <si>
    <t xml:space="preserve">TOTAL SOURCES</t>
  </si>
  <si>
    <t xml:space="preserve">EQUITY SPLIT</t>
  </si>
  <si>
    <t xml:space="preserve">LP Equity</t>
  </si>
  <si>
    <t xml:space="preserve">GP Equity (co-invest)</t>
  </si>
  <si>
    <t xml:space="preserve">CHECK: Sources - Uses</t>
  </si>
  <si>
    <t xml:space="preserve">RETURNS — Unlevered &amp; Levered, 5-Year Hold</t>
  </si>
  <si>
    <t xml:space="preserve">EXIT VALUATION — tax-adjusted</t>
  </si>
  <si>
    <t xml:space="preserve">Entry Cap Rate (Year-1 model NOI / Purchase Price)</t>
  </si>
  <si>
    <t xml:space="preserve">Exit Cap Rate — base case (entry + 50bps)</t>
  </si>
  <si>
    <t xml:space="preserve">Exit Cap Rate — sensitivity ceiling (entry + 100bps)</t>
  </si>
  <si>
    <t xml:space="preserve">Effective Tax Rate at Exit (same cost-of-sale factor as entry)</t>
  </si>
  <si>
    <t xml:space="preserve">Forward NOI Before Property Tax (Year 6, for exit)</t>
  </si>
  <si>
    <t xml:space="preserve">EXIT PRICE = Fwd NOI pretax / (Exit Cap + Eff. Tax Rate)</t>
  </si>
  <si>
    <t xml:space="preserve">Less: Cost of Sale</t>
  </si>
  <si>
    <t xml:space="preserve">Less: Loan Payoff (Debt tab, End Balance Year 5)</t>
  </si>
  <si>
    <t xml:space="preserve">NET SALE PROCEEDS TO EQUITY</t>
  </si>
  <si>
    <t xml:space="preserve">Net Sale Proceeds, UNLEVERED (no loan payoff)</t>
  </si>
  <si>
    <t xml:space="preserve">CASH FLOWS ($) — Year 0 = closing, Years 1-5 = operations + exit in Year 5</t>
  </si>
  <si>
    <t xml:space="preserve">Year 0</t>
  </si>
  <si>
    <t xml:space="preserve">Year 1</t>
  </si>
  <si>
    <t xml:space="preserve">Year 2</t>
  </si>
  <si>
    <t xml:space="preserve">Year 3</t>
  </si>
  <si>
    <t xml:space="preserve">Year 4</t>
  </si>
  <si>
    <t xml:space="preserve">Year 5</t>
  </si>
  <si>
    <t xml:space="preserve">Unlevered CF (NOI + reserves + roof/recert capex)</t>
  </si>
  <si>
    <t xml:space="preserve">+ Net Sale Proceeds (Year 5 only, unlevered)</t>
  </si>
  <si>
    <t xml:space="preserve">TOTAL UNLEVERED CASH FLOW TO EQUITY</t>
  </si>
  <si>
    <t xml:space="preserve">Less: Debt Service</t>
  </si>
  <si>
    <t xml:space="preserve">Levered CF from Operations</t>
  </si>
  <si>
    <t xml:space="preserve">+ Net Sale Proceeds (Year 5 only, levered)</t>
  </si>
  <si>
    <t xml:space="preserve">TOTAL LEVERED CASH FLOW TO EQUITY</t>
  </si>
  <si>
    <t xml:space="preserve">RETURNS SUMMARY</t>
  </si>
  <si>
    <t xml:space="preserve">Total Equity Invested (Year 0)</t>
  </si>
  <si>
    <t xml:space="preserve">Total Uses, All-Cash (Year 0, unlevered basis)</t>
  </si>
  <si>
    <t xml:space="preserve">Unlevered IRR</t>
  </si>
  <si>
    <t xml:space="preserve">Levered IRR</t>
  </si>
  <si>
    <t xml:space="preserve">Unlevered Equity Multiple</t>
  </si>
  <si>
    <t xml:space="preserve">Levered Equity Multiple</t>
  </si>
  <si>
    <t xml:space="preserve">Peak Equity (single close, no follow-on calls)</t>
  </si>
  <si>
    <t xml:space="preserve">CASH-ON-CASH BY YEAR (levered)</t>
  </si>
  <si>
    <t xml:space="preserve">WATERFALL — 8% Pref -&gt; ROC -&gt; 70/30 to 12% IRR -&gt; 50/50</t>
  </si>
  <si>
    <t xml:space="preserve">Method: each tier tracks a compounding 'hurdle balance' (what LP is owed at that tier's rate) that is debited by every LP dollar received. The balance hitting zero is mathematically equivalent to LP achieving exactly that IRR — no iterative solver needed.</t>
  </si>
  <si>
    <t xml:space="preserve">Available Cash for Distribution</t>
  </si>
  <si>
    <t xml:space="preserve">LP Investment / GP Investment (Year 0)</t>
  </si>
  <si>
    <t xml:space="preserve">TIER 1 — Return of Capital + 8% Preferred Return (100% LP)</t>
  </si>
  <si>
    <t xml:space="preserve">Hurdle Balance, End of Year (8% compounding)</t>
  </si>
  <si>
    <t xml:space="preserve">Tier 1 Distribution to LP</t>
  </si>
  <si>
    <t xml:space="preserve">Remaining Cash After Tier 1</t>
  </si>
  <si>
    <t xml:space="preserve">TIER 2 — 70/30 LP/GP up to a 12% LP IRR</t>
  </si>
  <si>
    <t xml:space="preserve">12% Hurdle Balance, End of Year (compounding, net of ALL LP $ incl. Tier 1)</t>
  </si>
  <si>
    <t xml:space="preserve">12% Hurdle Balance After Tier-1 Cash Applied</t>
  </si>
  <si>
    <t xml:space="preserve">Tier 2 Total Distribution (LP+GP)</t>
  </si>
  <si>
    <t xml:space="preserve">  LP share (70%)</t>
  </si>
  <si>
    <t xml:space="preserve">  GP share (30%)</t>
  </si>
  <si>
    <t xml:space="preserve">Remaining Cash After Tier 2</t>
  </si>
  <si>
    <t xml:space="preserve">TIER 3 — 50/50 LP/GP thereafter</t>
  </si>
  <si>
    <t xml:space="preserve">Tier 3 Total Distribution (LP+GP)</t>
  </si>
  <si>
    <t xml:space="preserve">  LP share (50%)</t>
  </si>
  <si>
    <t xml:space="preserve">  GP share (50%)</t>
  </si>
  <si>
    <t xml:space="preserve">TOTALS BY PARTY</t>
  </si>
  <si>
    <t xml:space="preserve">LP Total Distribution</t>
  </si>
  <si>
    <t xml:space="preserve">GP Total Distribution</t>
  </si>
  <si>
    <t xml:space="preserve">CHECK — LP + GP distributions must equal Available Cash each year</t>
  </si>
  <si>
    <t xml:space="preserve">LP / GP RETURNS</t>
  </si>
  <si>
    <t xml:space="preserve">LP IRR</t>
  </si>
  <si>
    <t xml:space="preserve">GP IRR</t>
  </si>
  <si>
    <t xml:space="preserve">LP Equity Multiple</t>
  </si>
  <si>
    <t xml:space="preserve">GP Equity Multiple</t>
  </si>
  <si>
    <t xml:space="preserve">SENSITIVITY</t>
  </si>
  <si>
    <t xml:space="preserve">Each grid is a self-contained proxy calc: Year-1 NOI starts from the Operating Model's base case and is adjusted only for what that table's two axes change (tax, debt sizing, renovation NOI/capex, or a flat rent-growth override); it does not re-run the full 97-unit/burn-off engine 25 times. Debt is re-sized where price or capex changes; held at the base-case loan where it doesn't. IRR/EM values are pulled from the 'calculation detail' rows near the bottom of this tab.</t>
  </si>
  <si>
    <t xml:space="preserve">TABLE 1 — Exit Cap Rate (rows) x Flat Rent Growth Override (cols) | Levered IRR (top) / Equity Multiple (bottom)</t>
  </si>
  <si>
    <t xml:space="preserve">Exit Cap \ Rent Gr.</t>
  </si>
  <si>
    <t xml:space="preserve">Entry+0bps</t>
  </si>
  <si>
    <t xml:space="preserve">Entry+25bps</t>
  </si>
  <si>
    <t xml:space="preserve">Entry+50bps (base)</t>
  </si>
  <si>
    <t xml:space="preserve">Entry+75bps</t>
  </si>
  <si>
    <t xml:space="preserve">Entry+100bps</t>
  </si>
  <si>
    <t xml:space="preserve">(same grid, Equity Multiple)</t>
  </si>
  <si>
    <t xml:space="preserve">TABLE 2 — Purchase Price (rows) x Exit Cap Spread over Entry (cols) | Levered IRR (top) / Equity Multiple (bottom)</t>
  </si>
  <si>
    <t xml:space="preserve">Price \ Exit Spread</t>
  </si>
  <si>
    <t xml:space="preserve">-10%</t>
  </si>
  <si>
    <t xml:space="preserve">-5%</t>
  </si>
  <si>
    <t xml:space="preserve">Base ($13.8M)</t>
  </si>
  <si>
    <t xml:space="preserve">+5%</t>
  </si>
  <si>
    <t xml:space="preserve">+10%</t>
  </si>
  <si>
    <t xml:space="preserve">TABLE 3 — Renovation Premium/mo (rows) x Renovation Cost/unit (cols) | Levered IRR (top) / Equity Multiple (bottom)</t>
  </si>
  <si>
    <t xml:space="preserve">Premium \ Cost</t>
  </si>
  <si>
    <t xml:space="preserve">-20%</t>
  </si>
  <si>
    <t xml:space="preserve">Base ($20,460)</t>
  </si>
  <si>
    <t xml:space="preserve">+20%</t>
  </si>
  <si>
    <t xml:space="preserve">$100/mo</t>
  </si>
  <si>
    <t xml:space="preserve">$137.50/mo</t>
  </si>
  <si>
    <t xml:space="preserve">$175/mo (base)</t>
  </si>
  <si>
    <t xml:space="preserve">$212.50/mo</t>
  </si>
  <si>
    <t xml:space="preserve">$250/mo</t>
  </si>
  <si>
    <t xml:space="preserve">CALCULATION DETAIL (per-scenario cash flows -- not for review, feeds the grids above)</t>
  </si>
  <si>
    <t xml:space="preserve">Scenario</t>
  </si>
  <si>
    <t xml:space="preserve">IRR</t>
  </si>
  <si>
    <t xml:space="preserve">EM</t>
  </si>
  <si>
    <t xml:space="preserve">T1 Entry+0bps / 1.5%</t>
  </si>
  <si>
    <t xml:space="preserve">T1 Entry+0bps / 2.0%</t>
  </si>
  <si>
    <t xml:space="preserve">T1 Entry+0bps / 2.5%</t>
  </si>
  <si>
    <t xml:space="preserve">T1 Entry+0bps / 3.0%</t>
  </si>
  <si>
    <t xml:space="preserve">T1 Entry+0bps / 3.5%</t>
  </si>
  <si>
    <t xml:space="preserve">T1 Entry+25bps / 1.5%</t>
  </si>
  <si>
    <t xml:space="preserve">T1 Entry+25bps / 2.0%</t>
  </si>
  <si>
    <t xml:space="preserve">T1 Entry+25bps / 2.5%</t>
  </si>
  <si>
    <t xml:space="preserve">T1 Entry+25bps / 3.0%</t>
  </si>
  <si>
    <t xml:space="preserve">T1 Entry+25bps / 3.5%</t>
  </si>
  <si>
    <t xml:space="preserve">T1 Entry+50bps (base) / 1.5%</t>
  </si>
  <si>
    <t xml:space="preserve">T1 Entry+50bps (base) / 2.0%</t>
  </si>
  <si>
    <t xml:space="preserve">T1 Entry+50bps (base) / 2.5%</t>
  </si>
  <si>
    <t xml:space="preserve">T1 Entry+50bps (base) / 3.0%</t>
  </si>
  <si>
    <t xml:space="preserve">T1 Entry+50bps (base) / 3.5%</t>
  </si>
  <si>
    <t xml:space="preserve">T1 Entry+75bps / 1.5%</t>
  </si>
  <si>
    <t xml:space="preserve">T1 Entry+75bps / 2.0%</t>
  </si>
  <si>
    <t xml:space="preserve">T1 Entry+75bps / 2.5%</t>
  </si>
  <si>
    <t xml:space="preserve">T1 Entry+75bps / 3.0%</t>
  </si>
  <si>
    <t xml:space="preserve">T1 Entry+75bps / 3.5%</t>
  </si>
  <si>
    <t xml:space="preserve">T1 Entry+100bps / 1.5%</t>
  </si>
  <si>
    <t xml:space="preserve">T1 Entry+100bps / 2.0%</t>
  </si>
  <si>
    <t xml:space="preserve">T1 Entry+100bps / 2.5%</t>
  </si>
  <si>
    <t xml:space="preserve">T1 Entry+100bps / 3.0%</t>
  </si>
  <si>
    <t xml:space="preserve">T1 Entry+100bps / 3.5%</t>
  </si>
  <si>
    <t xml:space="preserve">T2 -10% / Entry+0bps</t>
  </si>
  <si>
    <t xml:space="preserve">T2 -10% / Entry+25bps</t>
  </si>
  <si>
    <t xml:space="preserve">T2 -10% / Entry+50bps (base)</t>
  </si>
  <si>
    <t xml:space="preserve">T2 -10% / Entry+75bps</t>
  </si>
  <si>
    <t xml:space="preserve">T2 -10% / Entry+100bps</t>
  </si>
  <si>
    <t xml:space="preserve">T2 -5% / Entry+0bps</t>
  </si>
  <si>
    <t xml:space="preserve">T2 -5% / Entry+25bps</t>
  </si>
  <si>
    <t xml:space="preserve">T2 -5% / Entry+50bps (base)</t>
  </si>
  <si>
    <t xml:space="preserve">T2 -5% / Entry+75bps</t>
  </si>
  <si>
    <t xml:space="preserve">T2 -5% / Entry+100bps</t>
  </si>
  <si>
    <t xml:space="preserve">T2 Base ($13.8M) / Entry+0bps</t>
  </si>
  <si>
    <t xml:space="preserve">T2 Base ($13.8M) / Entry+25bps</t>
  </si>
  <si>
    <t xml:space="preserve">T2 Base ($13.8M) / Entry+50bps (base)</t>
  </si>
  <si>
    <t xml:space="preserve">T2 Base ($13.8M) / Entry+75bps</t>
  </si>
  <si>
    <t xml:space="preserve">T2 Base ($13.8M) / Entry+100bps</t>
  </si>
  <si>
    <t xml:space="preserve">T2 +5% / Entry+0bps</t>
  </si>
  <si>
    <t xml:space="preserve">T2 +5% / Entry+25bps</t>
  </si>
  <si>
    <t xml:space="preserve">T2 +5% / Entry+50bps (base)</t>
  </si>
  <si>
    <t xml:space="preserve">T2 +5% / Entry+75bps</t>
  </si>
  <si>
    <t xml:space="preserve">T2 +5% / Entry+100bps</t>
  </si>
  <si>
    <t xml:space="preserve">T2 +10% / Entry+0bps</t>
  </si>
  <si>
    <t xml:space="preserve">T2 +10% / Entry+25bps</t>
  </si>
  <si>
    <t xml:space="preserve">T2 +10% / Entry+50bps (base)</t>
  </si>
  <si>
    <t xml:space="preserve">T2 +10% / Entry+75bps</t>
  </si>
  <si>
    <t xml:space="preserve">T2 +10% / Entry+100bps</t>
  </si>
  <si>
    <t xml:space="preserve">T3 $100/mo / -20%</t>
  </si>
  <si>
    <t xml:space="preserve">T3 $100/mo / -10%</t>
  </si>
  <si>
    <t xml:space="preserve">T3 $100/mo / Base ($20,460)</t>
  </si>
  <si>
    <t xml:space="preserve">T3 $100/mo / +10%</t>
  </si>
  <si>
    <t xml:space="preserve">T3 $100/mo / +20%</t>
  </si>
  <si>
    <t xml:space="preserve">T3 $137.50/mo / -20%</t>
  </si>
  <si>
    <t xml:space="preserve">T3 $137.50/mo / -10%</t>
  </si>
  <si>
    <t xml:space="preserve">T3 $137.50/mo / Base ($20,460)</t>
  </si>
  <si>
    <t xml:space="preserve">T3 $137.50/mo / +10%</t>
  </si>
  <si>
    <t xml:space="preserve">T3 $137.50/mo / +20%</t>
  </si>
  <si>
    <t xml:space="preserve">T3 $175/mo (base) / -20%</t>
  </si>
  <si>
    <t xml:space="preserve">T3 $175/mo (base) / -10%</t>
  </si>
  <si>
    <t xml:space="preserve">T3 $175/mo (base) / Base ($20,460)</t>
  </si>
  <si>
    <t xml:space="preserve">T3 $175/mo (base) / +10%</t>
  </si>
  <si>
    <t xml:space="preserve">T3 $175/mo (base) / +20%</t>
  </si>
  <si>
    <t xml:space="preserve">T3 $212.50/mo / -20%</t>
  </si>
  <si>
    <t xml:space="preserve">T3 $212.50/mo / -10%</t>
  </si>
  <si>
    <t xml:space="preserve">T3 $212.50/mo / Base ($20,460)</t>
  </si>
  <si>
    <t xml:space="preserve">T3 $212.50/mo / +10%</t>
  </si>
  <si>
    <t xml:space="preserve">T3 $212.50/mo / +20%</t>
  </si>
  <si>
    <t xml:space="preserve">T3 $250/mo / -20%</t>
  </si>
  <si>
    <t xml:space="preserve">T3 $250/mo / -10%</t>
  </si>
  <si>
    <t xml:space="preserve">T3 $250/mo / Base ($20,460)</t>
  </si>
  <si>
    <t xml:space="preserve">T3 $250/mo / +10%</t>
  </si>
  <si>
    <t xml:space="preserve">T3 $250/mo / +20%</t>
  </si>
  <si>
    <t xml:space="preserve">CHECKS</t>
  </si>
  <si>
    <t xml:space="preserve">1. SOURCES = USES</t>
  </si>
  <si>
    <t xml:space="preserve">Sources - Uses (Capital tab)</t>
  </si>
  <si>
    <t xml:space="preserve">2. LEVERED CF INDEPENDENTLY REBUILT FROM OPERATING + DEBT TABS (each year)</t>
  </si>
  <si>
    <t xml:space="preserve">Year 1: (Operating UCF - Debt Svc) - Returns Levered-from-Ops</t>
  </si>
  <si>
    <t xml:space="preserve">Year 2: (Operating UCF - Debt Svc) - Returns Levered-from-Ops</t>
  </si>
  <si>
    <t xml:space="preserve">Year 3: (Operating UCF - Debt Svc) - Returns Levered-from-Ops</t>
  </si>
  <si>
    <t xml:space="preserve">Year 4: (Operating UCF - Debt Svc) - Returns Levered-from-Ops</t>
  </si>
  <si>
    <t xml:space="preserve">Year 5: (Operating UCF - Debt Svc) - Returns Levered-from-Ops</t>
  </si>
  <si>
    <t xml:space="preserve">3. NOI RECOMPUTATION (EGI + Opex - NOI, each year)</t>
  </si>
  <si>
    <t xml:space="preserve">Year 1: EGI+OpexTotal-NOI</t>
  </si>
  <si>
    <t xml:space="preserve">Year 2: EGI+OpexTotal-NOI</t>
  </si>
  <si>
    <t xml:space="preserve">Year 3: EGI+OpexTotal-NOI</t>
  </si>
  <si>
    <t xml:space="preserve">Year 4: EGI+OpexTotal-NOI</t>
  </si>
  <si>
    <t xml:space="preserve">Year 5: EGI+OpexTotal-NOI</t>
  </si>
  <si>
    <t xml:space="preserve">4. WATERFALL DISTRIBUTIONS = AVAILABLE CASH (each year)</t>
  </si>
  <si>
    <t xml:space="preserve">Year 1: LP+GP-Available</t>
  </si>
  <si>
    <t xml:space="preserve">Year 2: LP+GP-Available</t>
  </si>
  <si>
    <t xml:space="preserve">Year 3: LP+GP-Available</t>
  </si>
  <si>
    <t xml:space="preserve">Year 4: LP+GP-Available</t>
  </si>
  <si>
    <t xml:space="preserve">Year 5: LP+GP-Available</t>
  </si>
  <si>
    <t xml:space="preserve">5. WATERFALL HURDLE BALANCES NEVER GO NEGATIVE</t>
  </si>
  <si>
    <t xml:space="preserve">MIN Tier-1 hurdle balance (should be &gt;= 0)</t>
  </si>
  <si>
    <t xml:space="preserve">MIN Tier-2 hurdle balance (should be &gt;= 0)</t>
  </si>
  <si>
    <t xml:space="preserve">6. LP EQUITY + GP EQUITY = TOTAL EQUITY</t>
  </si>
  <si>
    <t xml:space="preserve">LP+GP Equity - Total Equity</t>
  </si>
  <si>
    <t xml:space="preserve">7. DEBT SCHEDULE INTERNAL CONSISTENCY</t>
  </si>
  <si>
    <t xml:space="preserve">Loan - Cumulative Principal Paid - Year5 End Balance</t>
  </si>
  <si>
    <t xml:space="preserve">8. FORMULA ERROR SCAN</t>
  </si>
  <si>
    <t xml:space="preserve">See Phase 3 verification report for a full-workbook #REF!/#DIV/0!/#VALUE!/#NAME? scan (done via LibreOffice headless recalculation + openpyxl re-read, not a formula on this tab).</t>
  </si>
  <si>
    <t xml:space="preserve">SUMMARY — Parkview Crossing</t>
  </si>
  <si>
    <t xml:space="preserve">97-unit garden apartment community, Pompano Beach, FL, built 1958. Light value-add / core-plus: 75% of units already renovated by the prior owner; this plan finishes the remaining ~24 classic units, burns off loss-to-lease on the rest, and underwrites Florida's post-sale property-tax reassessment (and a tax-adjusted exit) explicitly rather than ignoring them.</t>
  </si>
  <si>
    <t xml:space="preserve">SOURCES &amp; USES</t>
  </si>
  <si>
    <t xml:space="preserve">Total Uses</t>
  </si>
  <si>
    <t xml:space="preserve">Senior Loan</t>
  </si>
  <si>
    <t xml:space="preserve">Sponsor Equity</t>
  </si>
  <si>
    <t xml:space="preserve">  LP Equity (90%)</t>
  </si>
  <si>
    <t xml:space="preserve">  GP Equity (10%)</t>
  </si>
  <si>
    <t xml:space="preserve">KEY METRICS</t>
  </si>
  <si>
    <t xml:space="preserve">Going-In Cap Rate (Year-1 model NOI, reassessed tax)</t>
  </si>
  <si>
    <t xml:space="preserve">Exit Cap Rate (base case, entry+50bps)</t>
  </si>
  <si>
    <t xml:space="preserve">Loan-to-Value</t>
  </si>
  <si>
    <t xml:space="preserve">Binding Debt Constraint</t>
  </si>
  <si>
    <t xml:space="preserve">Hold Period</t>
  </si>
  <si>
    <t xml:space="preserve">RETURNS</t>
  </si>
  <si>
    <t xml:space="preserve">Levered IRR (deal-level)</t>
  </si>
  <si>
    <t xml:space="preserve">Levered Equity Multiple (deal-level)</t>
  </si>
  <si>
    <t xml:space="preserve">DEAL THESIS</t>
  </si>
  <si>
    <t xml:space="preserve">Light value-add / core-plus acquisition of a 1958-vintage, 97-unit Broward County garden apartment community that is 75% already renovated. Return drivers: (1) finishing the ~24 remaining classic units on a bottom-up $20,460/unit scope, (2) loss-to-lease burn-off on units still priced below the broker-disclosed 20.76% market gap, (3) modest, Broward-Class-C-sourced market rent growth capped at 3.0% terminal, and (4) expense discipline given real insurance and property-tax exposure on a 68-year-old building. Property tax is modeled on Florida's actual post-sale reassessment mechanic (Fla. Stat. 193.011(8) cost-of-sale method), and exit value uses a tax-adjusted formula so the exit buyer's own reassessment isn't ignored. Roof condition and the building's 40/50-Year recertification status are undisclosed and treated as flagged diligence items, not assumptions.</t>
  </si>
</sst>
</file>

<file path=xl/styles.xml><?xml version="1.0" encoding="utf-8"?>
<styleSheet xmlns="http://schemas.openxmlformats.org/spreadsheetml/2006/main">
  <numFmts count="9">
    <numFmt numFmtId="164" formatCode="General"/>
    <numFmt numFmtId="165" formatCode="0"/>
    <numFmt numFmtId="166" formatCode="\$#,##0"/>
    <numFmt numFmtId="167" formatCode="0.0%"/>
    <numFmt numFmtId="168" formatCode="0.000000"/>
    <numFmt numFmtId="169" formatCode="0.00\x"/>
    <numFmt numFmtId="170" formatCode="0.00\x"/>
    <numFmt numFmtId="171" formatCode="#,##0.00"/>
    <numFmt numFmtId="172" formatCode="0&quot; years&quot;"/>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9"/>
      <color rgb="FF808080"/>
      <name val="Cambria"/>
      <family val="0"/>
      <charset val="1"/>
    </font>
    <font>
      <b val="true"/>
      <sz val="11"/>
      <color rgb="FFFFFFFF"/>
      <name val="Cambria"/>
      <family val="0"/>
      <charset val="1"/>
    </font>
    <font>
      <sz val="11"/>
      <color rgb="FF0000FF"/>
      <name val="Cambria"/>
      <family val="0"/>
      <charset val="1"/>
    </font>
    <font>
      <sz val="11"/>
      <color rgb="FF000000"/>
      <name val="Cambria"/>
      <family val="0"/>
      <charset val="1"/>
    </font>
    <font>
      <b val="true"/>
      <sz val="11"/>
      <color rgb="FF0000FF"/>
      <name val="Cambria"/>
      <family val="0"/>
      <charset val="1"/>
    </font>
    <font>
      <b val="true"/>
      <sz val="11"/>
      <name val="Cambria"/>
      <family val="0"/>
      <charset val="1"/>
    </font>
  </fonts>
  <fills count="3">
    <fill>
      <patternFill patternType="none"/>
    </fill>
    <fill>
      <patternFill patternType="gray125"/>
    </fill>
    <fill>
      <patternFill patternType="solid">
        <fgColor rgb="FF2F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2"/>
    <col collapsed="false" customWidth="true" hidden="false" outlineLevel="0" max="3" min="3" style="0" width="16"/>
    <col collapsed="false" customWidth="true" hidden="false" outlineLevel="0" max="4" min="4" style="0" width="3"/>
    <col collapsed="false" customWidth="true" hidden="false" outlineLevel="0" max="5" min="5" style="0" width="46"/>
  </cols>
  <sheetData>
    <row r="1" customFormat="false" ht="17.35" hidden="false" customHeight="false" outlineLevel="0" collapsed="false">
      <c r="A1" s="1" t="s">
        <v>0</v>
      </c>
    </row>
    <row r="3" customFormat="false" ht="15" hidden="false" customHeight="false" outlineLevel="0" collapsed="false">
      <c r="A3" s="2" t="s">
        <v>1</v>
      </c>
    </row>
    <row r="5" customFormat="false" ht="15" hidden="false" customHeight="false" outlineLevel="0" collapsed="false">
      <c r="A5" s="3" t="s">
        <v>2</v>
      </c>
      <c r="B5" s="3"/>
      <c r="C5" s="3"/>
      <c r="D5" s="3"/>
      <c r="E5" s="3"/>
      <c r="F5" s="3"/>
    </row>
    <row r="6" customFormat="false" ht="15" hidden="false" customHeight="false" outlineLevel="0" collapsed="false">
      <c r="A6" s="0" t="s">
        <v>3</v>
      </c>
      <c r="C6" s="4" t="n">
        <v>97</v>
      </c>
      <c r="E6" s="2" t="s">
        <v>4</v>
      </c>
    </row>
    <row r="7" customFormat="false" ht="15" hidden="false" customHeight="false" outlineLevel="0" collapsed="false">
      <c r="A7" s="0" t="s">
        <v>5</v>
      </c>
      <c r="C7" s="5" t="n">
        <v>13800000</v>
      </c>
      <c r="E7" s="2" t="s">
        <v>6</v>
      </c>
    </row>
    <row r="8" customFormat="false" ht="15" hidden="false" customHeight="false" outlineLevel="0" collapsed="false">
      <c r="A8" s="0" t="s">
        <v>7</v>
      </c>
      <c r="C8" s="6" t="n">
        <v>0.07</v>
      </c>
      <c r="E8" s="2" t="s">
        <v>8</v>
      </c>
    </row>
    <row r="9" customFormat="false" ht="15" hidden="false" customHeight="false" outlineLevel="0" collapsed="false">
      <c r="A9" s="0" t="s">
        <v>9</v>
      </c>
      <c r="C9" s="7" t="n">
        <f aca="false">Assumptions!$C$7*Assumptions!$C$8</f>
        <v>966000</v>
      </c>
      <c r="E9" s="2" t="s">
        <v>10</v>
      </c>
    </row>
    <row r="10" customFormat="false" ht="15" hidden="false" customHeight="false" outlineLevel="0" collapsed="false">
      <c r="A10" s="0" t="s">
        <v>11</v>
      </c>
      <c r="C10" s="6" t="n">
        <v>0.015</v>
      </c>
      <c r="E10" s="2" t="s">
        <v>12</v>
      </c>
    </row>
    <row r="11" customFormat="false" ht="15" hidden="false" customHeight="false" outlineLevel="0" collapsed="false">
      <c r="A11" s="0" t="s">
        <v>13</v>
      </c>
      <c r="C11" s="7" t="n">
        <f aca="false">Assumptions!$C$7*Assumptions!$C$10</f>
        <v>207000</v>
      </c>
    </row>
    <row r="13" customFormat="false" ht="15" hidden="false" customHeight="false" outlineLevel="0" collapsed="false">
      <c r="A13" s="3" t="s">
        <v>14</v>
      </c>
      <c r="B13" s="3"/>
      <c r="C13" s="3"/>
      <c r="D13" s="3"/>
      <c r="E13" s="3"/>
      <c r="F13" s="3"/>
    </row>
    <row r="14" customFormat="false" ht="15" hidden="false" customHeight="false" outlineLevel="0" collapsed="false">
      <c r="A14" s="0" t="s">
        <v>15</v>
      </c>
      <c r="C14" s="8" t="n">
        <v>0.0198394</v>
      </c>
      <c r="E14" s="2" t="s">
        <v>16</v>
      </c>
    </row>
    <row r="15" customFormat="false" ht="15" hidden="false" customHeight="false" outlineLevel="0" collapsed="false">
      <c r="A15" s="0" t="s">
        <v>17</v>
      </c>
      <c r="C15" s="9" t="n">
        <v>10318700</v>
      </c>
      <c r="E15" s="2" t="s">
        <v>18</v>
      </c>
    </row>
    <row r="16" customFormat="false" ht="15" hidden="false" customHeight="false" outlineLevel="0" collapsed="false">
      <c r="A16" s="0" t="s">
        <v>19</v>
      </c>
      <c r="C16" s="6" t="n">
        <v>0.85</v>
      </c>
      <c r="E16" s="2" t="s">
        <v>20</v>
      </c>
    </row>
    <row r="17" customFormat="false" ht="15" hidden="false" customHeight="false" outlineLevel="0" collapsed="false">
      <c r="A17" s="0" t="s">
        <v>21</v>
      </c>
      <c r="C17" s="6" t="n">
        <v>0.1</v>
      </c>
      <c r="E17" s="2" t="s">
        <v>22</v>
      </c>
    </row>
    <row r="18" customFormat="false" ht="15" hidden="false" customHeight="false" outlineLevel="0" collapsed="false">
      <c r="A18" s="0" t="s">
        <v>23</v>
      </c>
      <c r="C18" s="7" t="n">
        <f aca="false">Assumptions!$C$7*Assumptions!$C$16</f>
        <v>11730000</v>
      </c>
      <c r="E18" s="2" t="s">
        <v>24</v>
      </c>
    </row>
    <row r="19" customFormat="false" ht="15" hidden="false" customHeight="false" outlineLevel="0" collapsed="false">
      <c r="A19" s="0" t="s">
        <v>25</v>
      </c>
      <c r="C19" s="7" t="n">
        <f aca="false">Assumptions!$C$15*Assumptions!$C$14</f>
        <v>204716.81678</v>
      </c>
    </row>
    <row r="20" customFormat="false" ht="15" hidden="false" customHeight="false" outlineLevel="0" collapsed="false">
      <c r="A20" s="0" t="s">
        <v>26</v>
      </c>
      <c r="C20" s="7" t="n">
        <f aca="false">Assumptions!$C$18*Assumptions!$C$14</f>
        <v>232716.162</v>
      </c>
    </row>
    <row r="22" customFormat="false" ht="15" hidden="false" customHeight="false" outlineLevel="0" collapsed="false">
      <c r="A22" s="3" t="s">
        <v>27</v>
      </c>
      <c r="B22" s="3"/>
      <c r="C22" s="3"/>
      <c r="D22" s="3"/>
      <c r="E22" s="3"/>
      <c r="F22" s="3"/>
    </row>
    <row r="23" customFormat="false" ht="15" hidden="false" customHeight="false" outlineLevel="0" collapsed="false">
      <c r="A23" s="0" t="s">
        <v>28</v>
      </c>
      <c r="C23" s="5" t="n">
        <v>7000</v>
      </c>
    </row>
    <row r="24" customFormat="false" ht="15" hidden="false" customHeight="false" outlineLevel="0" collapsed="false">
      <c r="A24" s="0" t="s">
        <v>29</v>
      </c>
      <c r="C24" s="5" t="n">
        <v>3500</v>
      </c>
    </row>
    <row r="25" customFormat="false" ht="15" hidden="false" customHeight="false" outlineLevel="0" collapsed="false">
      <c r="A25" s="0" t="s">
        <v>30</v>
      </c>
      <c r="C25" s="5" t="n">
        <v>1500</v>
      </c>
    </row>
    <row r="26" customFormat="false" ht="15" hidden="false" customHeight="false" outlineLevel="0" collapsed="false">
      <c r="A26" s="0" t="s">
        <v>31</v>
      </c>
      <c r="C26" s="5" t="n">
        <v>400</v>
      </c>
    </row>
    <row r="27" customFormat="false" ht="15" hidden="false" customHeight="false" outlineLevel="0" collapsed="false">
      <c r="A27" s="0" t="s">
        <v>32</v>
      </c>
      <c r="C27" s="5" t="n">
        <v>4000</v>
      </c>
    </row>
    <row r="28" customFormat="false" ht="15" hidden="false" customHeight="false" outlineLevel="0" collapsed="false">
      <c r="A28" s="0" t="s">
        <v>33</v>
      </c>
      <c r="C28" s="5" t="n">
        <v>1200</v>
      </c>
    </row>
    <row r="29" customFormat="false" ht="15" hidden="false" customHeight="false" outlineLevel="0" collapsed="false">
      <c r="A29" s="0" t="s">
        <v>34</v>
      </c>
      <c r="C29" s="5" t="n">
        <v>500</v>
      </c>
    </row>
    <row r="30" customFormat="false" ht="15" hidden="false" customHeight="false" outlineLevel="0" collapsed="false">
      <c r="A30" s="0" t="s">
        <v>35</v>
      </c>
      <c r="C30" s="5" t="n">
        <v>500</v>
      </c>
    </row>
    <row r="31" customFormat="false" ht="15" hidden="false" customHeight="false" outlineLevel="0" collapsed="false">
      <c r="A31" s="0" t="s">
        <v>36</v>
      </c>
      <c r="C31" s="10" t="n">
        <f aca="false">Assumptions!$C$23+Assumptions!$C$24+Assumptions!$C$25+Assumptions!$C$26+Assumptions!$C$27+Assumptions!$C$28+Assumptions!$C$29+Assumptions!$C$30</f>
        <v>18600</v>
      </c>
    </row>
    <row r="32" customFormat="false" ht="15" hidden="false" customHeight="false" outlineLevel="0" collapsed="false">
      <c r="A32" s="0" t="s">
        <v>37</v>
      </c>
      <c r="C32" s="6" t="n">
        <v>0.1</v>
      </c>
    </row>
    <row r="33" customFormat="false" ht="15" hidden="false" customHeight="false" outlineLevel="0" collapsed="false">
      <c r="A33" s="0" t="s">
        <v>38</v>
      </c>
      <c r="C33" s="7" t="n">
        <f aca="false">Assumptions!$C$31*Assumptions!$C$32</f>
        <v>1860</v>
      </c>
    </row>
    <row r="34" customFormat="false" ht="15" hidden="false" customHeight="false" outlineLevel="0" collapsed="false">
      <c r="A34" s="0" t="s">
        <v>39</v>
      </c>
      <c r="C34" s="10" t="n">
        <f aca="false">Assumptions!$C$31+Assumptions!$C$33</f>
        <v>20460</v>
      </c>
    </row>
    <row r="35" customFormat="false" ht="15" hidden="false" customHeight="false" outlineLevel="0" collapsed="false">
      <c r="A35" s="0" t="s">
        <v>40</v>
      </c>
      <c r="C35" s="4" t="n">
        <v>4</v>
      </c>
    </row>
    <row r="36" customFormat="false" ht="15" hidden="false" customHeight="false" outlineLevel="0" collapsed="false">
      <c r="A36" s="0" t="s">
        <v>41</v>
      </c>
      <c r="C36" s="5" t="n">
        <v>175</v>
      </c>
      <c r="E36" s="2" t="s">
        <v>42</v>
      </c>
    </row>
    <row r="37" customFormat="false" ht="15" hidden="false" customHeight="false" outlineLevel="0" collapsed="false">
      <c r="A37" s="0" t="s">
        <v>43</v>
      </c>
      <c r="C37" s="7" t="n">
        <f aca="false">Assumptions!$C$36*12</f>
        <v>2100</v>
      </c>
    </row>
    <row r="38" customFormat="false" ht="15" hidden="false" customHeight="false" outlineLevel="0" collapsed="false">
      <c r="A38" s="0" t="s">
        <v>44</v>
      </c>
      <c r="C38" s="6" t="n">
        <v>0.5</v>
      </c>
      <c r="E38" s="2" t="s">
        <v>45</v>
      </c>
    </row>
    <row r="40" customFormat="false" ht="15" hidden="false" customHeight="false" outlineLevel="0" collapsed="false">
      <c r="A40" s="3" t="s">
        <v>46</v>
      </c>
      <c r="B40" s="3"/>
      <c r="C40" s="3"/>
      <c r="D40" s="3"/>
      <c r="E40" s="3"/>
      <c r="F40" s="3"/>
    </row>
    <row r="41" customFormat="false" ht="15" hidden="false" customHeight="false" outlineLevel="0" collapsed="false">
      <c r="A41" s="0" t="s">
        <v>47</v>
      </c>
      <c r="C41" s="6" t="n">
        <v>0.065</v>
      </c>
      <c r="E41" s="2" t="s">
        <v>48</v>
      </c>
    </row>
    <row r="42" customFormat="false" ht="15" hidden="false" customHeight="false" outlineLevel="0" collapsed="false">
      <c r="A42" s="0" t="s">
        <v>49</v>
      </c>
      <c r="C42" s="6" t="n">
        <v>0.01</v>
      </c>
    </row>
    <row r="43" customFormat="false" ht="15" hidden="false" customHeight="false" outlineLevel="0" collapsed="false">
      <c r="A43" s="0" t="s">
        <v>50</v>
      </c>
      <c r="C43" s="6" t="n">
        <v>0.005</v>
      </c>
    </row>
    <row r="44" customFormat="false" ht="15" hidden="false" customHeight="false" outlineLevel="0" collapsed="false">
      <c r="A44" s="0" t="s">
        <v>51</v>
      </c>
      <c r="C44" s="5" t="n">
        <v>35</v>
      </c>
      <c r="E44" s="2" t="s">
        <v>52</v>
      </c>
    </row>
    <row r="45" customFormat="false" ht="15" hidden="false" customHeight="false" outlineLevel="0" collapsed="false">
      <c r="A45" s="0" t="s">
        <v>53</v>
      </c>
      <c r="C45" s="6" t="n">
        <v>0.5</v>
      </c>
      <c r="E45" s="2" t="s">
        <v>54</v>
      </c>
    </row>
    <row r="46" customFormat="false" ht="15" hidden="false" customHeight="false" outlineLevel="0" collapsed="false">
      <c r="A46" s="0" t="s">
        <v>55</v>
      </c>
      <c r="C46" s="6" t="n">
        <v>0.55</v>
      </c>
      <c r="E46" s="2" t="s">
        <v>56</v>
      </c>
    </row>
    <row r="47" customFormat="false" ht="15" hidden="false" customHeight="false" outlineLevel="0" collapsed="false">
      <c r="A47" s="0" t="s">
        <v>57</v>
      </c>
      <c r="C47" s="6" t="n">
        <v>0.65</v>
      </c>
      <c r="E47" s="2" t="s">
        <v>58</v>
      </c>
    </row>
    <row r="49" customFormat="false" ht="15" hidden="false" customHeight="false" outlineLevel="0" collapsed="false">
      <c r="A49" s="3" t="s">
        <v>59</v>
      </c>
      <c r="B49" s="3"/>
      <c r="C49" s="3"/>
      <c r="D49" s="3"/>
      <c r="E49" s="3"/>
      <c r="F49" s="3"/>
    </row>
    <row r="50" customFormat="false" ht="15" hidden="false" customHeight="false" outlineLevel="0" collapsed="false">
      <c r="A50" s="0" t="s">
        <v>60</v>
      </c>
      <c r="C50" s="6" t="n">
        <v>0.01</v>
      </c>
      <c r="E50" s="2" t="s">
        <v>61</v>
      </c>
    </row>
    <row r="51" customFormat="false" ht="15" hidden="false" customHeight="false" outlineLevel="0" collapsed="false">
      <c r="A51" s="0" t="s">
        <v>62</v>
      </c>
      <c r="C51" s="6" t="n">
        <v>0.0175</v>
      </c>
      <c r="E51" s="2" t="s">
        <v>63</v>
      </c>
    </row>
    <row r="52" customFormat="false" ht="15" hidden="false" customHeight="false" outlineLevel="0" collapsed="false">
      <c r="A52" s="0" t="s">
        <v>64</v>
      </c>
      <c r="C52" s="6" t="n">
        <v>0.025</v>
      </c>
      <c r="E52" s="2" t="s">
        <v>63</v>
      </c>
    </row>
    <row r="53" customFormat="false" ht="15" hidden="false" customHeight="false" outlineLevel="0" collapsed="false">
      <c r="A53" s="0" t="s">
        <v>65</v>
      </c>
      <c r="C53" s="6" t="n">
        <v>0.03</v>
      </c>
      <c r="E53" s="2" t="s">
        <v>66</v>
      </c>
    </row>
    <row r="54" customFormat="false" ht="15" hidden="false" customHeight="false" outlineLevel="0" collapsed="false">
      <c r="A54" s="0" t="s">
        <v>67</v>
      </c>
      <c r="C54" s="6" t="n">
        <v>0.03</v>
      </c>
      <c r="E54" s="2" t="s">
        <v>68</v>
      </c>
    </row>
    <row r="55" customFormat="false" ht="15" hidden="false" customHeight="false" outlineLevel="0" collapsed="false">
      <c r="A55" s="0" t="s">
        <v>69</v>
      </c>
      <c r="C55" s="6" t="n">
        <v>0.03</v>
      </c>
      <c r="E55" s="2" t="s">
        <v>68</v>
      </c>
    </row>
    <row r="56" customFormat="false" ht="15" hidden="false" customHeight="false" outlineLevel="0" collapsed="false">
      <c r="A56" s="0" t="s">
        <v>70</v>
      </c>
      <c r="C56" s="6" t="n">
        <v>0.03</v>
      </c>
      <c r="E56" s="2" t="s">
        <v>68</v>
      </c>
    </row>
    <row r="57" customFormat="false" ht="15" hidden="false" customHeight="false" outlineLevel="0" collapsed="false">
      <c r="A57" s="0" t="s">
        <v>71</v>
      </c>
      <c r="C57" s="6" t="n">
        <v>0.03</v>
      </c>
      <c r="E57" s="2" t="s">
        <v>68</v>
      </c>
    </row>
    <row r="58" customFormat="false" ht="15" hidden="false" customHeight="false" outlineLevel="0" collapsed="false">
      <c r="A58" s="0" t="s">
        <v>72</v>
      </c>
      <c r="C58" s="6" t="n">
        <v>0.03</v>
      </c>
      <c r="E58" s="2" t="s">
        <v>68</v>
      </c>
    </row>
    <row r="59" customFormat="false" ht="15" hidden="false" customHeight="false" outlineLevel="0" collapsed="false">
      <c r="A59" s="0" t="s">
        <v>73</v>
      </c>
      <c r="C59" s="6" t="n">
        <v>0.03</v>
      </c>
      <c r="E59" s="2" t="s">
        <v>68</v>
      </c>
    </row>
    <row r="61" customFormat="false" ht="15" hidden="false" customHeight="false" outlineLevel="0" collapsed="false">
      <c r="A61" s="3" t="s">
        <v>74</v>
      </c>
      <c r="B61" s="3"/>
      <c r="C61" s="3"/>
      <c r="D61" s="3"/>
      <c r="E61" s="3"/>
      <c r="F61" s="3"/>
    </row>
    <row r="62" customFormat="false" ht="15" hidden="false" customHeight="false" outlineLevel="0" collapsed="false">
      <c r="A62" s="0" t="s">
        <v>75</v>
      </c>
      <c r="C62" s="6" t="n">
        <v>0.035</v>
      </c>
    </row>
    <row r="63" customFormat="false" ht="15" hidden="false" customHeight="false" outlineLevel="0" collapsed="false">
      <c r="A63" s="0" t="s">
        <v>76</v>
      </c>
      <c r="C63" s="6" t="n">
        <v>0.07</v>
      </c>
      <c r="E63" s="2" t="s">
        <v>77</v>
      </c>
    </row>
    <row r="65" customFormat="false" ht="15" hidden="false" customHeight="false" outlineLevel="0" collapsed="false">
      <c r="A65" s="3" t="s">
        <v>78</v>
      </c>
      <c r="B65" s="3"/>
      <c r="C65" s="3"/>
      <c r="D65" s="3"/>
      <c r="E65" s="3"/>
      <c r="F65" s="3"/>
    </row>
    <row r="66" customFormat="false" ht="15" hidden="false" customHeight="false" outlineLevel="0" collapsed="false">
      <c r="A66" s="0" t="s">
        <v>79</v>
      </c>
      <c r="C66" s="5" t="n">
        <v>1400</v>
      </c>
    </row>
    <row r="67" customFormat="false" ht="15" hidden="false" customHeight="false" outlineLevel="0" collapsed="false">
      <c r="A67" s="0" t="s">
        <v>80</v>
      </c>
      <c r="C67" s="5" t="n">
        <v>1100</v>
      </c>
      <c r="E67" s="2" t="s">
        <v>81</v>
      </c>
    </row>
    <row r="68" customFormat="false" ht="15" hidden="false" customHeight="false" outlineLevel="0" collapsed="false">
      <c r="A68" s="0" t="s">
        <v>82</v>
      </c>
      <c r="C68" s="5" t="n">
        <v>350</v>
      </c>
    </row>
    <row r="69" customFormat="false" ht="15" hidden="false" customHeight="false" outlineLevel="0" collapsed="false">
      <c r="A69" s="0" t="s">
        <v>83</v>
      </c>
      <c r="C69" s="5" t="n">
        <v>450</v>
      </c>
    </row>
    <row r="70" customFormat="false" ht="15" hidden="false" customHeight="false" outlineLevel="0" collapsed="false">
      <c r="A70" s="0" t="s">
        <v>84</v>
      </c>
      <c r="C70" s="5" t="n">
        <v>500</v>
      </c>
    </row>
    <row r="71" customFormat="false" ht="15" hidden="false" customHeight="false" outlineLevel="0" collapsed="false">
      <c r="A71" s="0" t="s">
        <v>85</v>
      </c>
      <c r="C71" s="5" t="n">
        <v>2400</v>
      </c>
      <c r="E71" s="2" t="s">
        <v>86</v>
      </c>
    </row>
    <row r="72" customFormat="false" ht="15" hidden="false" customHeight="false" outlineLevel="0" collapsed="false">
      <c r="A72" s="0" t="s">
        <v>87</v>
      </c>
      <c r="C72" s="5" t="n">
        <v>1900</v>
      </c>
      <c r="E72" s="2" t="s">
        <v>88</v>
      </c>
    </row>
    <row r="73" customFormat="false" ht="15" hidden="false" customHeight="false" outlineLevel="0" collapsed="false">
      <c r="A73" s="0" t="s">
        <v>89</v>
      </c>
      <c r="C73" s="6" t="n">
        <v>0.035</v>
      </c>
    </row>
    <row r="74" customFormat="false" ht="15" hidden="false" customHeight="false" outlineLevel="0" collapsed="false">
      <c r="A74" s="0" t="s">
        <v>90</v>
      </c>
      <c r="C74" s="5" t="n">
        <v>250</v>
      </c>
    </row>
    <row r="75" customFormat="false" ht="15" hidden="false" customHeight="false" outlineLevel="0" collapsed="false">
      <c r="A75" s="0" t="s">
        <v>91</v>
      </c>
      <c r="C75" s="5" t="n">
        <v>150</v>
      </c>
    </row>
    <row r="76" customFormat="false" ht="15" hidden="false" customHeight="false" outlineLevel="0" collapsed="false">
      <c r="A76" s="0" t="s">
        <v>92</v>
      </c>
      <c r="C76" s="5" t="n">
        <v>300</v>
      </c>
    </row>
    <row r="78" customFormat="false" ht="15" hidden="false" customHeight="false" outlineLevel="0" collapsed="false">
      <c r="A78" s="3" t="s">
        <v>93</v>
      </c>
      <c r="B78" s="3"/>
      <c r="C78" s="3"/>
      <c r="D78" s="3"/>
      <c r="E78" s="3"/>
      <c r="F78" s="3"/>
    </row>
    <row r="79" customFormat="false" ht="15" hidden="false" customHeight="false" outlineLevel="0" collapsed="false">
      <c r="A79" s="0" t="s">
        <v>94</v>
      </c>
      <c r="C79" s="4" t="n">
        <v>0</v>
      </c>
    </row>
    <row r="80" customFormat="false" ht="15" hidden="false" customHeight="false" outlineLevel="0" collapsed="false">
      <c r="A80" s="0" t="s">
        <v>95</v>
      </c>
      <c r="C80" s="5" t="n">
        <v>235000</v>
      </c>
      <c r="E80" s="2" t="s">
        <v>96</v>
      </c>
    </row>
    <row r="81" customFormat="false" ht="15" hidden="false" customHeight="false" outlineLevel="0" collapsed="false">
      <c r="A81" s="0" t="s">
        <v>97</v>
      </c>
      <c r="C81" s="4" t="n">
        <v>2</v>
      </c>
      <c r="E81" s="2" t="s">
        <v>98</v>
      </c>
    </row>
    <row r="82" customFormat="false" ht="15" hidden="false" customHeight="false" outlineLevel="0" collapsed="false">
      <c r="A82" s="0" t="s">
        <v>99</v>
      </c>
      <c r="C82" s="5" t="n">
        <v>10000</v>
      </c>
      <c r="E82" s="2" t="s">
        <v>100</v>
      </c>
    </row>
    <row r="83" customFormat="false" ht="15" hidden="false" customHeight="false" outlineLevel="0" collapsed="false">
      <c r="A83" s="0" t="s">
        <v>101</v>
      </c>
      <c r="C83" s="5" t="n">
        <v>150000</v>
      </c>
      <c r="E83" s="2" t="s">
        <v>102</v>
      </c>
    </row>
    <row r="85" customFormat="false" ht="15" hidden="false" customHeight="false" outlineLevel="0" collapsed="false">
      <c r="A85" s="3" t="s">
        <v>103</v>
      </c>
      <c r="B85" s="3"/>
      <c r="C85" s="3"/>
      <c r="D85" s="3"/>
      <c r="E85" s="3"/>
      <c r="F85" s="3"/>
    </row>
    <row r="86" customFormat="false" ht="15" hidden="false" customHeight="false" outlineLevel="0" collapsed="false">
      <c r="A86" s="0" t="s">
        <v>104</v>
      </c>
      <c r="C86" s="6" t="n">
        <v>0.0385</v>
      </c>
      <c r="E86" s="2" t="s">
        <v>105</v>
      </c>
    </row>
    <row r="87" customFormat="false" ht="15" hidden="false" customHeight="false" outlineLevel="0" collapsed="false">
      <c r="A87" s="0" t="s">
        <v>106</v>
      </c>
      <c r="C87" s="6" t="n">
        <v>0.0325</v>
      </c>
    </row>
    <row r="88" customFormat="false" ht="15" hidden="false" customHeight="false" outlineLevel="0" collapsed="false">
      <c r="A88" s="0" t="s">
        <v>107</v>
      </c>
      <c r="C88" s="11" t="n">
        <f aca="false">Assumptions!$C$86+Assumptions!$C$87</f>
        <v>0.071</v>
      </c>
    </row>
    <row r="89" customFormat="false" ht="15" hidden="false" customHeight="false" outlineLevel="0" collapsed="false">
      <c r="A89" s="0" t="s">
        <v>108</v>
      </c>
      <c r="C89" s="6" t="n">
        <v>0.65</v>
      </c>
    </row>
    <row r="90" customFormat="false" ht="15" hidden="false" customHeight="false" outlineLevel="0" collapsed="false">
      <c r="A90" s="0" t="s">
        <v>109</v>
      </c>
      <c r="C90" s="12" t="n">
        <v>1.25</v>
      </c>
    </row>
    <row r="91" customFormat="false" ht="15" hidden="false" customHeight="false" outlineLevel="0" collapsed="false">
      <c r="A91" s="0" t="s">
        <v>110</v>
      </c>
      <c r="C91" s="6" t="n">
        <v>0.08</v>
      </c>
    </row>
    <row r="92" customFormat="false" ht="15" hidden="false" customHeight="false" outlineLevel="0" collapsed="false">
      <c r="A92" s="0" t="s">
        <v>111</v>
      </c>
      <c r="C92" s="4" t="n">
        <v>2</v>
      </c>
    </row>
    <row r="93" customFormat="false" ht="15" hidden="false" customHeight="false" outlineLevel="0" collapsed="false">
      <c r="A93" s="0" t="s">
        <v>112</v>
      </c>
      <c r="C93" s="4" t="n">
        <v>30</v>
      </c>
    </row>
    <row r="95" customFormat="false" ht="15" hidden="false" customHeight="false" outlineLevel="0" collapsed="false">
      <c r="A95" s="3" t="s">
        <v>113</v>
      </c>
      <c r="B95" s="3"/>
      <c r="C95" s="3"/>
      <c r="D95" s="3"/>
      <c r="E95" s="3"/>
      <c r="F95" s="3"/>
    </row>
    <row r="96" customFormat="false" ht="15" hidden="false" customHeight="false" outlineLevel="0" collapsed="false">
      <c r="A96" s="0" t="s">
        <v>114</v>
      </c>
      <c r="C96" s="4" t="n">
        <v>5</v>
      </c>
    </row>
    <row r="97" customFormat="false" ht="15" hidden="false" customHeight="false" outlineLevel="0" collapsed="false">
      <c r="A97" s="0" t="s">
        <v>115</v>
      </c>
      <c r="C97" s="6" t="n">
        <v>0.005</v>
      </c>
      <c r="E97" s="2" t="s">
        <v>116</v>
      </c>
    </row>
    <row r="98" customFormat="false" ht="15" hidden="false" customHeight="false" outlineLevel="0" collapsed="false">
      <c r="A98" s="0" t="s">
        <v>117</v>
      </c>
      <c r="C98" s="6" t="n">
        <v>0.01</v>
      </c>
      <c r="E98" s="2" t="s">
        <v>118</v>
      </c>
    </row>
    <row r="99" customFormat="false" ht="15" hidden="false" customHeight="false" outlineLevel="0" collapsed="false">
      <c r="A99" s="0" t="s">
        <v>119</v>
      </c>
      <c r="C99" s="6" t="n">
        <v>0.02</v>
      </c>
    </row>
    <row r="101" customFormat="false" ht="15" hidden="false" customHeight="false" outlineLevel="0" collapsed="false">
      <c r="A101" s="3" t="s">
        <v>120</v>
      </c>
      <c r="B101" s="3"/>
      <c r="C101" s="3"/>
      <c r="D101" s="3"/>
      <c r="E101" s="3"/>
      <c r="F101" s="3"/>
    </row>
    <row r="102" customFormat="false" ht="15" hidden="false" customHeight="false" outlineLevel="0" collapsed="false">
      <c r="A102" s="0" t="s">
        <v>121</v>
      </c>
      <c r="C102" s="6" t="n">
        <v>0.08</v>
      </c>
    </row>
    <row r="103" customFormat="false" ht="15" hidden="false" customHeight="false" outlineLevel="0" collapsed="false">
      <c r="A103" s="0" t="s">
        <v>122</v>
      </c>
      <c r="C103" s="6" t="n">
        <v>0.7</v>
      </c>
    </row>
    <row r="104" customFormat="false" ht="15" hidden="false" customHeight="false" outlineLevel="0" collapsed="false">
      <c r="A104" s="0" t="s">
        <v>123</v>
      </c>
      <c r="C104" s="6" t="n">
        <v>0.3</v>
      </c>
    </row>
    <row r="105" customFormat="false" ht="15" hidden="false" customHeight="false" outlineLevel="0" collapsed="false">
      <c r="A105" s="0" t="s">
        <v>124</v>
      </c>
      <c r="C105" s="6" t="n">
        <v>0.12</v>
      </c>
    </row>
    <row r="106" customFormat="false" ht="15" hidden="false" customHeight="false" outlineLevel="0" collapsed="false">
      <c r="A106" s="0" t="s">
        <v>125</v>
      </c>
      <c r="C106" s="6" t="n">
        <v>0.5</v>
      </c>
    </row>
    <row r="107" customFormat="false" ht="15" hidden="false" customHeight="false" outlineLevel="0" collapsed="false">
      <c r="A107" s="0" t="s">
        <v>126</v>
      </c>
      <c r="C107" s="6" t="n">
        <v>0.5</v>
      </c>
    </row>
    <row r="108" customFormat="false" ht="15" hidden="false" customHeight="false" outlineLevel="0" collapsed="false">
      <c r="A108" s="0" t="s">
        <v>127</v>
      </c>
      <c r="C108" s="6" t="n">
        <v>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4" min="2" style="0" width="11"/>
    <col collapsed="false" customWidth="true" hidden="false" outlineLevel="0" max="5" min="5" style="0" width="9"/>
    <col collapsed="false" customWidth="true" hidden="false" outlineLevel="0" max="6" min="6" style="0" width="13"/>
    <col collapsed="false" customWidth="true" hidden="false" outlineLevel="0" max="7" min="7" style="0" width="15"/>
    <col collapsed="false" customWidth="true" hidden="false" outlineLevel="0" max="8" min="8" style="0" width="13"/>
  </cols>
  <sheetData>
    <row r="1" customFormat="false" ht="17.35" hidden="false" customHeight="false" outlineLevel="0" collapsed="false">
      <c r="A1" s="1" t="s">
        <v>128</v>
      </c>
    </row>
    <row r="3" customFormat="false" ht="15" hidden="false" customHeight="false" outlineLevel="0" collapsed="false">
      <c r="A3" s="2" t="s">
        <v>129</v>
      </c>
    </row>
    <row r="5" customFormat="false" ht="15" hidden="false" customHeight="false" outlineLevel="0" collapsed="false">
      <c r="A5" s="13" t="s">
        <v>130</v>
      </c>
      <c r="B5" s="13" t="s">
        <v>131</v>
      </c>
      <c r="C5" s="13" t="s">
        <v>132</v>
      </c>
      <c r="D5" s="13" t="s">
        <v>133</v>
      </c>
      <c r="E5" s="13" t="s">
        <v>134</v>
      </c>
      <c r="F5" s="13" t="s">
        <v>135</v>
      </c>
      <c r="G5" s="13" t="s">
        <v>136</v>
      </c>
      <c r="H5" s="13" t="s">
        <v>137</v>
      </c>
    </row>
    <row r="6" customFormat="false" ht="15" hidden="false" customHeight="false" outlineLevel="0" collapsed="false">
      <c r="A6" s="0" t="s">
        <v>138</v>
      </c>
      <c r="B6" s="4" t="n">
        <v>19</v>
      </c>
      <c r="C6" s="4" t="n">
        <v>5</v>
      </c>
      <c r="D6" s="14" t="n">
        <f aca="false">B6-C6</f>
        <v>14</v>
      </c>
      <c r="E6" s="4" t="n">
        <v>645</v>
      </c>
      <c r="F6" s="5" t="n">
        <v>1275</v>
      </c>
      <c r="G6" s="15" t="n">
        <f aca="false">F6+Assumptions!$C$47*(H6-F6)</f>
        <v>1453.75</v>
      </c>
      <c r="H6" s="5" t="n">
        <v>1550</v>
      </c>
    </row>
    <row r="7" customFormat="false" ht="15" hidden="false" customHeight="false" outlineLevel="0" collapsed="false">
      <c r="A7" s="0" t="s">
        <v>139</v>
      </c>
      <c r="B7" s="4" t="n">
        <v>52</v>
      </c>
      <c r="C7" s="4" t="n">
        <v>13</v>
      </c>
      <c r="D7" s="14" t="n">
        <f aca="false">B7-C7</f>
        <v>39</v>
      </c>
      <c r="E7" s="4" t="n">
        <v>685</v>
      </c>
      <c r="F7" s="5" t="n">
        <v>1475</v>
      </c>
      <c r="G7" s="15" t="n">
        <f aca="false">F7+Assumptions!$C$47*(H7-F7)</f>
        <v>1673.25</v>
      </c>
      <c r="H7" s="5" t="n">
        <v>1780</v>
      </c>
    </row>
    <row r="8" customFormat="false" ht="15" hidden="false" customHeight="false" outlineLevel="0" collapsed="false">
      <c r="A8" s="0" t="s">
        <v>140</v>
      </c>
      <c r="B8" s="4" t="n">
        <v>17</v>
      </c>
      <c r="C8" s="4" t="n">
        <v>4</v>
      </c>
      <c r="D8" s="14" t="n">
        <f aca="false">B8-C8</f>
        <v>13</v>
      </c>
      <c r="E8" s="4" t="n">
        <v>740</v>
      </c>
      <c r="F8" s="5" t="n">
        <v>1700</v>
      </c>
      <c r="G8" s="15" t="n">
        <f aca="false">F8+Assumptions!$C$47*(H8-F8)</f>
        <v>1927.5</v>
      </c>
      <c r="H8" s="5" t="n">
        <v>2050</v>
      </c>
    </row>
    <row r="9" customFormat="false" ht="15" hidden="false" customHeight="false" outlineLevel="0" collapsed="false">
      <c r="A9" s="0" t="s">
        <v>141</v>
      </c>
      <c r="B9" s="4" t="n">
        <v>10</v>
      </c>
      <c r="C9" s="4" t="n">
        <v>2</v>
      </c>
      <c r="D9" s="14" t="n">
        <f aca="false">B9-C9</f>
        <v>8</v>
      </c>
      <c r="E9" s="4" t="n">
        <v>740</v>
      </c>
      <c r="F9" s="5" t="n">
        <v>1825</v>
      </c>
      <c r="G9" s="15" t="n">
        <f aca="false">F9+Assumptions!$C$47*(H9-F9)</f>
        <v>2068.75</v>
      </c>
      <c r="H9" s="5" t="n">
        <v>2200</v>
      </c>
    </row>
    <row r="10" customFormat="false" ht="15" hidden="false" customHeight="false" outlineLevel="0" collapsed="false">
      <c r="A10" s="13" t="s">
        <v>142</v>
      </c>
      <c r="B10" s="16" t="n">
        <f aca="false">SUM(B6:B9)</f>
        <v>98</v>
      </c>
      <c r="C10" s="16" t="n">
        <f aca="false">SUM(C6:C9)</f>
        <v>24</v>
      </c>
      <c r="D10" s="16" t="n">
        <f aca="false">SUM(D6:D9)</f>
        <v>74</v>
      </c>
    </row>
    <row r="12" customFormat="false" ht="15" hidden="false" customHeight="false" outlineLevel="0" collapsed="false">
      <c r="A12" s="3" t="s">
        <v>143</v>
      </c>
      <c r="B12" s="3"/>
      <c r="C12" s="3"/>
      <c r="D12" s="3"/>
    </row>
    <row r="13" customFormat="false" ht="15" hidden="false" customHeight="false" outlineLevel="0" collapsed="false">
      <c r="A13" s="13" t="s">
        <v>130</v>
      </c>
      <c r="B13" s="13" t="s">
        <v>132</v>
      </c>
      <c r="C13" s="13" t="s">
        <v>144</v>
      </c>
      <c r="D13" s="13" t="s">
        <v>145</v>
      </c>
    </row>
    <row r="14" customFormat="false" ht="15" hidden="false" customHeight="false" outlineLevel="0" collapsed="false">
      <c r="A14" s="0" t="s">
        <v>138</v>
      </c>
      <c r="B14" s="14" t="n">
        <f aca="false">C6</f>
        <v>5</v>
      </c>
      <c r="C14" s="15" t="n">
        <f aca="false">Assumptions!$C$34</f>
        <v>20460</v>
      </c>
      <c r="D14" s="15" t="n">
        <f aca="false">B14*C14</f>
        <v>102300</v>
      </c>
    </row>
    <row r="15" customFormat="false" ht="15" hidden="false" customHeight="false" outlineLevel="0" collapsed="false">
      <c r="A15" s="0" t="s">
        <v>139</v>
      </c>
      <c r="B15" s="14" t="n">
        <f aca="false">C7</f>
        <v>13</v>
      </c>
      <c r="C15" s="15" t="n">
        <f aca="false">Assumptions!$C$34</f>
        <v>20460</v>
      </c>
      <c r="D15" s="15" t="n">
        <f aca="false">B15*C15</f>
        <v>265980</v>
      </c>
    </row>
    <row r="16" customFormat="false" ht="15" hidden="false" customHeight="false" outlineLevel="0" collapsed="false">
      <c r="A16" s="0" t="s">
        <v>140</v>
      </c>
      <c r="B16" s="14" t="n">
        <f aca="false">C8</f>
        <v>4</v>
      </c>
      <c r="C16" s="15" t="n">
        <f aca="false">Assumptions!$C$34</f>
        <v>20460</v>
      </c>
      <c r="D16" s="15" t="n">
        <f aca="false">B16*C16</f>
        <v>81840</v>
      </c>
    </row>
    <row r="17" customFormat="false" ht="15" hidden="false" customHeight="false" outlineLevel="0" collapsed="false">
      <c r="A17" s="0" t="s">
        <v>141</v>
      </c>
      <c r="B17" s="14" t="n">
        <f aca="false">C9</f>
        <v>2</v>
      </c>
      <c r="C17" s="15" t="n">
        <f aca="false">Assumptions!$C$34</f>
        <v>20460</v>
      </c>
      <c r="D17" s="15" t="n">
        <f aca="false">B17*C17</f>
        <v>40920</v>
      </c>
    </row>
    <row r="18" customFormat="false" ht="15" hidden="false" customHeight="false" outlineLevel="0" collapsed="false">
      <c r="A18" s="13" t="s">
        <v>146</v>
      </c>
      <c r="D18" s="10" t="n">
        <f aca="false">SUM(D14:D17)</f>
        <v>491040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11" min="2" style="0" width="11"/>
  </cols>
  <sheetData>
    <row r="1" customFormat="false" ht="17.35" hidden="false" customHeight="false" outlineLevel="0" collapsed="false">
      <c r="A1" s="1" t="s">
        <v>147</v>
      </c>
    </row>
    <row r="4" customFormat="false" ht="15" hidden="false" customHeight="false" outlineLevel="0" collapsed="false">
      <c r="A4" s="13" t="s">
        <v>148</v>
      </c>
      <c r="B4" s="16" t="n">
        <v>1</v>
      </c>
      <c r="C4" s="16" t="n">
        <v>2</v>
      </c>
      <c r="D4" s="16" t="n">
        <v>3</v>
      </c>
      <c r="E4" s="16" t="n">
        <v>4</v>
      </c>
      <c r="F4" s="16" t="n">
        <v>5</v>
      </c>
      <c r="G4" s="16" t="n">
        <v>6</v>
      </c>
      <c r="H4" s="16" t="n">
        <v>7</v>
      </c>
      <c r="I4" s="16" t="n">
        <v>8</v>
      </c>
      <c r="J4" s="16" t="n">
        <v>9</v>
      </c>
      <c r="K4" s="16" t="n">
        <v>10</v>
      </c>
    </row>
    <row r="5" customFormat="false" ht="15" hidden="false" customHeight="false" outlineLevel="0" collapsed="false">
      <c r="A5" s="0" t="s">
        <v>149</v>
      </c>
      <c r="B5" s="4" t="n">
        <v>2027</v>
      </c>
      <c r="C5" s="14" t="n">
        <f aca="false">B5+1</f>
        <v>2028</v>
      </c>
      <c r="D5" s="14" t="n">
        <f aca="false">C5+1</f>
        <v>2029</v>
      </c>
      <c r="E5" s="14" t="n">
        <f aca="false">D5+1</f>
        <v>2030</v>
      </c>
      <c r="F5" s="14" t="n">
        <f aca="false">E5+1</f>
        <v>2031</v>
      </c>
      <c r="G5" s="14" t="n">
        <f aca="false">F5+1</f>
        <v>2032</v>
      </c>
      <c r="H5" s="14" t="n">
        <f aca="false">G5+1</f>
        <v>2033</v>
      </c>
      <c r="I5" s="14" t="n">
        <f aca="false">H5+1</f>
        <v>2034</v>
      </c>
      <c r="J5" s="14" t="n">
        <f aca="false">I5+1</f>
        <v>2035</v>
      </c>
      <c r="K5" s="14" t="n">
        <f aca="false">J5+1</f>
        <v>2036</v>
      </c>
    </row>
    <row r="6" customFormat="false" ht="15" hidden="false" customHeight="false" outlineLevel="0" collapsed="false">
      <c r="A6" s="0" t="s">
        <v>150</v>
      </c>
      <c r="B6" s="17" t="n">
        <f aca="false">Assumptions!$C$50</f>
        <v>0.01</v>
      </c>
      <c r="C6" s="17" t="n">
        <f aca="false">Assumptions!$C$51</f>
        <v>0.0175</v>
      </c>
      <c r="D6" s="17" t="n">
        <f aca="false">Assumptions!$C$52</f>
        <v>0.025</v>
      </c>
      <c r="E6" s="17" t="n">
        <f aca="false">Assumptions!$C$53</f>
        <v>0.03</v>
      </c>
      <c r="F6" s="17" t="n">
        <f aca="false">Assumptions!$C$54</f>
        <v>0.03</v>
      </c>
      <c r="G6" s="17" t="n">
        <f aca="false">Assumptions!$C$55</f>
        <v>0.03</v>
      </c>
      <c r="H6" s="17" t="n">
        <f aca="false">Assumptions!$C$56</f>
        <v>0.03</v>
      </c>
      <c r="I6" s="17" t="n">
        <f aca="false">Assumptions!$C$57</f>
        <v>0.03</v>
      </c>
      <c r="J6" s="17" t="n">
        <f aca="false">Assumptions!$C$58</f>
        <v>0.03</v>
      </c>
      <c r="K6" s="17" t="n">
        <f aca="false">Assumptions!$C$59</f>
        <v>0.03</v>
      </c>
    </row>
    <row r="8" customFormat="false" ht="15" hidden="false" customHeight="false" outlineLevel="0" collapsed="false">
      <c r="A8" s="3" t="s">
        <v>151</v>
      </c>
      <c r="B8" s="3"/>
      <c r="C8" s="3"/>
      <c r="D8" s="3"/>
      <c r="E8" s="3"/>
      <c r="F8" s="3"/>
      <c r="G8" s="3"/>
      <c r="H8" s="3"/>
      <c r="I8" s="3"/>
      <c r="J8" s="3"/>
      <c r="K8" s="3"/>
    </row>
    <row r="9" customFormat="false" ht="15" hidden="false" customHeight="false" outlineLevel="0" collapsed="false">
      <c r="A9" s="13" t="s">
        <v>152</v>
      </c>
      <c r="B9" s="15" t="n">
        <f aca="false">'Unit Mix'!$H$6*(1+B$6)</f>
        <v>1565.5</v>
      </c>
      <c r="C9" s="15" t="n">
        <f aca="false">B9*(1+C$6)</f>
        <v>1592.89625</v>
      </c>
      <c r="D9" s="15" t="n">
        <f aca="false">C9*(1+D$6)</f>
        <v>1632.71865625</v>
      </c>
      <c r="E9" s="15" t="n">
        <f aca="false">D9*(1+E$6)</f>
        <v>1681.7002159375</v>
      </c>
      <c r="F9" s="15" t="n">
        <f aca="false">E9*(1+F$6)</f>
        <v>1732.15122241563</v>
      </c>
      <c r="G9" s="15" t="n">
        <f aca="false">F9*(1+G$6)</f>
        <v>1784.11575908809</v>
      </c>
      <c r="H9" s="15" t="n">
        <f aca="false">G9*(1+H$6)</f>
        <v>1837.63923186074</v>
      </c>
      <c r="I9" s="15" t="n">
        <f aca="false">H9*(1+I$6)</f>
        <v>1892.76840881656</v>
      </c>
      <c r="J9" s="15" t="n">
        <f aca="false">I9*(1+J$6)</f>
        <v>1949.55146108106</v>
      </c>
      <c r="K9" s="15" t="n">
        <f aca="false">J9*(1+K$6)</f>
        <v>2008.03800491349</v>
      </c>
    </row>
    <row r="10" customFormat="false" ht="15" hidden="false" customHeight="false" outlineLevel="0" collapsed="false">
      <c r="A10" s="0" t="s">
        <v>153</v>
      </c>
      <c r="B10" s="15" t="n">
        <f aca="false">'Unit Mix'!$F$6*(1-Assumptions!$C$38)+(B9+Assumptions!$C$36)*Assumptions!$C$38</f>
        <v>1507.75</v>
      </c>
      <c r="C10" s="15" t="n">
        <f aca="false">B10*(1+C$6)</f>
        <v>1534.135625</v>
      </c>
      <c r="D10" s="15" t="n">
        <f aca="false">C10*(1+D$6)</f>
        <v>1572.489015625</v>
      </c>
      <c r="E10" s="15" t="n">
        <f aca="false">D10*(1+E$6)</f>
        <v>1619.66368609375</v>
      </c>
      <c r="F10" s="15" t="n">
        <f aca="false">E10*(1+F$6)</f>
        <v>1668.25359667656</v>
      </c>
      <c r="G10" s="15" t="n">
        <f aca="false">F10*(1+G$6)</f>
        <v>1718.30120457686</v>
      </c>
      <c r="H10" s="15" t="n">
        <f aca="false">G10*(1+H$6)</f>
        <v>1769.85024071417</v>
      </c>
      <c r="I10" s="15" t="n">
        <f aca="false">H10*(1+I$6)</f>
        <v>1822.94574793559</v>
      </c>
      <c r="J10" s="15" t="n">
        <f aca="false">I10*(1+J$6)</f>
        <v>1877.63412037366</v>
      </c>
      <c r="K10" s="15" t="n">
        <f aca="false">J10*(1+K$6)</f>
        <v>1933.96314398487</v>
      </c>
    </row>
    <row r="11" customFormat="false" ht="15" hidden="false" customHeight="false" outlineLevel="0" collapsed="false">
      <c r="A11" s="0" t="s">
        <v>154</v>
      </c>
      <c r="B11" s="15" t="n">
        <f aca="false">'Unit Mix'!$G$6+Assumptions!$C$46*Assumptions!$C$45*(B9-'Unit Mix'!$G$6)</f>
        <v>1484.48125</v>
      </c>
      <c r="C11" s="15" t="n">
        <f aca="false">B11+Assumptions!$C$46*Assumptions!$C$45*(C9-B11)</f>
        <v>1514.295375</v>
      </c>
      <c r="D11" s="15" t="n">
        <f aca="false">C11+Assumptions!$C$46*Assumptions!$C$45*(D9-C11)</f>
        <v>1546.86177734375</v>
      </c>
      <c r="E11" s="15" t="n">
        <f aca="false">D11+Assumptions!$C$46*Assumptions!$C$45*(E9-D11)</f>
        <v>1583.94234795703</v>
      </c>
      <c r="F11" s="15" t="n">
        <f aca="false">E11+Assumptions!$C$46*Assumptions!$C$45*(F9-E11)</f>
        <v>1624.69978843314</v>
      </c>
      <c r="G11" s="15" t="n">
        <f aca="false">F11+Assumptions!$C$46*Assumptions!$C$45*(G9-F11)</f>
        <v>1668.53918036326</v>
      </c>
      <c r="H11" s="15" t="n">
        <f aca="false">G11+Assumptions!$C$46*Assumptions!$C$45*(H9-G11)</f>
        <v>1715.04169452506</v>
      </c>
      <c r="I11" s="15" t="n">
        <f aca="false">H11+Assumptions!$C$46*Assumptions!$C$45*(I9-H11)</f>
        <v>1763.91654095522</v>
      </c>
      <c r="J11" s="15" t="n">
        <f aca="false">I11+Assumptions!$C$46*Assumptions!$C$45*(J9-I11)</f>
        <v>1814.96614398983</v>
      </c>
      <c r="K11" s="15" t="n">
        <f aca="false">J11+Assumptions!$C$46*Assumptions!$C$45*(K9-J11)</f>
        <v>1868.06090574383</v>
      </c>
    </row>
    <row r="12" customFormat="false" ht="15" hidden="false" customHeight="false" outlineLevel="0" collapsed="false">
      <c r="A12" s="13" t="s">
        <v>155</v>
      </c>
      <c r="B12" s="15" t="n">
        <f aca="false">'Unit Mix'!$H$7*(1+B$6)</f>
        <v>1797.8</v>
      </c>
      <c r="C12" s="15" t="n">
        <f aca="false">B12*(1+C$6)</f>
        <v>1829.2615</v>
      </c>
      <c r="D12" s="15" t="n">
        <f aca="false">C12*(1+D$6)</f>
        <v>1874.9930375</v>
      </c>
      <c r="E12" s="15" t="n">
        <f aca="false">D12*(1+E$6)</f>
        <v>1931.242828625</v>
      </c>
      <c r="F12" s="15" t="n">
        <f aca="false">E12*(1+F$6)</f>
        <v>1989.18011348375</v>
      </c>
      <c r="G12" s="15" t="n">
        <f aca="false">F12*(1+G$6)</f>
        <v>2048.85551688826</v>
      </c>
      <c r="H12" s="15" t="n">
        <f aca="false">G12*(1+H$6)</f>
        <v>2110.32118239491</v>
      </c>
      <c r="I12" s="15" t="n">
        <f aca="false">H12*(1+I$6)</f>
        <v>2173.63081786676</v>
      </c>
      <c r="J12" s="15" t="n">
        <f aca="false">I12*(1+J$6)</f>
        <v>2238.83974240276</v>
      </c>
      <c r="K12" s="15" t="n">
        <f aca="false">J12*(1+K$6)</f>
        <v>2306.00493467484</v>
      </c>
    </row>
    <row r="13" customFormat="false" ht="15" hidden="false" customHeight="false" outlineLevel="0" collapsed="false">
      <c r="A13" s="0" t="s">
        <v>156</v>
      </c>
      <c r="B13" s="15" t="n">
        <f aca="false">'Unit Mix'!$F$7*(1-Assumptions!$C$38)+(B12+Assumptions!$C$36)*Assumptions!$C$38</f>
        <v>1723.9</v>
      </c>
      <c r="C13" s="15" t="n">
        <f aca="false">B13*(1+C$6)</f>
        <v>1754.06825</v>
      </c>
      <c r="D13" s="15" t="n">
        <f aca="false">C13*(1+D$6)</f>
        <v>1797.91995625</v>
      </c>
      <c r="E13" s="15" t="n">
        <f aca="false">D13*(1+E$6)</f>
        <v>1851.8575549375</v>
      </c>
      <c r="F13" s="15" t="n">
        <f aca="false">E13*(1+F$6)</f>
        <v>1907.41328158563</v>
      </c>
      <c r="G13" s="15" t="n">
        <f aca="false">F13*(1+G$6)</f>
        <v>1964.63568003319</v>
      </c>
      <c r="H13" s="15" t="n">
        <f aca="false">G13*(1+H$6)</f>
        <v>2023.57475043419</v>
      </c>
      <c r="I13" s="15" t="n">
        <f aca="false">H13*(1+I$6)</f>
        <v>2084.28199294722</v>
      </c>
      <c r="J13" s="15" t="n">
        <f aca="false">I13*(1+J$6)</f>
        <v>2146.81045273563</v>
      </c>
      <c r="K13" s="15" t="n">
        <f aca="false">J13*(1+K$6)</f>
        <v>2211.2147663177</v>
      </c>
    </row>
    <row r="14" customFormat="false" ht="15" hidden="false" customHeight="false" outlineLevel="0" collapsed="false">
      <c r="A14" s="0" t="s">
        <v>157</v>
      </c>
      <c r="B14" s="15" t="n">
        <f aca="false">'Unit Mix'!$G$7+Assumptions!$C$46*Assumptions!$C$45*(B12-'Unit Mix'!$G$7)</f>
        <v>1707.50125</v>
      </c>
      <c r="C14" s="15" t="n">
        <f aca="false">B14+Assumptions!$C$46*Assumptions!$C$45*(C12-B14)</f>
        <v>1740.98531875</v>
      </c>
      <c r="D14" s="15" t="n">
        <f aca="false">C14+Assumptions!$C$46*Assumptions!$C$45*(D12-C14)</f>
        <v>1777.83744140625</v>
      </c>
      <c r="E14" s="15" t="n">
        <f aca="false">D14+Assumptions!$C$46*Assumptions!$C$45*(E12-D14)</f>
        <v>1820.02392289141</v>
      </c>
      <c r="F14" s="15" t="n">
        <f aca="false">E14+Assumptions!$C$46*Assumptions!$C$45*(F12-E14)</f>
        <v>1866.5418753043</v>
      </c>
      <c r="G14" s="15" t="n">
        <f aca="false">F14+Assumptions!$C$46*Assumptions!$C$45*(G12-F14)</f>
        <v>1916.67812673989</v>
      </c>
      <c r="H14" s="15" t="n">
        <f aca="false">G14+Assumptions!$C$46*Assumptions!$C$45*(H12-G14)</f>
        <v>1969.92996704502</v>
      </c>
      <c r="I14" s="15" t="n">
        <f aca="false">H14+Assumptions!$C$46*Assumptions!$C$45*(I12-H14)</f>
        <v>2025.947701021</v>
      </c>
      <c r="J14" s="15" t="n">
        <f aca="false">I14+Assumptions!$C$46*Assumptions!$C$45*(J12-I14)</f>
        <v>2084.49301240098</v>
      </c>
      <c r="K14" s="15" t="n">
        <f aca="false">J14+Assumptions!$C$46*Assumptions!$C$45*(K12-J14)</f>
        <v>2145.40879102629</v>
      </c>
    </row>
    <row r="15" customFormat="false" ht="15" hidden="false" customHeight="false" outlineLevel="0" collapsed="false">
      <c r="A15" s="13" t="s">
        <v>158</v>
      </c>
      <c r="B15" s="15" t="n">
        <f aca="false">'Unit Mix'!$H$8*(1+B$6)</f>
        <v>2070.5</v>
      </c>
      <c r="C15" s="15" t="n">
        <f aca="false">B15*(1+C$6)</f>
        <v>2106.73375</v>
      </c>
      <c r="D15" s="15" t="n">
        <f aca="false">C15*(1+D$6)</f>
        <v>2159.40209375</v>
      </c>
      <c r="E15" s="15" t="n">
        <f aca="false">D15*(1+E$6)</f>
        <v>2224.1841565625</v>
      </c>
      <c r="F15" s="15" t="n">
        <f aca="false">E15*(1+F$6)</f>
        <v>2290.90968125938</v>
      </c>
      <c r="G15" s="15" t="n">
        <f aca="false">F15*(1+G$6)</f>
        <v>2359.63697169716</v>
      </c>
      <c r="H15" s="15" t="n">
        <f aca="false">G15*(1+H$6)</f>
        <v>2430.42608084807</v>
      </c>
      <c r="I15" s="15" t="n">
        <f aca="false">H15*(1+I$6)</f>
        <v>2503.33886327351</v>
      </c>
      <c r="J15" s="15" t="n">
        <f aca="false">I15*(1+J$6)</f>
        <v>2578.43902917172</v>
      </c>
      <c r="K15" s="15" t="n">
        <f aca="false">J15*(1+K$6)</f>
        <v>2655.79220004687</v>
      </c>
    </row>
    <row r="16" customFormat="false" ht="15" hidden="false" customHeight="false" outlineLevel="0" collapsed="false">
      <c r="A16" s="0" t="s">
        <v>159</v>
      </c>
      <c r="B16" s="15" t="n">
        <f aca="false">'Unit Mix'!$F$8*(1-Assumptions!$C$38)+(B15+Assumptions!$C$36)*Assumptions!$C$38</f>
        <v>1972.75</v>
      </c>
      <c r="C16" s="15" t="n">
        <f aca="false">B16*(1+C$6)</f>
        <v>2007.273125</v>
      </c>
      <c r="D16" s="15" t="n">
        <f aca="false">C16*(1+D$6)</f>
        <v>2057.454953125</v>
      </c>
      <c r="E16" s="15" t="n">
        <f aca="false">D16*(1+E$6)</f>
        <v>2119.17860171875</v>
      </c>
      <c r="F16" s="15" t="n">
        <f aca="false">E16*(1+F$6)</f>
        <v>2182.75395977031</v>
      </c>
      <c r="G16" s="15" t="n">
        <f aca="false">F16*(1+G$6)</f>
        <v>2248.23657856342</v>
      </c>
      <c r="H16" s="15" t="n">
        <f aca="false">G16*(1+H$6)</f>
        <v>2315.68367592032</v>
      </c>
      <c r="I16" s="15" t="n">
        <f aca="false">H16*(1+I$6)</f>
        <v>2385.15418619793</v>
      </c>
      <c r="J16" s="15" t="n">
        <f aca="false">I16*(1+J$6)</f>
        <v>2456.70881178387</v>
      </c>
      <c r="K16" s="15" t="n">
        <f aca="false">J16*(1+K$6)</f>
        <v>2530.41007613739</v>
      </c>
    </row>
    <row r="17" customFormat="false" ht="15" hidden="false" customHeight="false" outlineLevel="0" collapsed="false">
      <c r="A17" s="0" t="s">
        <v>160</v>
      </c>
      <c r="B17" s="15" t="n">
        <f aca="false">'Unit Mix'!$G$8+Assumptions!$C$46*Assumptions!$C$45*(B15-'Unit Mix'!$G$8)</f>
        <v>1966.825</v>
      </c>
      <c r="C17" s="15" t="n">
        <f aca="false">B17+Assumptions!$C$46*Assumptions!$C$45*(C15-B17)</f>
        <v>2005.29990625</v>
      </c>
      <c r="D17" s="15" t="n">
        <f aca="false">C17+Assumptions!$C$46*Assumptions!$C$45*(D15-C17)</f>
        <v>2047.6780078125</v>
      </c>
      <c r="E17" s="15" t="n">
        <f aca="false">D17+Assumptions!$C$46*Assumptions!$C$45*(E15-D17)</f>
        <v>2096.21719871875</v>
      </c>
      <c r="F17" s="15" t="n">
        <f aca="false">E17+Assumptions!$C$46*Assumptions!$C$45*(F15-E17)</f>
        <v>2149.75763141742</v>
      </c>
      <c r="G17" s="15" t="n">
        <f aca="false">F17+Assumptions!$C$46*Assumptions!$C$45*(G15-F17)</f>
        <v>2207.47444999435</v>
      </c>
      <c r="H17" s="15" t="n">
        <f aca="false">G17+Assumptions!$C$46*Assumptions!$C$45*(H15-G17)</f>
        <v>2268.78614847912</v>
      </c>
      <c r="I17" s="15" t="n">
        <f aca="false">H17+Assumptions!$C$46*Assumptions!$C$45*(I15-H17)</f>
        <v>2333.28814504758</v>
      </c>
      <c r="J17" s="15" t="n">
        <f aca="false">I17+Assumptions!$C$46*Assumptions!$C$45*(J15-I17)</f>
        <v>2400.70463818172</v>
      </c>
      <c r="K17" s="15" t="n">
        <f aca="false">J17+Assumptions!$C$46*Assumptions!$C$45*(K15-J17)</f>
        <v>2470.85371769464</v>
      </c>
    </row>
    <row r="18" customFormat="false" ht="15" hidden="false" customHeight="false" outlineLevel="0" collapsed="false">
      <c r="A18" s="13" t="s">
        <v>161</v>
      </c>
      <c r="B18" s="15" t="n">
        <f aca="false">'Unit Mix'!$H$9*(1+B$6)</f>
        <v>2222</v>
      </c>
      <c r="C18" s="15" t="n">
        <f aca="false">B18*(1+C$6)</f>
        <v>2260.885</v>
      </c>
      <c r="D18" s="15" t="n">
        <f aca="false">C18*(1+D$6)</f>
        <v>2317.407125</v>
      </c>
      <c r="E18" s="15" t="n">
        <f aca="false">D18*(1+E$6)</f>
        <v>2386.92933875</v>
      </c>
      <c r="F18" s="15" t="n">
        <f aca="false">E18*(1+F$6)</f>
        <v>2458.5372189125</v>
      </c>
      <c r="G18" s="15" t="n">
        <f aca="false">F18*(1+G$6)</f>
        <v>2532.29333547988</v>
      </c>
      <c r="H18" s="15" t="n">
        <f aca="false">G18*(1+H$6)</f>
        <v>2608.26213554427</v>
      </c>
      <c r="I18" s="15" t="n">
        <f aca="false">H18*(1+I$6)</f>
        <v>2686.5099996106</v>
      </c>
      <c r="J18" s="15" t="n">
        <f aca="false">I18*(1+J$6)</f>
        <v>2767.10529959892</v>
      </c>
      <c r="K18" s="15" t="n">
        <f aca="false">J18*(1+K$6)</f>
        <v>2850.11845858689</v>
      </c>
    </row>
    <row r="19" customFormat="false" ht="15" hidden="false" customHeight="false" outlineLevel="0" collapsed="false">
      <c r="A19" s="0" t="s">
        <v>162</v>
      </c>
      <c r="B19" s="15" t="n">
        <f aca="false">'Unit Mix'!$F$9*(1-Assumptions!$C$38)+(B18+Assumptions!$C$36)*Assumptions!$C$38</f>
        <v>2111</v>
      </c>
      <c r="C19" s="15" t="n">
        <f aca="false">B19*(1+C$6)</f>
        <v>2147.9425</v>
      </c>
      <c r="D19" s="15" t="n">
        <f aca="false">C19*(1+D$6)</f>
        <v>2201.6410625</v>
      </c>
      <c r="E19" s="15" t="n">
        <f aca="false">D19*(1+E$6)</f>
        <v>2267.690294375</v>
      </c>
      <c r="F19" s="15" t="n">
        <f aca="false">E19*(1+F$6)</f>
        <v>2335.72100320625</v>
      </c>
      <c r="G19" s="15" t="n">
        <f aca="false">F19*(1+G$6)</f>
        <v>2405.79263330244</v>
      </c>
      <c r="H19" s="15" t="n">
        <f aca="false">G19*(1+H$6)</f>
        <v>2477.96641230151</v>
      </c>
      <c r="I19" s="15" t="n">
        <f aca="false">H19*(1+I$6)</f>
        <v>2552.30540467056</v>
      </c>
      <c r="J19" s="15" t="n">
        <f aca="false">I19*(1+J$6)</f>
        <v>2628.87456681067</v>
      </c>
      <c r="K19" s="15" t="n">
        <f aca="false">J19*(1+K$6)</f>
        <v>2707.74080381499</v>
      </c>
    </row>
    <row r="20" customFormat="false" ht="15" hidden="false" customHeight="false" outlineLevel="0" collapsed="false">
      <c r="A20" s="0" t="s">
        <v>163</v>
      </c>
      <c r="B20" s="15" t="n">
        <f aca="false">'Unit Mix'!$G$9+Assumptions!$C$46*Assumptions!$C$45*(B18-'Unit Mix'!$G$9)</f>
        <v>2110.89375</v>
      </c>
      <c r="C20" s="15" t="n">
        <f aca="false">B20+Assumptions!$C$46*Assumptions!$C$45*(C18-B20)</f>
        <v>2152.14134375</v>
      </c>
      <c r="D20" s="15" t="n">
        <f aca="false">C20+Assumptions!$C$46*Assumptions!$C$45*(D18-C20)</f>
        <v>2197.58943359375</v>
      </c>
      <c r="E20" s="15" t="n">
        <f aca="false">D20+Assumptions!$C$46*Assumptions!$C$45*(E18-D20)</f>
        <v>2249.65790751172</v>
      </c>
      <c r="F20" s="15" t="n">
        <f aca="false">E20+Assumptions!$C$46*Assumptions!$C$45*(F18-E20)</f>
        <v>2307.09971814693</v>
      </c>
      <c r="G20" s="15" t="n">
        <f aca="false">F20+Assumptions!$C$46*Assumptions!$C$45*(G18-F20)</f>
        <v>2369.02796291349</v>
      </c>
      <c r="H20" s="15" t="n">
        <f aca="false">G20+Assumptions!$C$46*Assumptions!$C$45*(H18-G20)</f>
        <v>2434.81736038696</v>
      </c>
      <c r="I20" s="15" t="n">
        <f aca="false">H20+Assumptions!$C$46*Assumptions!$C$45*(I18-H20)</f>
        <v>2504.03283617346</v>
      </c>
      <c r="J20" s="15" t="n">
        <f aca="false">I20+Assumptions!$C$46*Assumptions!$C$45*(J18-I20)</f>
        <v>2576.37776361546</v>
      </c>
      <c r="K20" s="15" t="n">
        <f aca="false">J20+Assumptions!$C$46*Assumptions!$C$45*(K18-J20)</f>
        <v>2651.6564547326</v>
      </c>
    </row>
    <row r="22" customFormat="false" ht="15" hidden="false" customHeight="false" outlineLevel="0" collapsed="false">
      <c r="A22" s="3" t="s">
        <v>164</v>
      </c>
      <c r="B22" s="3"/>
      <c r="C22" s="3"/>
      <c r="D22" s="3"/>
      <c r="E22" s="3"/>
      <c r="F22" s="3"/>
      <c r="G22" s="3"/>
      <c r="H22" s="3"/>
      <c r="I22" s="3"/>
      <c r="J22" s="3"/>
      <c r="K22" s="3"/>
    </row>
    <row r="23" customFormat="false" ht="15" hidden="false" customHeight="false" outlineLevel="0" collapsed="false">
      <c r="A23" s="13" t="s">
        <v>165</v>
      </c>
      <c r="B23" s="10" t="n">
        <f aca="false">('Unit Mix'!$C$6*B10+'Unit Mix'!$D$6*B11+'Unit Mix'!$C$7*B13+'Unit Mix'!$D$7*B14+'Unit Mix'!$C$8*B16+'Unit Mix'!$D$8*B17+'Unit Mix'!$C$9*B19+'Unit Mix'!$D$9*B20)*12</f>
        <v>2062723.335</v>
      </c>
      <c r="C23" s="10" t="n">
        <f aca="false">('Unit Mix'!$C$6*C10+'Unit Mix'!$D$6*C11+'Unit Mix'!$C$7*C13+'Unit Mix'!$D$7*C14+'Unit Mix'!$C$8*C16+'Unit Mix'!$D$8*C17+'Unit Mix'!$C$9*C19+'Unit Mix'!$D$9*C20)*12</f>
        <v>2102197.62105</v>
      </c>
      <c r="D23" s="10" t="n">
        <f aca="false">('Unit Mix'!$C$6*D10+'Unit Mix'!$D$6*D11+'Unit Mix'!$C$7*D13+'Unit Mix'!$D$7*D14+'Unit Mix'!$C$8*D16+'Unit Mix'!$D$8*D17+'Unit Mix'!$C$9*D19+'Unit Mix'!$D$9*D20)*12</f>
        <v>2148729.13337813</v>
      </c>
      <c r="E23" s="10" t="n">
        <f aca="false">('Unit Mix'!$C$6*E10+'Unit Mix'!$D$6*E11+'Unit Mix'!$C$7*E13+'Unit Mix'!$D$7*E14+'Unit Mix'!$C$8*E16+'Unit Mix'!$D$8*E17+'Unit Mix'!$C$9*E19+'Unit Mix'!$D$9*E20)*12</f>
        <v>2203065.29217458</v>
      </c>
      <c r="F23" s="10" t="n">
        <f aca="false">('Unit Mix'!$C$6*F10+'Unit Mix'!$D$6*F11+'Unit Mix'!$C$7*F13+'Unit Mix'!$D$7*F14+'Unit Mix'!$C$8*F16+'Unit Mix'!$D$8*F17+'Unit Mix'!$C$9*F19+'Unit Mix'!$D$9*F20)*12</f>
        <v>2261816.10741628</v>
      </c>
      <c r="G23" s="10" t="n">
        <f aca="false">('Unit Mix'!$C$6*G10+'Unit Mix'!$D$6*G11+'Unit Mix'!$C$7*G13+'Unit Mix'!$D$7*G14+'Unit Mix'!$C$8*G16+'Unit Mix'!$D$8*G17+'Unit Mix'!$C$9*G19+'Unit Mix'!$D$9*G20)*12</f>
        <v>2324348.2615842</v>
      </c>
      <c r="H23" s="10" t="n">
        <f aca="false">('Unit Mix'!$C$6*H10+'Unit Mix'!$D$6*H11+'Unit Mix'!$C$7*H13+'Unit Mix'!$D$7*H14+'Unit Mix'!$C$8*H16+'Unit Mix'!$D$8*H17+'Unit Mix'!$C$9*H19+'Unit Mix'!$D$9*H20)*12</f>
        <v>2390220.02086717</v>
      </c>
      <c r="I23" s="10" t="n">
        <f aca="false">('Unit Mix'!$C$6*I10+'Unit Mix'!$D$6*I11+'Unit Mix'!$C$7*I13+'Unit Mix'!$D$7*I14+'Unit Mix'!$C$8*I16+'Unit Mix'!$D$8*I17+'Unit Mix'!$C$9*I19+'Unit Mix'!$D$9*I20)*12</f>
        <v>2459129.07228387</v>
      </c>
      <c r="J23" s="10" t="n">
        <f aca="false">('Unit Mix'!$C$6*J10+'Unit Mix'!$D$6*J11+'Unit Mix'!$C$7*J13+'Unit Mix'!$D$7*J14+'Unit Mix'!$C$8*J16+'Unit Mix'!$D$8*J17+'Unit Mix'!$C$9*J19+'Unit Mix'!$D$9*J20)*12</f>
        <v>2530874.72127564</v>
      </c>
      <c r="K23" s="10" t="n">
        <f aca="false">('Unit Mix'!$C$6*K10+'Unit Mix'!$D$6*K11+'Unit Mix'!$C$7*K13+'Unit Mix'!$D$7*K14+'Unit Mix'!$C$8*K16+'Unit Mix'!$D$8*K17+'Unit Mix'!$C$9*K19+'Unit Mix'!$D$9*K20)*12</f>
        <v>2605330.50111077</v>
      </c>
    </row>
    <row r="24" customFormat="false" ht="15" hidden="false" customHeight="false" outlineLevel="0" collapsed="false">
      <c r="A24" s="0" t="s">
        <v>166</v>
      </c>
      <c r="B24" s="15" t="n">
        <f aca="false">-B23*Assumptions!$C$41</f>
        <v>-134077.016775</v>
      </c>
      <c r="C24" s="15" t="n">
        <f aca="false">-C23*Assumptions!$C$41</f>
        <v>-136642.84536825</v>
      </c>
      <c r="D24" s="15" t="n">
        <f aca="false">-D23*Assumptions!$C$41</f>
        <v>-139667.393669578</v>
      </c>
      <c r="E24" s="15" t="n">
        <f aca="false">-E23*Assumptions!$C$41</f>
        <v>-143199.243991348</v>
      </c>
      <c r="F24" s="15" t="n">
        <f aca="false">-F23*Assumptions!$C$41</f>
        <v>-147018.046982058</v>
      </c>
      <c r="G24" s="15" t="n">
        <f aca="false">-G23*Assumptions!$C$41</f>
        <v>-151082.637002973</v>
      </c>
      <c r="H24" s="15" t="n">
        <f aca="false">-H23*Assumptions!$C$41</f>
        <v>-155364.301356366</v>
      </c>
      <c r="I24" s="15" t="n">
        <f aca="false">-I23*Assumptions!$C$41</f>
        <v>-159843.389698452</v>
      </c>
      <c r="J24" s="15" t="n">
        <f aca="false">-J23*Assumptions!$C$41</f>
        <v>-164506.856882917</v>
      </c>
      <c r="K24" s="15" t="n">
        <f aca="false">-K23*Assumptions!$C$41</f>
        <v>-169346.4825722</v>
      </c>
    </row>
    <row r="25" customFormat="false" ht="15" hidden="false" customHeight="false" outlineLevel="0" collapsed="false">
      <c r="A25" s="0" t="s">
        <v>167</v>
      </c>
      <c r="B25" s="15" t="n">
        <f aca="false">-B23*Assumptions!$C$42</f>
        <v>-20627.23335</v>
      </c>
      <c r="C25" s="15" t="n">
        <f aca="false">-C23*Assumptions!$C$42</f>
        <v>-21021.9762105</v>
      </c>
      <c r="D25" s="15" t="n">
        <f aca="false">-D23*Assumptions!$C$42</f>
        <v>-21487.2913337813</v>
      </c>
      <c r="E25" s="15" t="n">
        <f aca="false">-E23*Assumptions!$C$42</f>
        <v>-22030.6529217458</v>
      </c>
      <c r="F25" s="15" t="n">
        <f aca="false">-F23*Assumptions!$C$42</f>
        <v>-22618.1610741628</v>
      </c>
      <c r="G25" s="15" t="n">
        <f aca="false">-G23*Assumptions!$C$42</f>
        <v>-23243.482615842</v>
      </c>
      <c r="H25" s="15" t="n">
        <f aca="false">-H23*Assumptions!$C$42</f>
        <v>-23902.2002086717</v>
      </c>
      <c r="I25" s="15" t="n">
        <f aca="false">-I23*Assumptions!$C$42</f>
        <v>-24591.2907228388</v>
      </c>
      <c r="J25" s="15" t="n">
        <f aca="false">-J23*Assumptions!$C$42</f>
        <v>-25308.7472127564</v>
      </c>
      <c r="K25" s="15" t="n">
        <f aca="false">-K23*Assumptions!$C$42</f>
        <v>-26053.3050111077</v>
      </c>
    </row>
    <row r="26" customFormat="false" ht="15" hidden="false" customHeight="false" outlineLevel="0" collapsed="false">
      <c r="A26" s="0" t="s">
        <v>168</v>
      </c>
      <c r="B26" s="15" t="n">
        <f aca="false">-B23*Assumptions!$C$43</f>
        <v>-10313.616675</v>
      </c>
      <c r="C26" s="15" t="n">
        <f aca="false">-C23*Assumptions!$C$43</f>
        <v>-10510.98810525</v>
      </c>
      <c r="D26" s="15" t="n">
        <f aca="false">-D23*Assumptions!$C$43</f>
        <v>-10743.6456668906</v>
      </c>
      <c r="E26" s="15" t="n">
        <f aca="false">-E23*Assumptions!$C$43</f>
        <v>-11015.3264608729</v>
      </c>
      <c r="F26" s="15" t="n">
        <f aca="false">-F23*Assumptions!$C$43</f>
        <v>-11309.0805370814</v>
      </c>
      <c r="G26" s="15" t="n">
        <f aca="false">-G23*Assumptions!$C$43</f>
        <v>-11621.741307921</v>
      </c>
      <c r="H26" s="15" t="n">
        <f aca="false">-H23*Assumptions!$C$43</f>
        <v>-11951.1001043358</v>
      </c>
      <c r="I26" s="15" t="n">
        <f aca="false">-I23*Assumptions!$C$43</f>
        <v>-12295.6453614194</v>
      </c>
      <c r="J26" s="15" t="n">
        <f aca="false">-J23*Assumptions!$C$43</f>
        <v>-12654.3736063782</v>
      </c>
      <c r="K26" s="15" t="n">
        <f aca="false">-K23*Assumptions!$C$43</f>
        <v>-13026.6525055539</v>
      </c>
    </row>
    <row r="27" customFormat="false" ht="15" hidden="false" customHeight="false" outlineLevel="0" collapsed="false">
      <c r="A27" s="0" t="s">
        <v>169</v>
      </c>
      <c r="B27" s="15" t="n">
        <f aca="false">Assumptions!$C$6*Assumptions!$C$44*12*(1+Assumptions!$C$62)^(B$4-1)</f>
        <v>40740</v>
      </c>
      <c r="C27" s="15" t="n">
        <f aca="false">Assumptions!$C$6*Assumptions!$C$44*12*(1+Assumptions!$C$62)^(C$4-1)</f>
        <v>42165.9</v>
      </c>
      <c r="D27" s="15" t="n">
        <f aca="false">Assumptions!$C$6*Assumptions!$C$44*12*(1+Assumptions!$C$62)^(D$4-1)</f>
        <v>43641.7065</v>
      </c>
      <c r="E27" s="15" t="n">
        <f aca="false">Assumptions!$C$6*Assumptions!$C$44*12*(1+Assumptions!$C$62)^(E$4-1)</f>
        <v>45169.1662275</v>
      </c>
      <c r="F27" s="15" t="n">
        <f aca="false">Assumptions!$C$6*Assumptions!$C$44*12*(1+Assumptions!$C$62)^(F$4-1)</f>
        <v>46750.0870454625</v>
      </c>
      <c r="G27" s="15" t="n">
        <f aca="false">Assumptions!$C$6*Assumptions!$C$44*12*(1+Assumptions!$C$62)^(G$4-1)</f>
        <v>48386.3400920537</v>
      </c>
      <c r="H27" s="15" t="n">
        <f aca="false">Assumptions!$C$6*Assumptions!$C$44*12*(1+Assumptions!$C$62)^(H$4-1)</f>
        <v>50079.8619952755</v>
      </c>
      <c r="I27" s="15" t="n">
        <f aca="false">Assumptions!$C$6*Assumptions!$C$44*12*(1+Assumptions!$C$62)^(I$4-1)</f>
        <v>51832.6571651102</v>
      </c>
      <c r="J27" s="15" t="n">
        <f aca="false">Assumptions!$C$6*Assumptions!$C$44*12*(1+Assumptions!$C$62)^(J$4-1)</f>
        <v>53646.800165889</v>
      </c>
      <c r="K27" s="15" t="n">
        <f aca="false">Assumptions!$C$6*Assumptions!$C$44*12*(1+Assumptions!$C$62)^(K$4-1)</f>
        <v>55524.4381716952</v>
      </c>
    </row>
    <row r="28" customFormat="false" ht="15" hidden="false" customHeight="false" outlineLevel="0" collapsed="false">
      <c r="A28" s="13" t="s">
        <v>170</v>
      </c>
      <c r="B28" s="10" t="n">
        <f aca="false">SUM(B23:B27)</f>
        <v>1938445.4682</v>
      </c>
      <c r="C28" s="10" t="n">
        <f aca="false">SUM(C23:C27)</f>
        <v>1976187.711366</v>
      </c>
      <c r="D28" s="10" t="n">
        <f aca="false">SUM(D23:D27)</f>
        <v>2020472.50920788</v>
      </c>
      <c r="E28" s="10" t="n">
        <f aca="false">SUM(E23:E27)</f>
        <v>2071989.23502812</v>
      </c>
      <c r="F28" s="10" t="n">
        <f aca="false">SUM(F23:F27)</f>
        <v>2127620.90586844</v>
      </c>
      <c r="G28" s="10" t="n">
        <f aca="false">SUM(G23:G27)</f>
        <v>2186786.74074952</v>
      </c>
      <c r="H28" s="10" t="n">
        <f aca="false">SUM(H23:H27)</f>
        <v>2249082.28119307</v>
      </c>
      <c r="I28" s="10" t="n">
        <f aca="false">SUM(I23:I27)</f>
        <v>2314231.40366628</v>
      </c>
      <c r="J28" s="10" t="n">
        <f aca="false">SUM(J23:J27)</f>
        <v>2382051.54373948</v>
      </c>
      <c r="K28" s="10" t="n">
        <f aca="false">SUM(K23:K27)</f>
        <v>2452428.4991936</v>
      </c>
    </row>
    <row r="30" customFormat="false" ht="15" hidden="false" customHeight="false" outlineLevel="0" collapsed="false">
      <c r="A30" s="3" t="s">
        <v>171</v>
      </c>
      <c r="B30" s="3"/>
      <c r="C30" s="3"/>
      <c r="D30" s="3"/>
      <c r="E30" s="3"/>
      <c r="F30" s="3"/>
      <c r="G30" s="3"/>
      <c r="H30" s="3"/>
      <c r="I30" s="3"/>
      <c r="J30" s="3"/>
      <c r="K30" s="3"/>
    </row>
    <row r="31" customFormat="false" ht="15" hidden="false" customHeight="false" outlineLevel="0" collapsed="false">
      <c r="A31" s="0" t="s">
        <v>172</v>
      </c>
      <c r="B31" s="15" t="n">
        <f aca="false">-Assumptions!$C$6*Assumptions!$C$66*(1+Assumptions!$C$62)^(B$4-1)</f>
        <v>-135800</v>
      </c>
      <c r="C31" s="15" t="n">
        <f aca="false">-Assumptions!$C$6*Assumptions!$C$66*(1+Assumptions!$C$62)^(C$4-1)</f>
        <v>-140553</v>
      </c>
      <c r="D31" s="15" t="n">
        <f aca="false">-Assumptions!$C$6*Assumptions!$C$66*(1+Assumptions!$C$62)^(D$4-1)</f>
        <v>-145472.355</v>
      </c>
      <c r="E31" s="15" t="n">
        <f aca="false">-Assumptions!$C$6*Assumptions!$C$66*(1+Assumptions!$C$62)^(E$4-1)</f>
        <v>-150563.887425</v>
      </c>
      <c r="F31" s="15" t="n">
        <f aca="false">-Assumptions!$C$6*Assumptions!$C$66*(1+Assumptions!$C$62)^(F$4-1)</f>
        <v>-155833.623484875</v>
      </c>
      <c r="G31" s="15" t="n">
        <f aca="false">-Assumptions!$C$6*Assumptions!$C$66*(1+Assumptions!$C$62)^(G$4-1)</f>
        <v>-161287.800306846</v>
      </c>
      <c r="H31" s="15" t="n">
        <f aca="false">-Assumptions!$C$6*Assumptions!$C$66*(1+Assumptions!$C$62)^(H$4-1)</f>
        <v>-166932.873317585</v>
      </c>
      <c r="I31" s="15" t="n">
        <f aca="false">-Assumptions!$C$6*Assumptions!$C$66*(1+Assumptions!$C$62)^(I$4-1)</f>
        <v>-172775.523883701</v>
      </c>
      <c r="J31" s="15" t="n">
        <f aca="false">-Assumptions!$C$6*Assumptions!$C$66*(1+Assumptions!$C$62)^(J$4-1)</f>
        <v>-178822.66721963</v>
      </c>
      <c r="K31" s="15" t="n">
        <f aca="false">-Assumptions!$C$6*Assumptions!$C$66*(1+Assumptions!$C$62)^(K$4-1)</f>
        <v>-185081.460572317</v>
      </c>
    </row>
    <row r="32" customFormat="false" ht="15" hidden="false" customHeight="false" outlineLevel="0" collapsed="false">
      <c r="A32" s="0" t="s">
        <v>80</v>
      </c>
      <c r="B32" s="15" t="n">
        <f aca="false">-Assumptions!$C$6*Assumptions!$C$67*(1+Assumptions!$C$62)^(B$4-1)</f>
        <v>-106700</v>
      </c>
      <c r="C32" s="15" t="n">
        <f aca="false">-Assumptions!$C$6*Assumptions!$C$67*(1+Assumptions!$C$62)^(C$4-1)</f>
        <v>-110434.5</v>
      </c>
      <c r="D32" s="15" t="n">
        <f aca="false">-Assumptions!$C$6*Assumptions!$C$67*(1+Assumptions!$C$62)^(D$4-1)</f>
        <v>-114299.7075</v>
      </c>
      <c r="E32" s="15" t="n">
        <f aca="false">-Assumptions!$C$6*Assumptions!$C$67*(1+Assumptions!$C$62)^(E$4-1)</f>
        <v>-118300.1972625</v>
      </c>
      <c r="F32" s="15" t="n">
        <f aca="false">-Assumptions!$C$6*Assumptions!$C$67*(1+Assumptions!$C$62)^(F$4-1)</f>
        <v>-122440.704166687</v>
      </c>
      <c r="G32" s="15" t="n">
        <f aca="false">-Assumptions!$C$6*Assumptions!$C$67*(1+Assumptions!$C$62)^(G$4-1)</f>
        <v>-126726.128812522</v>
      </c>
      <c r="H32" s="15" t="n">
        <f aca="false">-Assumptions!$C$6*Assumptions!$C$67*(1+Assumptions!$C$62)^(H$4-1)</f>
        <v>-131161.54332096</v>
      </c>
      <c r="I32" s="15" t="n">
        <f aca="false">-Assumptions!$C$6*Assumptions!$C$67*(1+Assumptions!$C$62)^(I$4-1)</f>
        <v>-135752.197337193</v>
      </c>
      <c r="J32" s="15" t="n">
        <f aca="false">-Assumptions!$C$6*Assumptions!$C$67*(1+Assumptions!$C$62)^(J$4-1)</f>
        <v>-140503.524243995</v>
      </c>
      <c r="K32" s="15" t="n">
        <f aca="false">-Assumptions!$C$6*Assumptions!$C$67*(1+Assumptions!$C$62)^(K$4-1)</f>
        <v>-145421.147592535</v>
      </c>
    </row>
    <row r="33" customFormat="false" ht="15" hidden="false" customHeight="false" outlineLevel="0" collapsed="false">
      <c r="A33" s="0" t="s">
        <v>82</v>
      </c>
      <c r="B33" s="15" t="n">
        <f aca="false">-Assumptions!$C$6*Assumptions!$C$68*(1+Assumptions!$C$62)^(B$4-1)</f>
        <v>-33950</v>
      </c>
      <c r="C33" s="15" t="n">
        <f aca="false">-Assumptions!$C$6*Assumptions!$C$68*(1+Assumptions!$C$62)^(C$4-1)</f>
        <v>-35138.25</v>
      </c>
      <c r="D33" s="15" t="n">
        <f aca="false">-Assumptions!$C$6*Assumptions!$C$68*(1+Assumptions!$C$62)^(D$4-1)</f>
        <v>-36368.08875</v>
      </c>
      <c r="E33" s="15" t="n">
        <f aca="false">-Assumptions!$C$6*Assumptions!$C$68*(1+Assumptions!$C$62)^(E$4-1)</f>
        <v>-37640.97185625</v>
      </c>
      <c r="F33" s="15" t="n">
        <f aca="false">-Assumptions!$C$6*Assumptions!$C$68*(1+Assumptions!$C$62)^(F$4-1)</f>
        <v>-38958.4058712187</v>
      </c>
      <c r="G33" s="15" t="n">
        <f aca="false">-Assumptions!$C$6*Assumptions!$C$68*(1+Assumptions!$C$62)^(G$4-1)</f>
        <v>-40321.9500767114</v>
      </c>
      <c r="H33" s="15" t="n">
        <f aca="false">-Assumptions!$C$6*Assumptions!$C$68*(1+Assumptions!$C$62)^(H$4-1)</f>
        <v>-41733.2183293963</v>
      </c>
      <c r="I33" s="15" t="n">
        <f aca="false">-Assumptions!$C$6*Assumptions!$C$68*(1+Assumptions!$C$62)^(I$4-1)</f>
        <v>-43193.8809709252</v>
      </c>
      <c r="J33" s="15" t="n">
        <f aca="false">-Assumptions!$C$6*Assumptions!$C$68*(1+Assumptions!$C$62)^(J$4-1)</f>
        <v>-44705.6668049075</v>
      </c>
      <c r="K33" s="15" t="n">
        <f aca="false">-Assumptions!$C$6*Assumptions!$C$68*(1+Assumptions!$C$62)^(K$4-1)</f>
        <v>-46270.3651430793</v>
      </c>
    </row>
    <row r="34" customFormat="false" ht="15" hidden="false" customHeight="false" outlineLevel="0" collapsed="false">
      <c r="A34" s="0" t="s">
        <v>173</v>
      </c>
      <c r="B34" s="15" t="n">
        <f aca="false">-Assumptions!$C$6*Assumptions!$C$69*(1+Assumptions!$C$62)^(B$4-1)</f>
        <v>-43650</v>
      </c>
      <c r="C34" s="15" t="n">
        <f aca="false">-Assumptions!$C$6*Assumptions!$C$69*(1+Assumptions!$C$62)^(C$4-1)</f>
        <v>-45177.75</v>
      </c>
      <c r="D34" s="15" t="n">
        <f aca="false">-Assumptions!$C$6*Assumptions!$C$69*(1+Assumptions!$C$62)^(D$4-1)</f>
        <v>-46758.97125</v>
      </c>
      <c r="E34" s="15" t="n">
        <f aca="false">-Assumptions!$C$6*Assumptions!$C$69*(1+Assumptions!$C$62)^(E$4-1)</f>
        <v>-48395.53524375</v>
      </c>
      <c r="F34" s="15" t="n">
        <f aca="false">-Assumptions!$C$6*Assumptions!$C$69*(1+Assumptions!$C$62)^(F$4-1)</f>
        <v>-50089.3789772812</v>
      </c>
      <c r="G34" s="15" t="n">
        <f aca="false">-Assumptions!$C$6*Assumptions!$C$69*(1+Assumptions!$C$62)^(G$4-1)</f>
        <v>-51842.5072414861</v>
      </c>
      <c r="H34" s="15" t="n">
        <f aca="false">-Assumptions!$C$6*Assumptions!$C$69*(1+Assumptions!$C$62)^(H$4-1)</f>
        <v>-53656.9949949381</v>
      </c>
      <c r="I34" s="15" t="n">
        <f aca="false">-Assumptions!$C$6*Assumptions!$C$69*(1+Assumptions!$C$62)^(I$4-1)</f>
        <v>-55534.9898197609</v>
      </c>
      <c r="J34" s="15" t="n">
        <f aca="false">-Assumptions!$C$6*Assumptions!$C$69*(1+Assumptions!$C$62)^(J$4-1)</f>
        <v>-57478.7144634525</v>
      </c>
      <c r="K34" s="15" t="n">
        <f aca="false">-Assumptions!$C$6*Assumptions!$C$69*(1+Assumptions!$C$62)^(K$4-1)</f>
        <v>-59490.4694696734</v>
      </c>
    </row>
    <row r="35" customFormat="false" ht="15" hidden="false" customHeight="false" outlineLevel="0" collapsed="false">
      <c r="A35" s="0" t="s">
        <v>174</v>
      </c>
      <c r="B35" s="15" t="n">
        <f aca="false">-Assumptions!$C$6*Assumptions!$C$70*(1+Assumptions!$C$62)^(B$4-1)</f>
        <v>-48500</v>
      </c>
      <c r="C35" s="15" t="n">
        <f aca="false">-Assumptions!$C$6*Assumptions!$C$70*(1+Assumptions!$C$62)^(C$4-1)</f>
        <v>-50197.5</v>
      </c>
      <c r="D35" s="15" t="n">
        <f aca="false">-Assumptions!$C$6*Assumptions!$C$70*(1+Assumptions!$C$62)^(D$4-1)</f>
        <v>-51954.4125</v>
      </c>
      <c r="E35" s="15" t="n">
        <f aca="false">-Assumptions!$C$6*Assumptions!$C$70*(1+Assumptions!$C$62)^(E$4-1)</f>
        <v>-53772.8169375</v>
      </c>
      <c r="F35" s="15" t="n">
        <f aca="false">-Assumptions!$C$6*Assumptions!$C$70*(1+Assumptions!$C$62)^(F$4-1)</f>
        <v>-55654.8655303125</v>
      </c>
      <c r="G35" s="15" t="n">
        <f aca="false">-Assumptions!$C$6*Assumptions!$C$70*(1+Assumptions!$C$62)^(G$4-1)</f>
        <v>-57602.7858238734</v>
      </c>
      <c r="H35" s="15" t="n">
        <f aca="false">-Assumptions!$C$6*Assumptions!$C$70*(1+Assumptions!$C$62)^(H$4-1)</f>
        <v>-59618.883327709</v>
      </c>
      <c r="I35" s="15" t="n">
        <f aca="false">-Assumptions!$C$6*Assumptions!$C$70*(1+Assumptions!$C$62)^(I$4-1)</f>
        <v>-61705.5442441788</v>
      </c>
      <c r="J35" s="15" t="n">
        <f aca="false">-Assumptions!$C$6*Assumptions!$C$70*(1+Assumptions!$C$62)^(J$4-1)</f>
        <v>-63865.238292725</v>
      </c>
      <c r="K35" s="15" t="n">
        <f aca="false">-Assumptions!$C$6*Assumptions!$C$70*(1+Assumptions!$C$62)^(K$4-1)</f>
        <v>-66100.5216329704</v>
      </c>
    </row>
    <row r="36" customFormat="false" ht="15" hidden="false" customHeight="false" outlineLevel="0" collapsed="false">
      <c r="A36" s="0" t="s">
        <v>175</v>
      </c>
      <c r="B36" s="15" t="n">
        <f aca="false">-Assumptions!$C$6*(IF(Assumptions!$C$79=1,Assumptions!$C$72,Assumptions!$C$71))*(1+Assumptions!$C$63)^(B$4-1)</f>
        <v>-232800</v>
      </c>
      <c r="C36" s="15" t="n">
        <f aca="false">-Assumptions!$C$6*(IF(Assumptions!$C$79=1,Assumptions!$C$72,Assumptions!$C$71))*(1+Assumptions!$C$63)^(C$4-1)</f>
        <v>-249096</v>
      </c>
      <c r="D36" s="15" t="n">
        <f aca="false">-Assumptions!$C$6*(IF(Assumptions!$C$79=1,Assumptions!$C$72,Assumptions!$C$71))*(1+Assumptions!$C$63)^(D$4-1)</f>
        <v>-266532.72</v>
      </c>
      <c r="E36" s="15" t="n">
        <f aca="false">-Assumptions!$C$6*(IF(Assumptions!$C$79=1,Assumptions!$C$72,Assumptions!$C$71))*(1+Assumptions!$C$63)^(E$4-1)</f>
        <v>-285190.0104</v>
      </c>
      <c r="F36" s="15" t="n">
        <f aca="false">-Assumptions!$C$6*(IF(Assumptions!$C$79=1,Assumptions!$C$72,Assumptions!$C$71))*(1+Assumptions!$C$63)^(F$4-1)</f>
        <v>-305153.311128</v>
      </c>
      <c r="G36" s="15" t="n">
        <f aca="false">-Assumptions!$C$6*(IF(Assumptions!$C$79=1,Assumptions!$C$72,Assumptions!$C$71))*(1+Assumptions!$C$63)^(G$4-1)</f>
        <v>-326514.04290696</v>
      </c>
      <c r="H36" s="15" t="n">
        <f aca="false">-Assumptions!$C$6*(IF(Assumptions!$C$79=1,Assumptions!$C$72,Assumptions!$C$71))*(1+Assumptions!$C$63)^(H$4-1)</f>
        <v>-349370.025910447</v>
      </c>
      <c r="I36" s="15" t="n">
        <f aca="false">-Assumptions!$C$6*(IF(Assumptions!$C$79=1,Assumptions!$C$72,Assumptions!$C$71))*(1+Assumptions!$C$63)^(I$4-1)</f>
        <v>-373825.927724179</v>
      </c>
      <c r="J36" s="15" t="n">
        <f aca="false">-Assumptions!$C$6*(IF(Assumptions!$C$79=1,Assumptions!$C$72,Assumptions!$C$71))*(1+Assumptions!$C$63)^(J$4-1)</f>
        <v>-399993.742664871</v>
      </c>
      <c r="K36" s="15" t="n">
        <f aca="false">-Assumptions!$C$6*(IF(Assumptions!$C$79=1,Assumptions!$C$72,Assumptions!$C$71))*(1+Assumptions!$C$63)^(K$4-1)</f>
        <v>-427993.304651412</v>
      </c>
    </row>
    <row r="37" customFormat="false" ht="15" hidden="false" customHeight="false" outlineLevel="0" collapsed="false">
      <c r="A37" s="0" t="s">
        <v>176</v>
      </c>
      <c r="B37" s="15" t="n">
        <f aca="false">-Assumptions!$C$20</f>
        <v>-232716.162</v>
      </c>
      <c r="C37" s="15" t="n">
        <f aca="false">B37*(1+Assumptions!$C$17)</f>
        <v>-255987.7782</v>
      </c>
      <c r="D37" s="15" t="n">
        <f aca="false">C37*(1+Assumptions!$C$17)</f>
        <v>-281586.55602</v>
      </c>
      <c r="E37" s="15" t="n">
        <f aca="false">D37*(1+Assumptions!$C$17)</f>
        <v>-309745.211622</v>
      </c>
      <c r="F37" s="15" t="n">
        <f aca="false">E37*(1+Assumptions!$C$17)</f>
        <v>-340719.7327842</v>
      </c>
      <c r="G37" s="15" t="n">
        <f aca="false">F37*(1+Assumptions!$C$17)</f>
        <v>-374791.70606262</v>
      </c>
      <c r="H37" s="15" t="n">
        <f aca="false">G37*(1+Assumptions!$C$17)</f>
        <v>-412270.876668882</v>
      </c>
      <c r="I37" s="15" t="n">
        <f aca="false">H37*(1+Assumptions!$C$17)</f>
        <v>-453497.96433577</v>
      </c>
      <c r="J37" s="15" t="n">
        <f aca="false">I37*(1+Assumptions!$C$17)</f>
        <v>-498847.760769348</v>
      </c>
      <c r="K37" s="15" t="n">
        <f aca="false">J37*(1+Assumptions!$C$17)</f>
        <v>-548732.536846282</v>
      </c>
    </row>
    <row r="38" customFormat="false" ht="15" hidden="false" customHeight="false" outlineLevel="0" collapsed="false">
      <c r="A38" s="0" t="s">
        <v>89</v>
      </c>
      <c r="B38" s="15" t="n">
        <f aca="false">-B28*Assumptions!$C$73</f>
        <v>-67845.591387</v>
      </c>
      <c r="C38" s="15" t="n">
        <f aca="false">-C28*Assumptions!$C$73</f>
        <v>-69166.56989781</v>
      </c>
      <c r="D38" s="15" t="n">
        <f aca="false">-D28*Assumptions!$C$73</f>
        <v>-70716.5378222756</v>
      </c>
      <c r="E38" s="15" t="n">
        <f aca="false">-E28*Assumptions!$C$73</f>
        <v>-72519.6232259841</v>
      </c>
      <c r="F38" s="15" t="n">
        <f aca="false">-F28*Assumptions!$C$73</f>
        <v>-74466.7317053955</v>
      </c>
      <c r="G38" s="15" t="n">
        <f aca="false">-G28*Assumptions!$C$73</f>
        <v>-76537.5359262332</v>
      </c>
      <c r="H38" s="15" t="n">
        <f aca="false">-H28*Assumptions!$C$73</f>
        <v>-78717.8798417574</v>
      </c>
      <c r="I38" s="15" t="n">
        <f aca="false">-I28*Assumptions!$C$73</f>
        <v>-80998.0991283196</v>
      </c>
      <c r="J38" s="15" t="n">
        <f aca="false">-J28*Assumptions!$C$73</f>
        <v>-83371.8040308819</v>
      </c>
      <c r="K38" s="15" t="n">
        <f aca="false">-K28*Assumptions!$C$73</f>
        <v>-85834.9974717762</v>
      </c>
    </row>
    <row r="39" customFormat="false" ht="15" hidden="false" customHeight="false" outlineLevel="0" collapsed="false">
      <c r="A39" s="0" t="s">
        <v>90</v>
      </c>
      <c r="B39" s="15" t="n">
        <f aca="false">-Assumptions!$C$6*Assumptions!$C$74*(1+Assumptions!$C$62)^(B$4-1)</f>
        <v>-24250</v>
      </c>
      <c r="C39" s="15" t="n">
        <f aca="false">-Assumptions!$C$6*Assumptions!$C$74*(1+Assumptions!$C$62)^(C$4-1)</f>
        <v>-25098.75</v>
      </c>
      <c r="D39" s="15" t="n">
        <f aca="false">-Assumptions!$C$6*Assumptions!$C$74*(1+Assumptions!$C$62)^(D$4-1)</f>
        <v>-25977.20625</v>
      </c>
      <c r="E39" s="15" t="n">
        <f aca="false">-Assumptions!$C$6*Assumptions!$C$74*(1+Assumptions!$C$62)^(E$4-1)</f>
        <v>-26886.40846875</v>
      </c>
      <c r="F39" s="15" t="n">
        <f aca="false">-Assumptions!$C$6*Assumptions!$C$74*(1+Assumptions!$C$62)^(F$4-1)</f>
        <v>-27827.4327651562</v>
      </c>
      <c r="G39" s="15" t="n">
        <f aca="false">-Assumptions!$C$6*Assumptions!$C$74*(1+Assumptions!$C$62)^(G$4-1)</f>
        <v>-28801.3929119367</v>
      </c>
      <c r="H39" s="15" t="n">
        <f aca="false">-Assumptions!$C$6*Assumptions!$C$74*(1+Assumptions!$C$62)^(H$4-1)</f>
        <v>-29809.4416638545</v>
      </c>
      <c r="I39" s="15" t="n">
        <f aca="false">-Assumptions!$C$6*Assumptions!$C$74*(1+Assumptions!$C$62)^(I$4-1)</f>
        <v>-30852.7721220894</v>
      </c>
      <c r="J39" s="15" t="n">
        <f aca="false">-Assumptions!$C$6*Assumptions!$C$74*(1+Assumptions!$C$62)^(J$4-1)</f>
        <v>-31932.6191463625</v>
      </c>
      <c r="K39" s="15" t="n">
        <f aca="false">-Assumptions!$C$6*Assumptions!$C$74*(1+Assumptions!$C$62)^(K$4-1)</f>
        <v>-33050.2608164852</v>
      </c>
    </row>
    <row r="40" customFormat="false" ht="15" hidden="false" customHeight="false" outlineLevel="0" collapsed="false">
      <c r="A40" s="0" t="s">
        <v>91</v>
      </c>
      <c r="B40" s="15" t="n">
        <f aca="false">-Assumptions!$C$6*Assumptions!$C$75*(1+Assumptions!$C$62)^(B$4-1)</f>
        <v>-14550</v>
      </c>
      <c r="C40" s="15" t="n">
        <f aca="false">-Assumptions!$C$6*Assumptions!$C$75*(1+Assumptions!$C$62)^(C$4-1)</f>
        <v>-15059.25</v>
      </c>
      <c r="D40" s="15" t="n">
        <f aca="false">-Assumptions!$C$6*Assumptions!$C$75*(1+Assumptions!$C$62)^(D$4-1)</f>
        <v>-15586.32375</v>
      </c>
      <c r="E40" s="15" t="n">
        <f aca="false">-Assumptions!$C$6*Assumptions!$C$75*(1+Assumptions!$C$62)^(E$4-1)</f>
        <v>-16131.84508125</v>
      </c>
      <c r="F40" s="15" t="n">
        <f aca="false">-Assumptions!$C$6*Assumptions!$C$75*(1+Assumptions!$C$62)^(F$4-1)</f>
        <v>-16696.4596590937</v>
      </c>
      <c r="G40" s="15" t="n">
        <f aca="false">-Assumptions!$C$6*Assumptions!$C$75*(1+Assumptions!$C$62)^(G$4-1)</f>
        <v>-17280.835747162</v>
      </c>
      <c r="H40" s="15" t="n">
        <f aca="false">-Assumptions!$C$6*Assumptions!$C$75*(1+Assumptions!$C$62)^(H$4-1)</f>
        <v>-17885.6649983127</v>
      </c>
      <c r="I40" s="15" t="n">
        <f aca="false">-Assumptions!$C$6*Assumptions!$C$75*(1+Assumptions!$C$62)^(I$4-1)</f>
        <v>-18511.6632732536</v>
      </c>
      <c r="J40" s="15" t="n">
        <f aca="false">-Assumptions!$C$6*Assumptions!$C$75*(1+Assumptions!$C$62)^(J$4-1)</f>
        <v>-19159.5714878175</v>
      </c>
      <c r="K40" s="15" t="n">
        <f aca="false">-Assumptions!$C$6*Assumptions!$C$75*(1+Assumptions!$C$62)^(K$4-1)</f>
        <v>-19830.1564898911</v>
      </c>
    </row>
    <row r="41" customFormat="false" ht="15" hidden="false" customHeight="false" outlineLevel="0" collapsed="false">
      <c r="A41" s="13" t="s">
        <v>177</v>
      </c>
      <c r="B41" s="10" t="n">
        <f aca="false">SUM(B31:B40)</f>
        <v>-940761.753387</v>
      </c>
      <c r="C41" s="10" t="n">
        <f aca="false">SUM(C31:C40)</f>
        <v>-995909.34809781</v>
      </c>
      <c r="D41" s="10" t="n">
        <f aca="false">SUM(D31:D40)</f>
        <v>-1055252.87884228</v>
      </c>
      <c r="E41" s="10" t="n">
        <f aca="false">SUM(E31:E40)</f>
        <v>-1119146.50752298</v>
      </c>
      <c r="F41" s="10" t="n">
        <f aca="false">SUM(F31:F40)</f>
        <v>-1187840.64607222</v>
      </c>
      <c r="G41" s="10" t="n">
        <f aca="false">SUM(G31:G40)</f>
        <v>-1261706.68581635</v>
      </c>
      <c r="H41" s="10" t="n">
        <f aca="false">SUM(H31:H40)</f>
        <v>-1341157.40237384</v>
      </c>
      <c r="I41" s="10" t="n">
        <f aca="false">SUM(I31:I40)</f>
        <v>-1426648.56283937</v>
      </c>
      <c r="J41" s="10" t="n">
        <f aca="false">SUM(J31:J40)</f>
        <v>-1518681.30912399</v>
      </c>
      <c r="K41" s="10" t="n">
        <f aca="false">SUM(K31:K40)</f>
        <v>-1617805.22068642</v>
      </c>
    </row>
    <row r="43" customFormat="false" ht="15" hidden="false" customHeight="false" outlineLevel="0" collapsed="false">
      <c r="A43" s="13" t="s">
        <v>178</v>
      </c>
      <c r="B43" s="10" t="n">
        <f aca="false">B28+B41</f>
        <v>997683.714813</v>
      </c>
      <c r="C43" s="10" t="n">
        <f aca="false">C28+C41</f>
        <v>980278.36326819</v>
      </c>
      <c r="D43" s="10" t="n">
        <f aca="false">D28+D41</f>
        <v>965219.6303656</v>
      </c>
      <c r="E43" s="10" t="n">
        <f aca="false">E28+E41</f>
        <v>952842.727505133</v>
      </c>
      <c r="F43" s="10" t="n">
        <f aca="false">F28+F41</f>
        <v>939780.259796221</v>
      </c>
      <c r="G43" s="10" t="n">
        <f aca="false">G28+G41</f>
        <v>925080.05493317</v>
      </c>
      <c r="H43" s="10" t="n">
        <f aca="false">H28+H41</f>
        <v>907924.878819227</v>
      </c>
      <c r="I43" s="10" t="n">
        <f aca="false">I28+I41</f>
        <v>887582.840826905</v>
      </c>
      <c r="J43" s="10" t="n">
        <f aca="false">J28+J41</f>
        <v>863370.23461549</v>
      </c>
      <c r="K43" s="10" t="n">
        <f aca="false">K28+K41</f>
        <v>834623.278507182</v>
      </c>
    </row>
    <row r="44" customFormat="false" ht="15" hidden="false" customHeight="false" outlineLevel="0" collapsed="false">
      <c r="A44" s="0" t="s">
        <v>179</v>
      </c>
      <c r="B44" s="15" t="n">
        <f aca="false">B43-B37</f>
        <v>1230399.876813</v>
      </c>
      <c r="C44" s="15" t="n">
        <f aca="false">C43-C37</f>
        <v>1236266.14146819</v>
      </c>
      <c r="D44" s="15" t="n">
        <f aca="false">D43-D37</f>
        <v>1246806.1863856</v>
      </c>
      <c r="E44" s="15" t="n">
        <f aca="false">E43-E37</f>
        <v>1262587.93912713</v>
      </c>
      <c r="F44" s="15" t="n">
        <f aca="false">F43-F37</f>
        <v>1280499.99258042</v>
      </c>
      <c r="G44" s="15" t="n">
        <f aca="false">G43-G37</f>
        <v>1299871.76099579</v>
      </c>
      <c r="H44" s="15" t="n">
        <f aca="false">H43-H37</f>
        <v>1320195.75548811</v>
      </c>
      <c r="I44" s="15" t="n">
        <f aca="false">I43-I37</f>
        <v>1341080.80516268</v>
      </c>
      <c r="J44" s="15" t="n">
        <f aca="false">J43-J37</f>
        <v>1362217.99538484</v>
      </c>
      <c r="K44" s="15" t="n">
        <f aca="false">K43-K37</f>
        <v>1383355.81535346</v>
      </c>
    </row>
    <row r="46" customFormat="false" ht="15" hidden="false" customHeight="false" outlineLevel="0" collapsed="false">
      <c r="A46" s="3" t="s">
        <v>180</v>
      </c>
      <c r="B46" s="3"/>
      <c r="C46" s="3"/>
      <c r="D46" s="3"/>
      <c r="E46" s="3"/>
      <c r="F46" s="3"/>
      <c r="G46" s="3"/>
      <c r="H46" s="3"/>
      <c r="I46" s="3"/>
      <c r="J46" s="3"/>
      <c r="K46" s="3"/>
    </row>
    <row r="47" customFormat="false" ht="15" hidden="false" customHeight="false" outlineLevel="0" collapsed="false">
      <c r="A47" s="0" t="s">
        <v>181</v>
      </c>
      <c r="B47" s="15" t="n">
        <f aca="false">-Assumptions!$C$6*Assumptions!$C$76*(1+Assumptions!$C$62)^(B$4-1)</f>
        <v>-29100</v>
      </c>
      <c r="C47" s="15" t="n">
        <f aca="false">-Assumptions!$C$6*Assumptions!$C$76*(1+Assumptions!$C$62)^(C$4-1)</f>
        <v>-30118.5</v>
      </c>
      <c r="D47" s="15" t="n">
        <f aca="false">-Assumptions!$C$6*Assumptions!$C$76*(1+Assumptions!$C$62)^(D$4-1)</f>
        <v>-31172.6475</v>
      </c>
      <c r="E47" s="15" t="n">
        <f aca="false">-Assumptions!$C$6*Assumptions!$C$76*(1+Assumptions!$C$62)^(E$4-1)</f>
        <v>-32263.6901625</v>
      </c>
      <c r="F47" s="15" t="n">
        <f aca="false">-Assumptions!$C$6*Assumptions!$C$76*(1+Assumptions!$C$62)^(F$4-1)</f>
        <v>-33392.9193181875</v>
      </c>
      <c r="G47" s="15" t="n">
        <f aca="false">-Assumptions!$C$6*Assumptions!$C$76*(1+Assumptions!$C$62)^(G$4-1)</f>
        <v>-34561.6714943241</v>
      </c>
      <c r="H47" s="15" t="n">
        <f aca="false">-Assumptions!$C$6*Assumptions!$C$76*(1+Assumptions!$C$62)^(H$4-1)</f>
        <v>-35771.3299966254</v>
      </c>
      <c r="I47" s="15" t="n">
        <f aca="false">-Assumptions!$C$6*Assumptions!$C$76*(1+Assumptions!$C$62)^(I$4-1)</f>
        <v>-37023.3265465073</v>
      </c>
      <c r="J47" s="15" t="n">
        <f aca="false">-Assumptions!$C$6*Assumptions!$C$76*(1+Assumptions!$C$62)^(J$4-1)</f>
        <v>-38319.142975635</v>
      </c>
      <c r="K47" s="15" t="n">
        <f aca="false">-Assumptions!$C$6*Assumptions!$C$76*(1+Assumptions!$C$62)^(K$4-1)</f>
        <v>-39660.3129797823</v>
      </c>
    </row>
    <row r="48" customFormat="false" ht="15" hidden="false" customHeight="false" outlineLevel="0" collapsed="false">
      <c r="A48" s="0" t="s">
        <v>182</v>
      </c>
      <c r="B48" s="15" t="n">
        <f aca="false">-IF(B$4=1,Assumptions!$C$79*Assumptions!$C$80,0)-IF(B$4=Assumptions!$C$81,Assumptions!$C$82+Assumptions!$C$83,0)</f>
        <v>-0</v>
      </c>
      <c r="C48" s="15" t="n">
        <f aca="false">-IF(C$4=1,Assumptions!$C$79*Assumptions!$C$80,0)-IF(C$4=Assumptions!$C$81,Assumptions!$C$82+Assumptions!$C$83,0)</f>
        <v>-160000</v>
      </c>
      <c r="D48" s="15" t="n">
        <f aca="false">-IF(D$4=1,Assumptions!$C$79*Assumptions!$C$80,0)-IF(D$4=Assumptions!$C$81,Assumptions!$C$82+Assumptions!$C$83,0)</f>
        <v>-0</v>
      </c>
      <c r="E48" s="15" t="n">
        <f aca="false">-IF(E$4=1,Assumptions!$C$79*Assumptions!$C$80,0)-IF(E$4=Assumptions!$C$81,Assumptions!$C$82+Assumptions!$C$83,0)</f>
        <v>-0</v>
      </c>
      <c r="F48" s="15" t="n">
        <f aca="false">-IF(F$4=1,Assumptions!$C$79*Assumptions!$C$80,0)-IF(F$4=Assumptions!$C$81,Assumptions!$C$82+Assumptions!$C$83,0)</f>
        <v>-0</v>
      </c>
      <c r="G48" s="15" t="n">
        <f aca="false">-IF(G$4=1,Assumptions!$C$79*Assumptions!$C$80,0)-IF(G$4=Assumptions!$C$81,Assumptions!$C$82+Assumptions!$C$83,0)</f>
        <v>-0</v>
      </c>
      <c r="H48" s="15" t="n">
        <f aca="false">-IF(H$4=1,Assumptions!$C$79*Assumptions!$C$80,0)-IF(H$4=Assumptions!$C$81,Assumptions!$C$82+Assumptions!$C$83,0)</f>
        <v>-0</v>
      </c>
      <c r="I48" s="15" t="n">
        <f aca="false">-IF(I$4=1,Assumptions!$C$79*Assumptions!$C$80,0)-IF(I$4=Assumptions!$C$81,Assumptions!$C$82+Assumptions!$C$83,0)</f>
        <v>-0</v>
      </c>
      <c r="J48" s="15" t="n">
        <f aca="false">-IF(J$4=1,Assumptions!$C$79*Assumptions!$C$80,0)-IF(J$4=Assumptions!$C$81,Assumptions!$C$82+Assumptions!$C$83,0)</f>
        <v>-0</v>
      </c>
      <c r="K48" s="15" t="n">
        <f aca="false">-IF(K$4=1,Assumptions!$C$79*Assumptions!$C$80,0)-IF(K$4=Assumptions!$C$81,Assumptions!$C$82+Assumptions!$C$83,0)</f>
        <v>-0</v>
      </c>
    </row>
    <row r="49" customFormat="false" ht="15" hidden="false" customHeight="false" outlineLevel="0" collapsed="false">
      <c r="A49" s="13" t="s">
        <v>183</v>
      </c>
      <c r="B49" s="10" t="n">
        <f aca="false">B43+B47+B48</f>
        <v>968583.714813</v>
      </c>
      <c r="C49" s="10" t="n">
        <f aca="false">C43+C47+C48</f>
        <v>790159.86326819</v>
      </c>
      <c r="D49" s="10" t="n">
        <f aca="false">D43+D47+D48</f>
        <v>934046.9828656</v>
      </c>
      <c r="E49" s="10" t="n">
        <f aca="false">E43+E47+E48</f>
        <v>920579.037342633</v>
      </c>
      <c r="F49" s="10" t="n">
        <f aca="false">F43+F47+F48</f>
        <v>906387.340478033</v>
      </c>
      <c r="G49" s="10" t="n">
        <f aca="false">G43+G47+G48</f>
        <v>890518.383438846</v>
      </c>
      <c r="H49" s="10" t="n">
        <f aca="false">H43+H47+H48</f>
        <v>872153.548822601</v>
      </c>
      <c r="I49" s="10" t="n">
        <f aca="false">I43+I47+I48</f>
        <v>850559.514280397</v>
      </c>
      <c r="J49" s="10" t="n">
        <f aca="false">J43+J47+J48</f>
        <v>825051.091639855</v>
      </c>
      <c r="K49" s="10" t="n">
        <f aca="false">K43+K47+K48</f>
        <v>794962.9655274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6" min="2" style="0" width="13"/>
  </cols>
  <sheetData>
    <row r="1" customFormat="false" ht="17.35" hidden="false" customHeight="false" outlineLevel="0" collapsed="false">
      <c r="A1" s="1" t="s">
        <v>184</v>
      </c>
    </row>
    <row r="4" customFormat="false" ht="15" hidden="false" customHeight="false" outlineLevel="0" collapsed="false">
      <c r="A4" s="3" t="s">
        <v>185</v>
      </c>
      <c r="B4" s="3"/>
      <c r="C4" s="3"/>
    </row>
    <row r="5" customFormat="false" ht="15" hidden="false" customHeight="false" outlineLevel="0" collapsed="false">
      <c r="A5" s="0" t="s">
        <v>186</v>
      </c>
      <c r="C5" s="15" t="n">
        <f aca="false">'Operating Model'!$B$43</f>
        <v>997683.714813</v>
      </c>
    </row>
    <row r="6" customFormat="false" ht="15" hidden="false" customHeight="false" outlineLevel="0" collapsed="false">
      <c r="A6" s="0" t="s">
        <v>187</v>
      </c>
      <c r="C6" s="15" t="n">
        <f aca="false">Assumptions!$C$7*Assumptions!$C$89</f>
        <v>8970000</v>
      </c>
    </row>
    <row r="7" customFormat="false" ht="15" hidden="false" customHeight="false" outlineLevel="0" collapsed="false">
      <c r="A7" s="0" t="s">
        <v>188</v>
      </c>
      <c r="C7" s="15" t="n">
        <f aca="false">Debt!$C$5/Assumptions!$C$91</f>
        <v>12471046.4351625</v>
      </c>
    </row>
    <row r="8" customFormat="false" ht="15" hidden="false" customHeight="false" outlineLevel="0" collapsed="false">
      <c r="A8" s="0" t="s">
        <v>189</v>
      </c>
      <c r="C8" s="15" t="n">
        <f aca="false">Debt!$C$5/(Assumptions!$C$90*Assumptions!$C$88)</f>
        <v>11241506.6457803</v>
      </c>
    </row>
    <row r="9" customFormat="false" ht="15" hidden="false" customHeight="false" outlineLevel="0" collapsed="false">
      <c r="A9" s="13" t="s">
        <v>190</v>
      </c>
      <c r="C9" s="10" t="n">
        <f aca="false">MIN(C6,C7,C8)</f>
        <v>8970000</v>
      </c>
    </row>
    <row r="10" customFormat="false" ht="15" hidden="false" customHeight="false" outlineLevel="0" collapsed="false">
      <c r="A10" s="0" t="s">
        <v>191</v>
      </c>
      <c r="C10" s="0" t="str">
        <f aca="false">IF(C9=C6,"LTV",IF(C9=C7,"Debt Yield","DSCR"))</f>
        <v>LTV</v>
      </c>
    </row>
    <row r="11" customFormat="false" ht="15" hidden="false" customHeight="false" outlineLevel="0" collapsed="false">
      <c r="A11" s="0" t="s">
        <v>192</v>
      </c>
      <c r="C11" s="17" t="n">
        <f aca="false">Debt!$C$9/Assumptions!$C$7</f>
        <v>0.65</v>
      </c>
    </row>
    <row r="12" customFormat="false" ht="15" hidden="false" customHeight="false" outlineLevel="0" collapsed="false">
      <c r="A12" s="0" t="s">
        <v>193</v>
      </c>
      <c r="C12" s="17" t="n">
        <f aca="false">Debt!$C$5/Debt!$C$9</f>
        <v>0.111224494405017</v>
      </c>
    </row>
    <row r="13" customFormat="false" ht="15" hidden="false" customHeight="false" outlineLevel="0" collapsed="false">
      <c r="A13" s="0" t="s">
        <v>194</v>
      </c>
      <c r="C13" s="18" t="n">
        <f aca="false">Debt!$C$5/(Debt!$C$9*Assumptions!$C$88)</f>
        <v>1.56654217471855</v>
      </c>
    </row>
    <row r="15" customFormat="false" ht="15" hidden="false" customHeight="false" outlineLevel="0" collapsed="false">
      <c r="A15" s="3" t="s">
        <v>195</v>
      </c>
      <c r="B15" s="3"/>
      <c r="C15" s="3"/>
      <c r="D15" s="3"/>
      <c r="E15" s="3"/>
      <c r="F15" s="3"/>
    </row>
    <row r="16" customFormat="false" ht="15" hidden="false" customHeight="false" outlineLevel="0" collapsed="false">
      <c r="A16" s="13" t="s">
        <v>148</v>
      </c>
      <c r="B16" s="13" t="s">
        <v>196</v>
      </c>
      <c r="C16" s="13" t="s">
        <v>197</v>
      </c>
      <c r="D16" s="13" t="s">
        <v>198</v>
      </c>
      <c r="E16" s="13" t="s">
        <v>199</v>
      </c>
      <c r="F16" s="13" t="s">
        <v>200</v>
      </c>
    </row>
    <row r="17" customFormat="false" ht="15" hidden="false" customHeight="false" outlineLevel="0" collapsed="false">
      <c r="A17" s="0" t="s">
        <v>201</v>
      </c>
      <c r="B17" s="15" t="n">
        <f aca="false">-PMT(Assumptions!$C$88,Assumptions!$C$93,Debt!$C$9)</f>
        <v>730135.085654623</v>
      </c>
    </row>
    <row r="18" customFormat="false" ht="15" hidden="false" customHeight="false" outlineLevel="0" collapsed="false">
      <c r="A18" s="14" t="n">
        <v>1</v>
      </c>
      <c r="B18" s="15" t="n">
        <f aca="false">Debt!$C$9</f>
        <v>8970000</v>
      </c>
      <c r="C18" s="15" t="n">
        <f aca="false">B18*Assumptions!$C$88</f>
        <v>636870</v>
      </c>
      <c r="D18" s="15" t="n">
        <v>0</v>
      </c>
      <c r="E18" s="15" t="n">
        <f aca="false">C18</f>
        <v>636870</v>
      </c>
      <c r="F18" s="15" t="n">
        <f aca="false">B18-D18</f>
        <v>8970000</v>
      </c>
    </row>
    <row r="19" customFormat="false" ht="15" hidden="false" customHeight="false" outlineLevel="0" collapsed="false">
      <c r="A19" s="14" t="n">
        <v>2</v>
      </c>
      <c r="B19" s="15" t="n">
        <f aca="false">F18</f>
        <v>8970000</v>
      </c>
      <c r="C19" s="15" t="n">
        <f aca="false">B19*Assumptions!$C$88</f>
        <v>636870</v>
      </c>
      <c r="D19" s="15" t="n">
        <v>0</v>
      </c>
      <c r="E19" s="15" t="n">
        <f aca="false">C19</f>
        <v>636870</v>
      </c>
      <c r="F19" s="15" t="n">
        <f aca="false">B19-D19</f>
        <v>8970000</v>
      </c>
    </row>
    <row r="20" customFormat="false" ht="15" hidden="false" customHeight="false" outlineLevel="0" collapsed="false">
      <c r="A20" s="14" t="n">
        <v>3</v>
      </c>
      <c r="B20" s="15" t="n">
        <f aca="false">F19</f>
        <v>8970000</v>
      </c>
      <c r="C20" s="15" t="n">
        <f aca="false">B20*Assumptions!$C$88</f>
        <v>636870</v>
      </c>
      <c r="D20" s="15" t="n">
        <f aca="false">Debt!$B$17-C20</f>
        <v>93265.0856546231</v>
      </c>
      <c r="E20" s="15" t="n">
        <f aca="false">Debt!$B$17</f>
        <v>730135.085654623</v>
      </c>
      <c r="F20" s="15" t="n">
        <f aca="false">B20-D20</f>
        <v>8876734.91434538</v>
      </c>
    </row>
    <row r="21" customFormat="false" ht="15" hidden="false" customHeight="false" outlineLevel="0" collapsed="false">
      <c r="A21" s="14" t="n">
        <v>4</v>
      </c>
      <c r="B21" s="15" t="n">
        <f aca="false">F20</f>
        <v>8876734.91434538</v>
      </c>
      <c r="C21" s="15" t="n">
        <f aca="false">B21*Assumptions!$C$88</f>
        <v>630248.178918522</v>
      </c>
      <c r="D21" s="15" t="n">
        <f aca="false">Debt!$B$17-C21</f>
        <v>99886.9067361015</v>
      </c>
      <c r="E21" s="15" t="n">
        <f aca="false">Debt!$B$17</f>
        <v>730135.085654623</v>
      </c>
      <c r="F21" s="15" t="n">
        <f aca="false">B21-D21</f>
        <v>8776848.00760927</v>
      </c>
    </row>
    <row r="22" customFormat="false" ht="15" hidden="false" customHeight="false" outlineLevel="0" collapsed="false">
      <c r="A22" s="14" t="n">
        <v>5</v>
      </c>
      <c r="B22" s="15" t="n">
        <f aca="false">F21</f>
        <v>8776848.00760927</v>
      </c>
      <c r="C22" s="15" t="n">
        <f aca="false">B22*Assumptions!$C$88</f>
        <v>623156.208540259</v>
      </c>
      <c r="D22" s="15" t="n">
        <f aca="false">Debt!$B$17-C22</f>
        <v>106978.877114365</v>
      </c>
      <c r="E22" s="15" t="n">
        <f aca="false">Debt!$B$17</f>
        <v>730135.085654623</v>
      </c>
      <c r="F22" s="15" t="n">
        <f aca="false">B22-D22</f>
        <v>8669869.13049491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3" min="2" style="0" width="15"/>
  </cols>
  <sheetData>
    <row r="1" customFormat="false" ht="17.35" hidden="false" customHeight="false" outlineLevel="0" collapsed="false">
      <c r="A1" s="1" t="s">
        <v>202</v>
      </c>
    </row>
    <row r="4" customFormat="false" ht="15" hidden="false" customHeight="false" outlineLevel="0" collapsed="false">
      <c r="A4" s="3" t="s">
        <v>203</v>
      </c>
      <c r="B4" s="3"/>
    </row>
    <row r="5" customFormat="false" ht="15" hidden="false" customHeight="false" outlineLevel="0" collapsed="false">
      <c r="A5" s="0" t="s">
        <v>204</v>
      </c>
      <c r="B5" s="15" t="n">
        <f aca="false">Assumptions!$C$7</f>
        <v>13800000</v>
      </c>
    </row>
    <row r="6" customFormat="false" ht="15" hidden="false" customHeight="false" outlineLevel="0" collapsed="false">
      <c r="A6" s="0" t="s">
        <v>205</v>
      </c>
      <c r="B6" s="15" t="n">
        <f aca="false">Assumptions!$C$11</f>
        <v>207000</v>
      </c>
    </row>
    <row r="7" customFormat="false" ht="15" hidden="false" customHeight="false" outlineLevel="0" collapsed="false">
      <c r="A7" s="0" t="s">
        <v>206</v>
      </c>
      <c r="B7" s="15" t="n">
        <f aca="false">'Unit Mix'!$D$18</f>
        <v>491040</v>
      </c>
    </row>
    <row r="8" customFormat="false" ht="15" hidden="false" customHeight="false" outlineLevel="0" collapsed="false">
      <c r="A8" s="13" t="s">
        <v>207</v>
      </c>
      <c r="B8" s="10" t="n">
        <f aca="false">SUM(B5:B7)</f>
        <v>14498040</v>
      </c>
    </row>
    <row r="10" customFormat="false" ht="15" hidden="false" customHeight="false" outlineLevel="0" collapsed="false">
      <c r="A10" s="3" t="s">
        <v>208</v>
      </c>
      <c r="B10" s="3"/>
    </row>
    <row r="11" customFormat="false" ht="15" hidden="false" customHeight="false" outlineLevel="0" collapsed="false">
      <c r="A11" s="0" t="s">
        <v>209</v>
      </c>
      <c r="B11" s="15" t="n">
        <f aca="false">Debt!$C$9</f>
        <v>8970000</v>
      </c>
    </row>
    <row r="12" customFormat="false" ht="15" hidden="false" customHeight="false" outlineLevel="0" collapsed="false">
      <c r="A12" s="0" t="s">
        <v>210</v>
      </c>
      <c r="B12" s="15" t="n">
        <f aca="false">Capital!$B$8-B11</f>
        <v>5528040</v>
      </c>
    </row>
    <row r="13" customFormat="false" ht="15" hidden="false" customHeight="false" outlineLevel="0" collapsed="false">
      <c r="A13" s="13" t="s">
        <v>211</v>
      </c>
      <c r="B13" s="10" t="n">
        <f aca="false">SUM(B11:B12)</f>
        <v>14498040</v>
      </c>
    </row>
    <row r="15" customFormat="false" ht="15" hidden="false" customHeight="false" outlineLevel="0" collapsed="false">
      <c r="A15" s="3" t="s">
        <v>212</v>
      </c>
      <c r="B15" s="3"/>
    </row>
    <row r="16" customFormat="false" ht="15" hidden="false" customHeight="false" outlineLevel="0" collapsed="false">
      <c r="A16" s="0" t="s">
        <v>213</v>
      </c>
      <c r="B16" s="15" t="n">
        <f aca="false">Capital!$B$12*(1-Assumptions!$C$108)</f>
        <v>4975236</v>
      </c>
    </row>
    <row r="17" customFormat="false" ht="15" hidden="false" customHeight="false" outlineLevel="0" collapsed="false">
      <c r="A17" s="0" t="s">
        <v>214</v>
      </c>
      <c r="B17" s="15" t="n">
        <f aca="false">Capital!$B$12*Assumptions!$C$108</f>
        <v>552804</v>
      </c>
    </row>
    <row r="19" customFormat="false" ht="15" hidden="false" customHeight="false" outlineLevel="0" collapsed="false">
      <c r="A19" s="0" t="s">
        <v>215</v>
      </c>
      <c r="B19" s="15" t="n">
        <f aca="false">Capital!$B$13-Capital!$B$8</f>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7" min="2" style="0" width="13"/>
  </cols>
  <sheetData>
    <row r="1" customFormat="false" ht="17.35" hidden="false" customHeight="false" outlineLevel="0" collapsed="false">
      <c r="A1" s="1" t="s">
        <v>216</v>
      </c>
    </row>
    <row r="4" customFormat="false" ht="15" hidden="false" customHeight="false" outlineLevel="0" collapsed="false">
      <c r="A4" s="3" t="s">
        <v>217</v>
      </c>
      <c r="B4" s="3"/>
    </row>
    <row r="5" customFormat="false" ht="15" hidden="false" customHeight="false" outlineLevel="0" collapsed="false">
      <c r="A5" s="0" t="s">
        <v>218</v>
      </c>
      <c r="B5" s="17" t="n">
        <f aca="false">'Operating Model'!$B$43/Assumptions!$C$7</f>
        <v>0.0722959213632609</v>
      </c>
    </row>
    <row r="6" customFormat="false" ht="15" hidden="false" customHeight="false" outlineLevel="0" collapsed="false">
      <c r="A6" s="0" t="s">
        <v>219</v>
      </c>
      <c r="B6" s="17" t="n">
        <f aca="false">Returns!$B$5+Assumptions!$C$97</f>
        <v>0.0772959213632609</v>
      </c>
    </row>
    <row r="7" customFormat="false" ht="15" hidden="false" customHeight="false" outlineLevel="0" collapsed="false">
      <c r="A7" s="0" t="s">
        <v>220</v>
      </c>
      <c r="B7" s="17" t="n">
        <f aca="false">Returns!$B$5+Assumptions!$C$98</f>
        <v>0.0822959213632609</v>
      </c>
    </row>
    <row r="8" customFormat="false" ht="15" hidden="false" customHeight="false" outlineLevel="0" collapsed="false">
      <c r="A8" s="0" t="s">
        <v>221</v>
      </c>
      <c r="B8" s="17" t="n">
        <f aca="false">Assumptions!$C$14*Assumptions!$C$16</f>
        <v>0.01686349</v>
      </c>
    </row>
    <row r="9" customFormat="false" ht="15" hidden="false" customHeight="false" outlineLevel="0" collapsed="false">
      <c r="A9" s="0" t="s">
        <v>222</v>
      </c>
      <c r="B9" s="15" t="n">
        <f aca="false">'Operating Model'!$G$44</f>
        <v>1299871.76099579</v>
      </c>
    </row>
    <row r="10" customFormat="false" ht="15" hidden="false" customHeight="false" outlineLevel="0" collapsed="false">
      <c r="A10" s="13" t="s">
        <v>223</v>
      </c>
      <c r="B10" s="10" t="n">
        <f aca="false">Returns!$B$9/(Returns!$B$6+Returns!$B$8)</f>
        <v>13805011.5455902</v>
      </c>
    </row>
    <row r="11" customFormat="false" ht="15" hidden="false" customHeight="false" outlineLevel="0" collapsed="false">
      <c r="A11" s="0" t="s">
        <v>224</v>
      </c>
      <c r="B11" s="15" t="n">
        <f aca="false">-Returns!$B$10*Assumptions!$C$99</f>
        <v>-276100.230911803</v>
      </c>
    </row>
    <row r="12" customFormat="false" ht="15" hidden="false" customHeight="false" outlineLevel="0" collapsed="false">
      <c r="A12" s="0" t="s">
        <v>225</v>
      </c>
      <c r="B12" s="15" t="n">
        <f aca="false">-Debt!$F$22</f>
        <v>-8669869.13049491</v>
      </c>
    </row>
    <row r="13" customFormat="false" ht="15" hidden="false" customHeight="false" outlineLevel="0" collapsed="false">
      <c r="A13" s="13" t="s">
        <v>226</v>
      </c>
      <c r="B13" s="10" t="n">
        <f aca="false">Returns!$B$10+Returns!$B$11+Returns!$B$12</f>
        <v>4859042.18418345</v>
      </c>
    </row>
    <row r="14" customFormat="false" ht="15" hidden="false" customHeight="false" outlineLevel="0" collapsed="false">
      <c r="A14" s="0" t="s">
        <v>227</v>
      </c>
      <c r="B14" s="15" t="n">
        <f aca="false">Returns!$B$10+Returns!$B$11</f>
        <v>13528911.3146784</v>
      </c>
    </row>
    <row r="16" customFormat="false" ht="15" hidden="false" customHeight="false" outlineLevel="0" collapsed="false">
      <c r="A16" s="3" t="s">
        <v>228</v>
      </c>
      <c r="B16" s="3"/>
      <c r="C16" s="3"/>
      <c r="D16" s="3"/>
      <c r="E16" s="3"/>
      <c r="F16" s="3"/>
      <c r="G16" s="3"/>
    </row>
    <row r="17" customFormat="false" ht="15" hidden="false" customHeight="false" outlineLevel="0" collapsed="false">
      <c r="A17" s="13"/>
      <c r="B17" s="13" t="s">
        <v>229</v>
      </c>
      <c r="C17" s="13" t="s">
        <v>230</v>
      </c>
      <c r="D17" s="13" t="s">
        <v>231</v>
      </c>
      <c r="E17" s="13" t="s">
        <v>232</v>
      </c>
      <c r="F17" s="13" t="s">
        <v>233</v>
      </c>
      <c r="G17" s="13" t="s">
        <v>234</v>
      </c>
    </row>
    <row r="18" customFormat="false" ht="15" hidden="false" customHeight="false" outlineLevel="0" collapsed="false">
      <c r="A18" s="0" t="s">
        <v>235</v>
      </c>
      <c r="C18" s="15" t="n">
        <f aca="false">'Operating Model'!$B$49</f>
        <v>968583.714813</v>
      </c>
      <c r="D18" s="15" t="n">
        <f aca="false">'Operating Model'!$C$49</f>
        <v>790159.86326819</v>
      </c>
      <c r="E18" s="15" t="n">
        <f aca="false">'Operating Model'!$D$49</f>
        <v>934046.9828656</v>
      </c>
      <c r="F18" s="15" t="n">
        <f aca="false">'Operating Model'!$E$49</f>
        <v>920579.037342633</v>
      </c>
      <c r="G18" s="15" t="n">
        <f aca="false">'Operating Model'!$F$49</f>
        <v>906387.340478033</v>
      </c>
    </row>
    <row r="19" customFormat="false" ht="15" hidden="false" customHeight="false" outlineLevel="0" collapsed="false">
      <c r="A19" s="0" t="s">
        <v>236</v>
      </c>
      <c r="C19" s="15" t="n">
        <v>0</v>
      </c>
      <c r="D19" s="15" t="n">
        <v>0</v>
      </c>
      <c r="E19" s="15" t="n">
        <v>0</v>
      </c>
      <c r="F19" s="15" t="n">
        <v>0</v>
      </c>
      <c r="G19" s="15" t="n">
        <f aca="false">Returns!$B$14</f>
        <v>13528911.3146784</v>
      </c>
    </row>
    <row r="20" customFormat="false" ht="15" hidden="false" customHeight="false" outlineLevel="0" collapsed="false">
      <c r="A20" s="13" t="s">
        <v>237</v>
      </c>
      <c r="B20" s="10" t="n">
        <f aca="false">-B28</f>
        <v>-14498040</v>
      </c>
      <c r="C20" s="10" t="n">
        <f aca="false">C18+C19</f>
        <v>968583.714813</v>
      </c>
      <c r="D20" s="10" t="n">
        <f aca="false">D18+D19</f>
        <v>790159.86326819</v>
      </c>
      <c r="E20" s="10" t="n">
        <f aca="false">E18+E19</f>
        <v>934046.9828656</v>
      </c>
      <c r="F20" s="10" t="n">
        <f aca="false">F18+F19</f>
        <v>920579.037342633</v>
      </c>
      <c r="G20" s="10" t="n">
        <f aca="false">G18+G19</f>
        <v>14435298.6551564</v>
      </c>
    </row>
    <row r="21" customFormat="false" ht="15" hidden="false" customHeight="false" outlineLevel="0" collapsed="false">
      <c r="A21" s="0" t="s">
        <v>238</v>
      </c>
      <c r="C21" s="15" t="n">
        <f aca="false">-Debt!$E$17</f>
        <v>-0</v>
      </c>
      <c r="D21" s="15" t="n">
        <f aca="false">-Debt!$E$18</f>
        <v>-636870</v>
      </c>
      <c r="E21" s="15" t="n">
        <f aca="false">-Debt!$E$19</f>
        <v>-636870</v>
      </c>
      <c r="F21" s="15" t="n">
        <f aca="false">-Debt!$E$20</f>
        <v>-730135.085654623</v>
      </c>
      <c r="G21" s="15" t="n">
        <f aca="false">-Debt!$E$21</f>
        <v>-730135.085654623</v>
      </c>
    </row>
    <row r="22" customFormat="false" ht="15" hidden="false" customHeight="false" outlineLevel="0" collapsed="false">
      <c r="A22" s="0" t="s">
        <v>239</v>
      </c>
      <c r="C22" s="15" t="n">
        <f aca="false">C18+C21</f>
        <v>968583.714813</v>
      </c>
      <c r="D22" s="15" t="n">
        <f aca="false">D18+D21</f>
        <v>153289.86326819</v>
      </c>
      <c r="E22" s="15" t="n">
        <f aca="false">E18+E21</f>
        <v>297176.9828656</v>
      </c>
      <c r="F22" s="15" t="n">
        <f aca="false">F18+F21</f>
        <v>190443.95168801</v>
      </c>
      <c r="G22" s="15" t="n">
        <f aca="false">G18+G21</f>
        <v>176252.25482341</v>
      </c>
    </row>
    <row r="23" customFormat="false" ht="15" hidden="false" customHeight="false" outlineLevel="0" collapsed="false">
      <c r="A23" s="0" t="s">
        <v>240</v>
      </c>
      <c r="C23" s="15" t="n">
        <v>0</v>
      </c>
      <c r="D23" s="15" t="n">
        <v>0</v>
      </c>
      <c r="E23" s="15" t="n">
        <v>0</v>
      </c>
      <c r="F23" s="15" t="n">
        <v>0</v>
      </c>
      <c r="G23" s="15" t="n">
        <f aca="false">Returns!$B$13</f>
        <v>4859042.18418345</v>
      </c>
    </row>
    <row r="24" customFormat="false" ht="15" hidden="false" customHeight="false" outlineLevel="0" collapsed="false">
      <c r="A24" s="13" t="s">
        <v>241</v>
      </c>
      <c r="B24" s="10" t="n">
        <f aca="false">-B27</f>
        <v>-5528040</v>
      </c>
      <c r="C24" s="10" t="n">
        <f aca="false">C22+C23</f>
        <v>968583.714813</v>
      </c>
      <c r="D24" s="10" t="n">
        <f aca="false">D22+D23</f>
        <v>153289.86326819</v>
      </c>
      <c r="E24" s="10" t="n">
        <f aca="false">E22+E23</f>
        <v>297176.9828656</v>
      </c>
      <c r="F24" s="10" t="n">
        <f aca="false">F22+F23</f>
        <v>190443.95168801</v>
      </c>
      <c r="G24" s="10" t="n">
        <f aca="false">G22+G23</f>
        <v>5035294.43900686</v>
      </c>
    </row>
    <row r="26" customFormat="false" ht="15" hidden="false" customHeight="false" outlineLevel="0" collapsed="false">
      <c r="A26" s="3" t="s">
        <v>242</v>
      </c>
      <c r="B26" s="3"/>
    </row>
    <row r="27" customFormat="false" ht="15" hidden="false" customHeight="false" outlineLevel="0" collapsed="false">
      <c r="A27" s="0" t="s">
        <v>243</v>
      </c>
      <c r="B27" s="15" t="n">
        <f aca="false">Capital!$B$12</f>
        <v>5528040</v>
      </c>
    </row>
    <row r="28" customFormat="false" ht="15" hidden="false" customHeight="false" outlineLevel="0" collapsed="false">
      <c r="A28" s="0" t="s">
        <v>244</v>
      </c>
      <c r="B28" s="15" t="n">
        <f aca="false">Capital!$B$8</f>
        <v>14498040</v>
      </c>
    </row>
    <row r="29" customFormat="false" ht="15" hidden="false" customHeight="false" outlineLevel="0" collapsed="false">
      <c r="A29" s="0" t="s">
        <v>245</v>
      </c>
      <c r="B29" s="17" t="n">
        <f aca="false">IFERROR(IRR(B20:G20),"N/A - no sign change / undefined")</f>
        <v>0.0502576440792279</v>
      </c>
    </row>
    <row r="30" customFormat="false" ht="15" hidden="false" customHeight="false" outlineLevel="0" collapsed="false">
      <c r="A30" s="0" t="s">
        <v>246</v>
      </c>
      <c r="B30" s="17" t="n">
        <f aca="false">IFERROR(IRR(B24:G24),"N/A - no sign change / undefined")</f>
        <v>0.0449953265622085</v>
      </c>
    </row>
    <row r="31" customFormat="false" ht="15" hidden="false" customHeight="false" outlineLevel="0" collapsed="false">
      <c r="A31" s="0" t="s">
        <v>247</v>
      </c>
      <c r="B31" s="18" t="n">
        <f aca="false">SUM(C20:G20)/B28</f>
        <v>1.24490401829805</v>
      </c>
    </row>
    <row r="32" customFormat="false" ht="15" hidden="false" customHeight="false" outlineLevel="0" collapsed="false">
      <c r="A32" s="0" t="s">
        <v>248</v>
      </c>
      <c r="B32" s="18" t="n">
        <f aca="false">SUM(C24:G24)/B27</f>
        <v>1.20201535293552</v>
      </c>
    </row>
    <row r="33" customFormat="false" ht="15" hidden="false" customHeight="false" outlineLevel="0" collapsed="false">
      <c r="A33" s="0" t="s">
        <v>249</v>
      </c>
      <c r="B33" s="15" t="n">
        <f aca="false">B27</f>
        <v>5528040</v>
      </c>
    </row>
    <row r="35" customFormat="false" ht="15" hidden="false" customHeight="false" outlineLevel="0" collapsed="false">
      <c r="A35" s="3" t="s">
        <v>250</v>
      </c>
      <c r="B35" s="3"/>
      <c r="C35" s="3"/>
      <c r="D35" s="3"/>
      <c r="E35" s="3"/>
      <c r="F35" s="3"/>
    </row>
    <row r="36" customFormat="false" ht="15" hidden="false" customHeight="false" outlineLevel="0" collapsed="false">
      <c r="C36" s="17" t="n">
        <f aca="false">C22/B27</f>
        <v>0.175212862933879</v>
      </c>
      <c r="D36" s="17" t="n">
        <f aca="false">D22/B27</f>
        <v>0.0277295141258366</v>
      </c>
      <c r="E36" s="17" t="n">
        <f aca="false">E22/B27</f>
        <v>0.0537581100834291</v>
      </c>
      <c r="F36" s="17" t="n">
        <f aca="false">F22/B27</f>
        <v>0.0344505379280921</v>
      </c>
      <c r="G36" s="17" t="n">
        <f aca="false">G22/B27</f>
        <v>0.031883317563442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7" min="2" style="0" width="13"/>
  </cols>
  <sheetData>
    <row r="1" customFormat="false" ht="17.35" hidden="false" customHeight="false" outlineLevel="0" collapsed="false">
      <c r="A1" s="1" t="s">
        <v>251</v>
      </c>
    </row>
    <row r="3" customFormat="false" ht="15" hidden="false" customHeight="false" outlineLevel="0" collapsed="false">
      <c r="A3" s="2" t="s">
        <v>252</v>
      </c>
    </row>
    <row r="5" customFormat="false" ht="15" hidden="false" customHeight="false" outlineLevel="0" collapsed="false">
      <c r="B5" s="13" t="s">
        <v>229</v>
      </c>
      <c r="C5" s="13" t="s">
        <v>230</v>
      </c>
      <c r="D5" s="13" t="s">
        <v>231</v>
      </c>
      <c r="E5" s="13" t="s">
        <v>232</v>
      </c>
      <c r="F5" s="13" t="s">
        <v>233</v>
      </c>
      <c r="G5" s="13" t="s">
        <v>234</v>
      </c>
    </row>
    <row r="6" customFormat="false" ht="15" hidden="false" customHeight="false" outlineLevel="0" collapsed="false">
      <c r="A6" s="0" t="s">
        <v>253</v>
      </c>
      <c r="B6" s="15" t="n">
        <v>0</v>
      </c>
      <c r="C6" s="15" t="n">
        <f aca="false">Returns!C$24</f>
        <v>968583.714813</v>
      </c>
      <c r="D6" s="15" t="n">
        <f aca="false">Returns!D$24</f>
        <v>153289.86326819</v>
      </c>
      <c r="E6" s="15" t="n">
        <f aca="false">Returns!E$24</f>
        <v>297176.9828656</v>
      </c>
      <c r="F6" s="15" t="n">
        <f aca="false">Returns!F$24</f>
        <v>190443.95168801</v>
      </c>
      <c r="G6" s="15" t="n">
        <f aca="false">Returns!G$24</f>
        <v>5035294.43900686</v>
      </c>
    </row>
    <row r="7" customFormat="false" ht="15" hidden="false" customHeight="false" outlineLevel="0" collapsed="false">
      <c r="A7" s="0" t="s">
        <v>254</v>
      </c>
      <c r="B7" s="15" t="n">
        <f aca="false">-Capital!$B$16</f>
        <v>-4975236</v>
      </c>
    </row>
    <row r="8" customFormat="false" ht="15" hidden="false" customHeight="false" outlineLevel="0" collapsed="false">
      <c r="B8" s="15" t="n">
        <f aca="false">-Capital!$B$17</f>
        <v>-552804</v>
      </c>
    </row>
    <row r="10" customFormat="false" ht="15" hidden="false" customHeight="false" outlineLevel="0" collapsed="false">
      <c r="A10" s="3" t="s">
        <v>255</v>
      </c>
      <c r="B10" s="3"/>
      <c r="C10" s="3"/>
      <c r="D10" s="3"/>
      <c r="E10" s="3"/>
      <c r="F10" s="3"/>
    </row>
    <row r="11" customFormat="false" ht="15" hidden="false" customHeight="false" outlineLevel="0" collapsed="false">
      <c r="A11" s="0" t="s">
        <v>256</v>
      </c>
      <c r="B11" s="15" t="n">
        <f aca="false">Capital!$B$16</f>
        <v>4975236</v>
      </c>
      <c r="C11" s="15" t="n">
        <f aca="false">B11*(1+Assumptions!$C$102)-C12</f>
        <v>4404671.165187</v>
      </c>
      <c r="D11" s="15" t="n">
        <f aca="false">C11*(1+Assumptions!$C$102)-D12</f>
        <v>4603754.99513377</v>
      </c>
      <c r="E11" s="15" t="n">
        <f aca="false">D11*(1+Assumptions!$C$102)-E12</f>
        <v>4674878.41187887</v>
      </c>
      <c r="F11" s="15" t="n">
        <f aca="false">E11*(1+Assumptions!$C$102)-F12</f>
        <v>4858424.73314117</v>
      </c>
      <c r="G11" s="15" t="n">
        <f aca="false">F11*(1+Assumptions!$C$102)-G12</f>
        <v>211804.272785605</v>
      </c>
    </row>
    <row r="12" customFormat="false" ht="15" hidden="false" customHeight="false" outlineLevel="0" collapsed="false">
      <c r="A12" s="0" t="s">
        <v>257</v>
      </c>
      <c r="C12" s="15" t="n">
        <f aca="false">MIN(C6,B11*(1+Assumptions!$C$102))</f>
        <v>968583.714813</v>
      </c>
      <c r="D12" s="15" t="n">
        <f aca="false">MIN(D6,C11*(1+Assumptions!$C$102))</f>
        <v>153289.86326819</v>
      </c>
      <c r="E12" s="15" t="n">
        <f aca="false">MIN(E6,D11*(1+Assumptions!$C$102))</f>
        <v>297176.9828656</v>
      </c>
      <c r="F12" s="15" t="n">
        <f aca="false">MIN(F6,E11*(1+Assumptions!$C$102))</f>
        <v>190443.95168801</v>
      </c>
      <c r="G12" s="15" t="n">
        <f aca="false">MIN(G6,F11*(1+Assumptions!$C$102))</f>
        <v>5035294.43900686</v>
      </c>
    </row>
    <row r="14" customFormat="false" ht="15" hidden="false" customHeight="false" outlineLevel="0" collapsed="false">
      <c r="A14" s="0" t="s">
        <v>258</v>
      </c>
      <c r="C14" s="15" t="n">
        <f aca="false">C6-C12</f>
        <v>0</v>
      </c>
      <c r="D14" s="15" t="n">
        <f aca="false">D6-D12</f>
        <v>0</v>
      </c>
      <c r="E14" s="15" t="n">
        <f aca="false">E6-E12</f>
        <v>0</v>
      </c>
      <c r="F14" s="15" t="n">
        <f aca="false">F6-F12</f>
        <v>0</v>
      </c>
      <c r="G14" s="15" t="n">
        <f aca="false">G6-G12</f>
        <v>0</v>
      </c>
    </row>
    <row r="16" customFormat="false" ht="15" hidden="false" customHeight="false" outlineLevel="0" collapsed="false">
      <c r="A16" s="3" t="s">
        <v>259</v>
      </c>
      <c r="B16" s="3"/>
      <c r="C16" s="3"/>
      <c r="D16" s="3"/>
      <c r="E16" s="3"/>
      <c r="F16" s="3"/>
    </row>
    <row r="17" customFormat="false" ht="15" hidden="false" customHeight="false" outlineLevel="0" collapsed="false">
      <c r="A17" s="0" t="s">
        <v>260</v>
      </c>
      <c r="B17" s="15" t="n">
        <f aca="false">Capital!$B$16</f>
        <v>4975236</v>
      </c>
      <c r="C17" s="15" t="n">
        <f aca="false">C18-C20</f>
        <v>4603680.605187</v>
      </c>
      <c r="D17" s="15" t="n">
        <f aca="false">D18-D20</f>
        <v>5002832.41454125</v>
      </c>
      <c r="E17" s="15" t="n">
        <f aca="false">E18-E20</f>
        <v>5305995.3214206</v>
      </c>
      <c r="F17" s="15" t="n">
        <f aca="false">F18-F20</f>
        <v>5752270.80830306</v>
      </c>
      <c r="G17" s="15" t="n">
        <f aca="false">G18-G20</f>
        <v>1407248.86629257</v>
      </c>
    </row>
    <row r="18" customFormat="false" ht="15" hidden="false" customHeight="false" outlineLevel="0" collapsed="false">
      <c r="A18" s="0" t="s">
        <v>261</v>
      </c>
      <c r="C18" s="15" t="n">
        <f aca="false">B17*(1+Assumptions!$C$105)-C12</f>
        <v>4603680.605187</v>
      </c>
      <c r="D18" s="15" t="n">
        <f aca="false">C17*(1+Assumptions!$C$105)-D12</f>
        <v>5002832.41454125</v>
      </c>
      <c r="E18" s="15" t="n">
        <f aca="false">D17*(1+Assumptions!$C$105)-E12</f>
        <v>5305995.3214206</v>
      </c>
      <c r="F18" s="15" t="n">
        <f aca="false">E17*(1+Assumptions!$C$105)-F12</f>
        <v>5752270.80830306</v>
      </c>
      <c r="G18" s="15" t="n">
        <f aca="false">F17*(1+Assumptions!$C$105)-G12</f>
        <v>1407248.86629257</v>
      </c>
    </row>
    <row r="19" customFormat="false" ht="15" hidden="false" customHeight="false" outlineLevel="0" collapsed="false">
      <c r="A19" s="0" t="s">
        <v>262</v>
      </c>
      <c r="C19" s="15" t="n">
        <f aca="false">MIN(C14,MAX(0,C18)/Assumptions!$C$103)</f>
        <v>0</v>
      </c>
      <c r="D19" s="15" t="n">
        <f aca="false">MIN(D14,MAX(0,D18)/Assumptions!$C$103)</f>
        <v>0</v>
      </c>
      <c r="E19" s="15" t="n">
        <f aca="false">MIN(E14,MAX(0,E18)/Assumptions!$C$103)</f>
        <v>0</v>
      </c>
      <c r="F19" s="15" t="n">
        <f aca="false">MIN(F14,MAX(0,F18)/Assumptions!$C$103)</f>
        <v>0</v>
      </c>
      <c r="G19" s="15" t="n">
        <f aca="false">MIN(G14,MAX(0,G18)/Assumptions!$C$103)</f>
        <v>0</v>
      </c>
    </row>
    <row r="20" customFormat="false" ht="15" hidden="false" customHeight="false" outlineLevel="0" collapsed="false">
      <c r="A20" s="0" t="s">
        <v>263</v>
      </c>
      <c r="C20" s="15" t="n">
        <f aca="false">C19*Assumptions!$C$103</f>
        <v>0</v>
      </c>
      <c r="D20" s="15" t="n">
        <f aca="false">D19*Assumptions!$C$103</f>
        <v>0</v>
      </c>
      <c r="E20" s="15" t="n">
        <f aca="false">E19*Assumptions!$C$103</f>
        <v>0</v>
      </c>
      <c r="F20" s="15" t="n">
        <f aca="false">F19*Assumptions!$C$103</f>
        <v>0</v>
      </c>
      <c r="G20" s="15" t="n">
        <f aca="false">G19*Assumptions!$C$103</f>
        <v>0</v>
      </c>
    </row>
    <row r="21" customFormat="false" ht="15" hidden="false" customHeight="false" outlineLevel="0" collapsed="false">
      <c r="A21" s="0" t="s">
        <v>264</v>
      </c>
      <c r="C21" s="15" t="n">
        <f aca="false">C19*Assumptions!$C$104</f>
        <v>0</v>
      </c>
      <c r="D21" s="15" t="n">
        <f aca="false">D19*Assumptions!$C$104</f>
        <v>0</v>
      </c>
      <c r="E21" s="15" t="n">
        <f aca="false">E19*Assumptions!$C$104</f>
        <v>0</v>
      </c>
      <c r="F21" s="15" t="n">
        <f aca="false">F19*Assumptions!$C$104</f>
        <v>0</v>
      </c>
      <c r="G21" s="15" t="n">
        <f aca="false">G19*Assumptions!$C$104</f>
        <v>0</v>
      </c>
    </row>
    <row r="22" customFormat="false" ht="15" hidden="false" customHeight="false" outlineLevel="0" collapsed="false">
      <c r="A22" s="0" t="s">
        <v>265</v>
      </c>
      <c r="C22" s="15" t="n">
        <f aca="false">C14-C19</f>
        <v>0</v>
      </c>
      <c r="D22" s="15" t="n">
        <f aca="false">D14-D19</f>
        <v>0</v>
      </c>
      <c r="E22" s="15" t="n">
        <f aca="false">E14-E19</f>
        <v>0</v>
      </c>
      <c r="F22" s="15" t="n">
        <f aca="false">F14-F19</f>
        <v>0</v>
      </c>
      <c r="G22" s="15" t="n">
        <f aca="false">G14-G19</f>
        <v>0</v>
      </c>
    </row>
    <row r="24" customFormat="false" ht="15" hidden="false" customHeight="false" outlineLevel="0" collapsed="false">
      <c r="A24" s="3" t="s">
        <v>266</v>
      </c>
      <c r="B24" s="3"/>
      <c r="C24" s="3"/>
      <c r="D24" s="3"/>
      <c r="E24" s="3"/>
      <c r="F24" s="3"/>
    </row>
    <row r="25" customFormat="false" ht="15" hidden="false" customHeight="false" outlineLevel="0" collapsed="false">
      <c r="A25" s="0" t="s">
        <v>267</v>
      </c>
      <c r="C25" s="15" t="n">
        <f aca="false">C22</f>
        <v>0</v>
      </c>
      <c r="D25" s="15" t="n">
        <f aca="false">D22</f>
        <v>0</v>
      </c>
      <c r="E25" s="15" t="n">
        <f aca="false">E22</f>
        <v>0</v>
      </c>
      <c r="F25" s="15" t="n">
        <f aca="false">F22</f>
        <v>0</v>
      </c>
      <c r="G25" s="15" t="n">
        <f aca="false">G22</f>
        <v>0</v>
      </c>
    </row>
    <row r="26" customFormat="false" ht="15" hidden="false" customHeight="false" outlineLevel="0" collapsed="false">
      <c r="A26" s="0" t="s">
        <v>268</v>
      </c>
      <c r="C26" s="15" t="n">
        <f aca="false">C25*Assumptions!$C$106</f>
        <v>0</v>
      </c>
      <c r="D26" s="15" t="n">
        <f aca="false">D25*Assumptions!$C$106</f>
        <v>0</v>
      </c>
      <c r="E26" s="15" t="n">
        <f aca="false">E25*Assumptions!$C$106</f>
        <v>0</v>
      </c>
      <c r="F26" s="15" t="n">
        <f aca="false">F25*Assumptions!$C$106</f>
        <v>0</v>
      </c>
      <c r="G26" s="15" t="n">
        <f aca="false">G25*Assumptions!$C$106</f>
        <v>0</v>
      </c>
    </row>
    <row r="27" customFormat="false" ht="15" hidden="false" customHeight="false" outlineLevel="0" collapsed="false">
      <c r="A27" s="0" t="s">
        <v>269</v>
      </c>
      <c r="C27" s="15" t="n">
        <f aca="false">C25*Assumptions!$C$107</f>
        <v>0</v>
      </c>
      <c r="D27" s="15" t="n">
        <f aca="false">D25*Assumptions!$C$107</f>
        <v>0</v>
      </c>
      <c r="E27" s="15" t="n">
        <f aca="false">E25*Assumptions!$C$107</f>
        <v>0</v>
      </c>
      <c r="F27" s="15" t="n">
        <f aca="false">F25*Assumptions!$C$107</f>
        <v>0</v>
      </c>
      <c r="G27" s="15" t="n">
        <f aca="false">G25*Assumptions!$C$107</f>
        <v>0</v>
      </c>
    </row>
    <row r="29" customFormat="false" ht="15" hidden="false" customHeight="false" outlineLevel="0" collapsed="false">
      <c r="A29" s="3" t="s">
        <v>270</v>
      </c>
      <c r="B29" s="3"/>
      <c r="C29" s="3"/>
      <c r="D29" s="3"/>
      <c r="E29" s="3"/>
      <c r="F29" s="3"/>
    </row>
    <row r="30" customFormat="false" ht="15" hidden="false" customHeight="false" outlineLevel="0" collapsed="false">
      <c r="A30" s="13" t="s">
        <v>271</v>
      </c>
      <c r="B30" s="15" t="n">
        <f aca="false">-Capital!$B$16</f>
        <v>-4975236</v>
      </c>
      <c r="C30" s="10" t="n">
        <f aca="false">C12+C20+C26</f>
        <v>968583.714813</v>
      </c>
      <c r="D30" s="10" t="n">
        <f aca="false">D12+D20+D26</f>
        <v>153289.86326819</v>
      </c>
      <c r="E30" s="10" t="n">
        <f aca="false">E12+E20+E26</f>
        <v>297176.9828656</v>
      </c>
      <c r="F30" s="10" t="n">
        <f aca="false">F12+F20+F26</f>
        <v>190443.95168801</v>
      </c>
      <c r="G30" s="10" t="n">
        <f aca="false">G12+G20+G26</f>
        <v>5035294.43900686</v>
      </c>
    </row>
    <row r="31" customFormat="false" ht="15" hidden="false" customHeight="false" outlineLevel="0" collapsed="false">
      <c r="A31" s="13" t="s">
        <v>272</v>
      </c>
      <c r="B31" s="15" t="n">
        <f aca="false">-Capital!$B$17</f>
        <v>-552804</v>
      </c>
      <c r="C31" s="10" t="n">
        <f aca="false">C21+C27</f>
        <v>0</v>
      </c>
      <c r="D31" s="10" t="n">
        <f aca="false">D21+D27</f>
        <v>0</v>
      </c>
      <c r="E31" s="10" t="n">
        <f aca="false">E21+E27</f>
        <v>0</v>
      </c>
      <c r="F31" s="10" t="n">
        <f aca="false">F21+F27</f>
        <v>0</v>
      </c>
      <c r="G31" s="10" t="n">
        <f aca="false">G21+G27</f>
        <v>0</v>
      </c>
    </row>
    <row r="33" customFormat="false" ht="15" hidden="false" customHeight="false" outlineLevel="0" collapsed="false">
      <c r="A33" s="3" t="s">
        <v>273</v>
      </c>
      <c r="B33" s="3"/>
      <c r="C33" s="3"/>
      <c r="D33" s="3"/>
      <c r="E33" s="3"/>
      <c r="F33" s="3"/>
    </row>
    <row r="34" customFormat="false" ht="15" hidden="false" customHeight="false" outlineLevel="0" collapsed="false">
      <c r="C34" s="15" t="n">
        <f aca="false">C30+C31-C6</f>
        <v>0</v>
      </c>
      <c r="D34" s="15" t="n">
        <f aca="false">D30+D31-D6</f>
        <v>0</v>
      </c>
      <c r="E34" s="15" t="n">
        <f aca="false">E30+E31-E6</f>
        <v>0</v>
      </c>
      <c r="F34" s="15" t="n">
        <f aca="false">F30+F31-F6</f>
        <v>0</v>
      </c>
      <c r="G34" s="15" t="n">
        <f aca="false">G30+G31-G6</f>
        <v>0</v>
      </c>
    </row>
    <row r="36" customFormat="false" ht="15" hidden="false" customHeight="false" outlineLevel="0" collapsed="false">
      <c r="A36" s="3" t="s">
        <v>274</v>
      </c>
      <c r="B36" s="3"/>
    </row>
    <row r="37" customFormat="false" ht="15" hidden="false" customHeight="false" outlineLevel="0" collapsed="false">
      <c r="A37" s="0" t="s">
        <v>275</v>
      </c>
      <c r="B37" s="17" t="n">
        <f aca="false">IFERROR(IRR(B30:G30),"N/A - no sign change / undefined")</f>
        <v>0.0722039531254494</v>
      </c>
    </row>
    <row r="38" customFormat="false" ht="15" hidden="false" customHeight="false" outlineLevel="0" collapsed="false">
      <c r="A38" s="0" t="s">
        <v>276</v>
      </c>
      <c r="B38" s="17" t="str">
        <f aca="false">IFERROR(IRR(B31:G31),"N/A - GP receives $0 in this scenario, IRR undefined")</f>
        <v>N/A - GP receives $0 in this scenario, IRR undefined</v>
      </c>
    </row>
    <row r="39" customFormat="false" ht="15" hidden="false" customHeight="false" outlineLevel="0" collapsed="false">
      <c r="A39" s="0" t="s">
        <v>277</v>
      </c>
      <c r="B39" s="18" t="n">
        <f aca="false">SUM(C30:G30)/Capital!$B$16</f>
        <v>1.3355726143728</v>
      </c>
    </row>
    <row r="40" customFormat="false" ht="15" hidden="false" customHeight="false" outlineLevel="0" collapsed="false">
      <c r="A40" s="0" t="s">
        <v>278</v>
      </c>
      <c r="B40" s="18" t="n">
        <f aca="false">SUM(C31:G31)/Capital!$B$17</f>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3"/>
  </cols>
  <sheetData>
    <row r="1" customFormat="false" ht="17.35" hidden="false" customHeight="false" outlineLevel="0" collapsed="false">
      <c r="A1" s="1" t="s">
        <v>279</v>
      </c>
    </row>
    <row r="3" customFormat="false" ht="15" hidden="false" customHeight="false" outlineLevel="0" collapsed="false">
      <c r="A3" s="2" t="s">
        <v>280</v>
      </c>
    </row>
    <row r="5" customFormat="false" ht="15" hidden="false" customHeight="false" outlineLevel="0" collapsed="false">
      <c r="A5" s="3" t="s">
        <v>281</v>
      </c>
      <c r="B5" s="3"/>
      <c r="C5" s="3"/>
      <c r="D5" s="3"/>
      <c r="E5" s="3"/>
      <c r="F5" s="3"/>
    </row>
    <row r="6" customFormat="false" ht="15" hidden="false" customHeight="false" outlineLevel="0" collapsed="false">
      <c r="A6" s="13" t="s">
        <v>282</v>
      </c>
      <c r="B6" s="11" t="n">
        <v>0.015</v>
      </c>
      <c r="C6" s="11" t="n">
        <v>0.02</v>
      </c>
      <c r="D6" s="11" t="n">
        <v>0.025</v>
      </c>
      <c r="E6" s="11" t="n">
        <v>0.03</v>
      </c>
      <c r="F6" s="11" t="n">
        <v>0.035</v>
      </c>
    </row>
    <row r="7" customFormat="false" ht="15" hidden="false" customHeight="false" outlineLevel="0" collapsed="false">
      <c r="A7" s="0" t="s">
        <v>283</v>
      </c>
      <c r="B7" s="17" t="n">
        <f aca="false">Sensitivity!$H$53</f>
        <v>-0.0197198671059349</v>
      </c>
      <c r="C7" s="17" t="n">
        <f aca="false">Sensitivity!$H$54</f>
        <v>-0.000696714812338385</v>
      </c>
      <c r="D7" s="17" t="n">
        <f aca="false">Sensitivity!$H$55</f>
        <v>0.0174187347421765</v>
      </c>
      <c r="E7" s="17" t="n">
        <f aca="false">Sensitivity!$H$56</f>
        <v>0.0347490274956995</v>
      </c>
      <c r="F7" s="17" t="n">
        <f aca="false">Sensitivity!$H$57</f>
        <v>0.0513932928613504</v>
      </c>
    </row>
    <row r="8" customFormat="false" ht="15" hidden="false" customHeight="false" outlineLevel="0" collapsed="false">
      <c r="A8" s="0" t="s">
        <v>284</v>
      </c>
      <c r="B8" s="17" t="n">
        <f aca="false">Sensitivity!$H$58</f>
        <v>-0.0350696976937667</v>
      </c>
      <c r="C8" s="17" t="n">
        <f aca="false">Sensitivity!$H$59</f>
        <v>-0.0152798550536839</v>
      </c>
      <c r="D8" s="17" t="n">
        <f aca="false">Sensitivity!$H$60</f>
        <v>0.00348745372831581</v>
      </c>
      <c r="E8" s="17" t="n">
        <f aca="false">Sensitivity!$H$61</f>
        <v>0.0213782394650258</v>
      </c>
      <c r="F8" s="17" t="n">
        <f aca="false">Sensitivity!$H$62</f>
        <v>0.0385090401930304</v>
      </c>
    </row>
    <row r="9" customFormat="false" ht="15" hidden="false" customHeight="false" outlineLevel="0" collapsed="false">
      <c r="A9" s="0" t="s">
        <v>285</v>
      </c>
      <c r="B9" s="17" t="n">
        <f aca="false">Sensitivity!$H$63</f>
        <v>-0.0506472089709254</v>
      </c>
      <c r="C9" s="17" t="n">
        <f aca="false">Sensitivity!$H$64</f>
        <v>-0.0300051925049298</v>
      </c>
      <c r="D9" s="17" t="n">
        <f aca="false">Sensitivity!$H$65</f>
        <v>-0.0105206468342431</v>
      </c>
      <c r="E9" s="17" t="n">
        <f aca="false">Sensitivity!$H$66</f>
        <v>0.00798165321924666</v>
      </c>
      <c r="F9" s="17" t="n">
        <f aca="false">Sensitivity!$H$67</f>
        <v>0.0256395011673999</v>
      </c>
    </row>
    <row r="10" customFormat="false" ht="15" hidden="false" customHeight="false" outlineLevel="0" collapsed="false">
      <c r="A10" s="0" t="s">
        <v>286</v>
      </c>
      <c r="B10" s="17" t="n">
        <f aca="false">Sensitivity!$H$68</f>
        <v>-0.0665195597307484</v>
      </c>
      <c r="C10" s="17" t="n">
        <f aca="false">Sensitivity!$H$69</f>
        <v>-0.0449244972409497</v>
      </c>
      <c r="D10" s="17" t="n">
        <f aca="false">Sensitivity!$H$70</f>
        <v>-0.0246469478669002</v>
      </c>
      <c r="E10" s="17" t="n">
        <f aca="false">Sensitivity!$H$71</f>
        <v>-0.0054748983935268</v>
      </c>
      <c r="F10" s="17" t="n">
        <f aca="false">Sensitivity!$H$72</f>
        <v>0.0127556358773992</v>
      </c>
    </row>
    <row r="11" customFormat="false" ht="15" hidden="false" customHeight="false" outlineLevel="0" collapsed="false">
      <c r="A11" s="0" t="s">
        <v>287</v>
      </c>
      <c r="B11" s="17" t="n">
        <f aca="false">Sensitivity!$H$73</f>
        <v>-0.0827641713636604</v>
      </c>
      <c r="C11" s="17" t="n">
        <f aca="false">Sensitivity!$H$74</f>
        <v>-0.0600956590375049</v>
      </c>
      <c r="D11" s="17" t="n">
        <f aca="false">Sensitivity!$H$75</f>
        <v>-0.0389364830139916</v>
      </c>
      <c r="E11" s="17" t="n">
        <f aca="false">Sensitivity!$H$76</f>
        <v>-0.0190277064840361</v>
      </c>
      <c r="F11" s="17" t="n">
        <f aca="false">Sensitivity!$H$77</f>
        <v>-0.000172739947186342</v>
      </c>
    </row>
    <row r="12" customFormat="false" ht="15" hidden="false" customHeight="false" outlineLevel="0" collapsed="false">
      <c r="A12" s="2" t="s">
        <v>288</v>
      </c>
    </row>
    <row r="13" customFormat="false" ht="15" hidden="false" customHeight="false" outlineLevel="0" collapsed="false">
      <c r="A13" s="0" t="s">
        <v>283</v>
      </c>
      <c r="B13" s="18" t="n">
        <f aca="false">Sensitivity!$I$53</f>
        <v>0.917905724897623</v>
      </c>
      <c r="C13" s="18" t="n">
        <f aca="false">Sensitivity!$I$54</f>
        <v>0.996991479063945</v>
      </c>
      <c r="D13" s="18" t="n">
        <f aca="false">Sensitivity!$I$55</f>
        <v>1.07787643491636</v>
      </c>
      <c r="E13" s="18" t="n">
        <f aca="false">Sensitivity!$I$56</f>
        <v>1.16059450704074</v>
      </c>
      <c r="F13" s="18" t="n">
        <f aca="false">Sensitivity!$I$57</f>
        <v>1.24518009554101</v>
      </c>
    </row>
    <row r="14" customFormat="false" ht="15" hidden="false" customHeight="false" outlineLevel="0" collapsed="false">
      <c r="A14" s="0" t="s">
        <v>284</v>
      </c>
      <c r="B14" s="18" t="n">
        <f aca="false">Sensitivity!$I$58</f>
        <v>0.858744141647398</v>
      </c>
      <c r="C14" s="18" t="n">
        <f aca="false">Sensitivity!$I$59</f>
        <v>0.936059600915709</v>
      </c>
      <c r="D14" s="18" t="n">
        <f aca="false">Sensitivity!$I$60</f>
        <v>1.01513033645035</v>
      </c>
      <c r="E14" s="18" t="n">
        <f aca="false">Sensitivity!$I$61</f>
        <v>1.09598939521125</v>
      </c>
      <c r="F14" s="18" t="n">
        <f aca="false">Sensitivity!$I$62</f>
        <v>1.17867029688617</v>
      </c>
    </row>
    <row r="15" customFormat="false" ht="15" hidden="false" customHeight="false" outlineLevel="0" collapsed="false">
      <c r="A15" s="0" t="s">
        <v>285</v>
      </c>
      <c r="B15" s="18" t="n">
        <f aca="false">Sensitivity!$I$63</f>
        <v>0.802724123451248</v>
      </c>
      <c r="C15" s="18" t="n">
        <f aca="false">Sensitivity!$I$64</f>
        <v>0.878363293023598</v>
      </c>
      <c r="D15" s="18" t="n">
        <f aca="false">Sensitivity!$I$65</f>
        <v>0.955716145945404</v>
      </c>
      <c r="E15" s="18" t="n">
        <f aca="false">Sensitivity!$I$66</f>
        <v>1.03481490762282</v>
      </c>
      <c r="F15" s="18" t="n">
        <f aca="false">Sensitivity!$I$67</f>
        <v>1.11569226407884</v>
      </c>
    </row>
    <row r="16" customFormat="false" ht="15" hidden="false" customHeight="false" outlineLevel="0" collapsed="false">
      <c r="A16" s="0" t="s">
        <v>286</v>
      </c>
      <c r="B16" s="18" t="n">
        <f aca="false">Sensitivity!$I$68</f>
        <v>0.749601909897505</v>
      </c>
      <c r="C16" s="18" t="n">
        <f aca="false">Sensitivity!$I$69</f>
        <v>0.823651500921433</v>
      </c>
      <c r="D16" s="18" t="n">
        <f aca="false">Sensitivity!$I$70</f>
        <v>0.899375333897193</v>
      </c>
      <c r="E16" s="18" t="n">
        <f aca="false">Sensitivity!$I$71</f>
        <v>0.976804855174519</v>
      </c>
      <c r="F16" s="18" t="n">
        <f aca="false">Sensitivity!$I$72</f>
        <v>1.05597196023546</v>
      </c>
    </row>
    <row r="17" customFormat="false" ht="15" hidden="false" customHeight="false" outlineLevel="0" collapsed="false">
      <c r="A17" s="0" t="s">
        <v>287</v>
      </c>
      <c r="B17" s="18" t="n">
        <f aca="false">Sensitivity!$I$73</f>
        <v>0.699158323254884</v>
      </c>
      <c r="C17" s="18" t="n">
        <f aca="false">Sensitivity!$I$74</f>
        <v>0.771698488412147</v>
      </c>
      <c r="D17" s="18" t="n">
        <f aca="false">Sensitivity!$I$75</f>
        <v>0.845875442911018</v>
      </c>
      <c r="E17" s="18" t="n">
        <f aca="false">Sensitivity!$I$76</f>
        <v>0.921719893327847</v>
      </c>
      <c r="F17" s="18" t="n">
        <f aca="false">Sensitivity!$I$77</f>
        <v>0.999262984465858</v>
      </c>
    </row>
    <row r="20" customFormat="false" ht="15" hidden="false" customHeight="false" outlineLevel="0" collapsed="false">
      <c r="A20" s="3" t="s">
        <v>289</v>
      </c>
      <c r="B20" s="3"/>
      <c r="C20" s="3"/>
      <c r="D20" s="3"/>
      <c r="E20" s="3"/>
      <c r="F20" s="3"/>
    </row>
    <row r="21" customFormat="false" ht="15" hidden="false" customHeight="false" outlineLevel="0" collapsed="false">
      <c r="A21" s="13" t="s">
        <v>290</v>
      </c>
      <c r="B21" s="13" t="s">
        <v>283</v>
      </c>
      <c r="C21" s="13" t="s">
        <v>284</v>
      </c>
      <c r="D21" s="13" t="s">
        <v>285</v>
      </c>
      <c r="E21" s="13" t="s">
        <v>286</v>
      </c>
      <c r="F21" s="13" t="s">
        <v>287</v>
      </c>
    </row>
    <row r="22" customFormat="false" ht="15" hidden="false" customHeight="false" outlineLevel="0" collapsed="false">
      <c r="A22" s="0" t="s">
        <v>291</v>
      </c>
      <c r="B22" s="17" t="n">
        <f aca="false">Sensitivity!$H$78</f>
        <v>0.0513326587933374</v>
      </c>
      <c r="C22" s="17" t="n">
        <f aca="false">Sensitivity!$H$79</f>
        <v>0.0398329239731552</v>
      </c>
      <c r="D22" s="17" t="n">
        <f aca="false">Sensitivity!$H$80</f>
        <v>0.0283409460962099</v>
      </c>
      <c r="E22" s="17" t="n">
        <f aca="false">Sensitivity!$H$81</f>
        <v>0.0168351012405579</v>
      </c>
      <c r="F22" s="17" t="n">
        <f aca="false">Sensitivity!$H$82</f>
        <v>0.00529294230182804</v>
      </c>
    </row>
    <row r="23" customFormat="false" ht="15" hidden="false" customHeight="false" outlineLevel="0" collapsed="false">
      <c r="A23" s="0" t="s">
        <v>292</v>
      </c>
      <c r="B23" s="17" t="n">
        <f aca="false">Sensitivity!$H$83</f>
        <v>0.0323139233398894</v>
      </c>
      <c r="C23" s="17" t="n">
        <f aca="false">Sensitivity!$H$84</f>
        <v>0.0195971440861583</v>
      </c>
      <c r="D23" s="17" t="n">
        <f aca="false">Sensitivity!$H$85</f>
        <v>0.00685045233328115</v>
      </c>
      <c r="E23" s="17" t="n">
        <f aca="false">Sensitivity!$H$86</f>
        <v>-0.0059563132883712</v>
      </c>
      <c r="F23" s="17" t="n">
        <f aca="false">Sensitivity!$H$87</f>
        <v>-0.0188552039694911</v>
      </c>
    </row>
    <row r="24" customFormat="false" ht="15" hidden="false" customHeight="false" outlineLevel="0" collapsed="false">
      <c r="A24" s="0" t="s">
        <v>293</v>
      </c>
      <c r="B24" s="17" t="n">
        <f aca="false">Sensitivity!$H$88</f>
        <v>0.0140435461099893</v>
      </c>
      <c r="C24" s="17" t="n">
        <f aca="false">Sensitivity!$H$89</f>
        <v>3.12004312866405E-005</v>
      </c>
      <c r="D24" s="17" t="n">
        <f aca="false">Sensitivity!$H$90</f>
        <v>-0.0140635018559876</v>
      </c>
      <c r="E24" s="17" t="n">
        <f aca="false">Sensitivity!$H$91</f>
        <v>-0.0282827608031383</v>
      </c>
      <c r="F24" s="17" t="n">
        <f aca="false">Sensitivity!$H$92</f>
        <v>-0.0426726006677387</v>
      </c>
    </row>
    <row r="25" customFormat="false" ht="15" hidden="false" customHeight="false" outlineLevel="0" collapsed="false">
      <c r="A25" s="0" t="s">
        <v>294</v>
      </c>
      <c r="B25" s="17" t="n">
        <f aca="false">Sensitivity!$H$93</f>
        <v>-0.00363942093402338</v>
      </c>
      <c r="C25" s="17" t="n">
        <f aca="false">Sensitivity!$H$94</f>
        <v>-0.019035295064772</v>
      </c>
      <c r="D25" s="17" t="n">
        <f aca="false">Sensitivity!$H$95</f>
        <v>-0.034584761370627</v>
      </c>
      <c r="E25" s="17" t="n">
        <f aca="false">Sensitivity!$H$96</f>
        <v>-0.0503470669631719</v>
      </c>
      <c r="F25" s="17" t="n">
        <f aca="false">Sensitivity!$H$97</f>
        <v>-0.0663887020694382</v>
      </c>
    </row>
    <row r="26" customFormat="false" ht="15" hidden="false" customHeight="false" outlineLevel="0" collapsed="false">
      <c r="A26" s="0" t="s">
        <v>295</v>
      </c>
      <c r="B26" s="17" t="n">
        <f aca="false">Sensitivity!$H$98</f>
        <v>-0.0208748819342042</v>
      </c>
      <c r="C26" s="17" t="n">
        <f aca="false">Sensitivity!$H$99</f>
        <v>-0.0377537171102106</v>
      </c>
      <c r="D26" s="17" t="n">
        <f aca="false">Sensitivity!$H$100</f>
        <v>-0.0548813739420978</v>
      </c>
      <c r="E26" s="17" t="n">
        <f aca="false">Sensitivity!$H$101</f>
        <v>-0.0723413678414331</v>
      </c>
      <c r="F26" s="17" t="n">
        <f aca="false">Sensitivity!$H$102</f>
        <v>-0.0902304161369946</v>
      </c>
    </row>
    <row r="27" customFormat="false" ht="15" hidden="false" customHeight="false" outlineLevel="0" collapsed="false">
      <c r="A27" s="2" t="s">
        <v>288</v>
      </c>
    </row>
    <row r="28" customFormat="false" ht="15" hidden="false" customHeight="false" outlineLevel="0" collapsed="false">
      <c r="A28" s="0" t="s">
        <v>291</v>
      </c>
      <c r="B28" s="18" t="n">
        <f aca="false">Sensitivity!$I$78</f>
        <v>1.23560283764524</v>
      </c>
      <c r="C28" s="18" t="n">
        <f aca="false">Sensitivity!$I$79</f>
        <v>1.17824314145235</v>
      </c>
      <c r="D28" s="18" t="n">
        <f aca="false">Sensitivity!$I$80</f>
        <v>1.12363937367189</v>
      </c>
      <c r="E28" s="18" t="n">
        <f aca="false">Sensitivity!$I$81</f>
        <v>1.07159757506129</v>
      </c>
      <c r="F28" s="18" t="n">
        <f aca="false">Sensitivity!$I$82</f>
        <v>1.02194157003375</v>
      </c>
    </row>
    <row r="29" customFormat="false" ht="15" hidden="false" customHeight="false" outlineLevel="0" collapsed="false">
      <c r="A29" s="0" t="s">
        <v>292</v>
      </c>
      <c r="B29" s="18" t="n">
        <f aca="false">Sensitivity!$I$83</f>
        <v>1.14651310785224</v>
      </c>
      <c r="C29" s="18" t="n">
        <f aca="false">Sensitivity!$I$84</f>
        <v>1.08642948932094</v>
      </c>
      <c r="D29" s="18" t="n">
        <f aca="false">Sensitivity!$I$85</f>
        <v>1.02938493986569</v>
      </c>
      <c r="E29" s="18" t="n">
        <f aca="false">Sensitivity!$I$86</f>
        <v>0.975154569840683</v>
      </c>
      <c r="F29" s="18" t="n">
        <f aca="false">Sensitivity!$I$87</f>
        <v>0.923535144418525</v>
      </c>
    </row>
    <row r="30" customFormat="false" ht="15" hidden="false" customHeight="false" outlineLevel="0" collapsed="false">
      <c r="A30" s="0" t="s">
        <v>293</v>
      </c>
      <c r="B30" s="18" t="n">
        <f aca="false">Sensitivity!$I$88</f>
        <v>1.06285892074421</v>
      </c>
      <c r="C30" s="18" t="n">
        <f aca="false">Sensitivity!$I$89</f>
        <v>1.00013551120101</v>
      </c>
      <c r="D30" s="18" t="n">
        <f aca="false">Sensitivity!$I$90</f>
        <v>0.940742804804476</v>
      </c>
      <c r="E30" s="18" t="n">
        <f aca="false">Sensitivity!$I$91</f>
        <v>0.884422365534283</v>
      </c>
      <c r="F30" s="18" t="n">
        <f aca="false">Sensitivity!$I$92</f>
        <v>0.830941820052078</v>
      </c>
    </row>
    <row r="31" customFormat="false" ht="15" hidden="false" customHeight="false" outlineLevel="0" collapsed="false">
      <c r="A31" s="0" t="s">
        <v>294</v>
      </c>
      <c r="B31" s="18" t="n">
        <f aca="false">Sensitivity!$I$93</f>
        <v>0.983929739567733</v>
      </c>
      <c r="C31" s="18" t="n">
        <f aca="false">Sensitivity!$I$94</f>
        <v>0.918650794314117</v>
      </c>
      <c r="D31" s="18" t="n">
        <f aca="false">Sensitivity!$I$95</f>
        <v>0.857001936968397</v>
      </c>
      <c r="E31" s="18" t="n">
        <f aca="false">Sensitivity!$I$96</f>
        <v>0.798688561298899</v>
      </c>
      <c r="F31" s="18" t="n">
        <f aca="false">Sensitivity!$I$97</f>
        <v>0.743447100444841</v>
      </c>
    </row>
    <row r="32" customFormat="false" ht="15" hidden="false" customHeight="false" outlineLevel="0" collapsed="false">
      <c r="A32" s="0" t="s">
        <v>295</v>
      </c>
      <c r="B32" s="18" t="n">
        <f aca="false">Sensitivity!$I$98</f>
        <v>0.909133698918872</v>
      </c>
      <c r="C32" s="18" t="n">
        <f aca="false">Sensitivity!$I$99</f>
        <v>0.841383518548304</v>
      </c>
      <c r="D32" s="18" t="n">
        <f aca="false">Sensitivity!$I$100</f>
        <v>0.777569829929285</v>
      </c>
      <c r="E32" s="18" t="n">
        <f aca="false">Sensitivity!$I$101</f>
        <v>0.71735923553384</v>
      </c>
      <c r="F32" s="18" t="n">
        <f aca="false">Sensitivity!$I$102</f>
        <v>0.660454953193025</v>
      </c>
    </row>
    <row r="35" customFormat="false" ht="15" hidden="false" customHeight="false" outlineLevel="0" collapsed="false">
      <c r="A35" s="3" t="s">
        <v>296</v>
      </c>
      <c r="B35" s="3"/>
      <c r="C35" s="3"/>
      <c r="D35" s="3"/>
      <c r="E35" s="3"/>
      <c r="F35" s="3"/>
    </row>
    <row r="36" customFormat="false" ht="15" hidden="false" customHeight="false" outlineLevel="0" collapsed="false">
      <c r="A36" s="13" t="s">
        <v>297</v>
      </c>
      <c r="B36" s="13" t="s">
        <v>298</v>
      </c>
      <c r="C36" s="13" t="s">
        <v>291</v>
      </c>
      <c r="D36" s="13" t="s">
        <v>299</v>
      </c>
      <c r="E36" s="13" t="s">
        <v>295</v>
      </c>
      <c r="F36" s="13" t="s">
        <v>300</v>
      </c>
    </row>
    <row r="37" customFormat="false" ht="15" hidden="false" customHeight="false" outlineLevel="0" collapsed="false">
      <c r="A37" s="0" t="s">
        <v>301</v>
      </c>
      <c r="B37" s="17" t="n">
        <f aca="false">Sensitivity!$H$103</f>
        <v>-0.129529338432886</v>
      </c>
      <c r="C37" s="17" t="n">
        <f aca="false">Sensitivity!$H$104</f>
        <v>-0.131367253706609</v>
      </c>
      <c r="D37" s="17" t="n">
        <f aca="false">Sensitivity!$H$105</f>
        <v>-0.13318343348128</v>
      </c>
      <c r="E37" s="17" t="n">
        <f aca="false">Sensitivity!$H$106</f>
        <v>-0.13497833608039</v>
      </c>
      <c r="F37" s="17" t="n">
        <f aca="false">Sensitivity!$H$107</f>
        <v>-0.136752406039614</v>
      </c>
    </row>
    <row r="38" customFormat="false" ht="15" hidden="false" customHeight="false" outlineLevel="0" collapsed="false">
      <c r="A38" s="0" t="s">
        <v>302</v>
      </c>
      <c r="B38" s="17" t="n">
        <f aca="false">Sensitivity!$H$108</f>
        <v>-0.112790008081192</v>
      </c>
      <c r="C38" s="17" t="n">
        <f aca="false">Sensitivity!$H$109</f>
        <v>-0.114664077662226</v>
      </c>
      <c r="D38" s="17" t="n">
        <f aca="false">Sensitivity!$H$110</f>
        <v>-0.116515979431841</v>
      </c>
      <c r="E38" s="17" t="n">
        <f aca="false">Sensitivity!$H$111</f>
        <v>-0.118346180892634</v>
      </c>
      <c r="F38" s="17" t="n">
        <f aca="false">Sensitivity!$H$112</f>
        <v>-0.12015513548199</v>
      </c>
    </row>
    <row r="39" customFormat="false" ht="15" hidden="false" customHeight="false" outlineLevel="0" collapsed="false">
      <c r="A39" s="0" t="s">
        <v>303</v>
      </c>
      <c r="B39" s="17" t="n">
        <f aca="false">Sensitivity!$H$113</f>
        <v>-0.0971144954430443</v>
      </c>
      <c r="C39" s="17" t="n">
        <f aca="false">Sensitivity!$H$114</f>
        <v>-0.0990228799637324</v>
      </c>
      <c r="D39" s="17" t="n">
        <f aca="false">Sensitivity!$H$115</f>
        <v>-0.100908683338398</v>
      </c>
      <c r="E39" s="17" t="n">
        <f aca="false">Sensitivity!$H$116</f>
        <v>-0.102772381894187</v>
      </c>
      <c r="F39" s="17" t="n">
        <f aca="false">Sensitivity!$H$117</f>
        <v>-0.104614437625108</v>
      </c>
    </row>
    <row r="40" customFormat="false" ht="15" hidden="false" customHeight="false" outlineLevel="0" collapsed="false">
      <c r="A40" s="0" t="s">
        <v>304</v>
      </c>
      <c r="B40" s="17" t="n">
        <f aca="false">Sensitivity!$H$118</f>
        <v>-0.0823536615596951</v>
      </c>
      <c r="C40" s="17" t="n">
        <f aca="false">Sensitivity!$H$119</f>
        <v>-0.0842947647910973</v>
      </c>
      <c r="D40" s="17" t="n">
        <f aca="false">Sensitivity!$H$120</f>
        <v>-0.0862128901036781</v>
      </c>
      <c r="E40" s="17" t="n">
        <f aca="false">Sensitivity!$H$121</f>
        <v>-0.0881085223381404</v>
      </c>
      <c r="F40" s="17" t="n">
        <f aca="false">Sensitivity!$H$122</f>
        <v>-0.0899821317424673</v>
      </c>
    </row>
    <row r="41" customFormat="false" ht="15" hidden="false" customHeight="false" outlineLevel="0" collapsed="false">
      <c r="A41" s="0" t="s">
        <v>305</v>
      </c>
      <c r="B41" s="17" t="n">
        <f aca="false">Sensitivity!$H$123</f>
        <v>-0.0683887101893623</v>
      </c>
      <c r="C41" s="17" t="n">
        <f aca="false">Sensitivity!$H$124</f>
        <v>-0.0703611319179342</v>
      </c>
      <c r="D41" s="17" t="n">
        <f aca="false">Sensitivity!$H$125</f>
        <v>-0.0723101935522196</v>
      </c>
      <c r="E41" s="17" t="n">
        <f aca="false">Sensitivity!$H$126</f>
        <v>-0.0742363881712281</v>
      </c>
      <c r="F41" s="17" t="n">
        <f aca="false">Sensitivity!$H$127</f>
        <v>-0.0761401940091858</v>
      </c>
    </row>
    <row r="42" customFormat="false" ht="15" hidden="false" customHeight="false" outlineLevel="0" collapsed="false">
      <c r="A42" s="2" t="s">
        <v>288</v>
      </c>
    </row>
    <row r="43" customFormat="false" ht="15" hidden="false" customHeight="false" outlineLevel="0" collapsed="false">
      <c r="A43" s="0" t="s">
        <v>301</v>
      </c>
      <c r="B43" s="18" t="n">
        <f aca="false">Sensitivity!$I$103</f>
        <v>0.563914225426456</v>
      </c>
      <c r="C43" s="18" t="n">
        <f aca="false">Sensitivity!$I$104</f>
        <v>0.558860243389553</v>
      </c>
      <c r="D43" s="18" t="n">
        <f aca="false">Sensitivity!$I$105</f>
        <v>0.553896047509748</v>
      </c>
      <c r="E43" s="18" t="n">
        <f aca="false">Sensitivity!$I$106</f>
        <v>0.549019266218657</v>
      </c>
      <c r="F43" s="18" t="n">
        <f aca="false">Sensitivity!$I$107</f>
        <v>0.544227610740903</v>
      </c>
    </row>
    <row r="44" customFormat="false" ht="15" hidden="false" customHeight="false" outlineLevel="0" collapsed="false">
      <c r="A44" s="0" t="s">
        <v>302</v>
      </c>
      <c r="B44" s="18" t="n">
        <f aca="false">Sensitivity!$I$108</f>
        <v>0.608826464238361</v>
      </c>
      <c r="C44" s="18" t="n">
        <f aca="false">Sensitivity!$I$109</f>
        <v>0.603369964162441</v>
      </c>
      <c r="D44" s="18" t="n">
        <f aca="false">Sensitivity!$I$110</f>
        <v>0.598010401149106</v>
      </c>
      <c r="E44" s="18" t="n">
        <f aca="false">Sensitivity!$I$111</f>
        <v>0.592745214749396</v>
      </c>
      <c r="F44" s="18" t="n">
        <f aca="false">Sensitivity!$I$112</f>
        <v>0.587571933901297</v>
      </c>
    </row>
    <row r="45" customFormat="false" ht="15" hidden="false" customHeight="false" outlineLevel="0" collapsed="false">
      <c r="A45" s="0" t="s">
        <v>303</v>
      </c>
      <c r="B45" s="18" t="n">
        <f aca="false">Sensitivity!$I$113</f>
        <v>0.653738703050266</v>
      </c>
      <c r="C45" s="18" t="n">
        <f aca="false">Sensitivity!$I$114</f>
        <v>0.647879684935329</v>
      </c>
      <c r="D45" s="18" t="n">
        <f aca="false">Sensitivity!$I$115</f>
        <v>0.642124754788466</v>
      </c>
      <c r="E45" s="18" t="n">
        <f aca="false">Sensitivity!$I$116</f>
        <v>0.636471163280136</v>
      </c>
      <c r="F45" s="18" t="n">
        <f aca="false">Sensitivity!$I$117</f>
        <v>0.630916257061692</v>
      </c>
    </row>
    <row r="46" customFormat="false" ht="15" hidden="false" customHeight="false" outlineLevel="0" collapsed="false">
      <c r="A46" s="0" t="s">
        <v>304</v>
      </c>
      <c r="B46" s="18" t="n">
        <f aca="false">Sensitivity!$I$118</f>
        <v>0.69865094186217</v>
      </c>
      <c r="C46" s="18" t="n">
        <f aca="false">Sensitivity!$I$119</f>
        <v>0.692389405708216</v>
      </c>
      <c r="D46" s="18" t="n">
        <f aca="false">Sensitivity!$I$120</f>
        <v>0.686239108427824</v>
      </c>
      <c r="E46" s="18" t="n">
        <f aca="false">Sensitivity!$I$121</f>
        <v>0.680197111810875</v>
      </c>
      <c r="F46" s="18" t="n">
        <f aca="false">Sensitivity!$I$122</f>
        <v>0.674260580222086</v>
      </c>
    </row>
    <row r="47" customFormat="false" ht="15" hidden="false" customHeight="false" outlineLevel="0" collapsed="false">
      <c r="A47" s="0" t="s">
        <v>305</v>
      </c>
      <c r="B47" s="18" t="n">
        <f aca="false">Sensitivity!$I$123</f>
        <v>0.743563180674075</v>
      </c>
      <c r="C47" s="18" t="n">
        <f aca="false">Sensitivity!$I$124</f>
        <v>0.736899126481104</v>
      </c>
      <c r="D47" s="18" t="n">
        <f aca="false">Sensitivity!$I$125</f>
        <v>0.730353462067183</v>
      </c>
      <c r="E47" s="18" t="n">
        <f aca="false">Sensitivity!$I$126</f>
        <v>0.723923060341614</v>
      </c>
      <c r="F47" s="18" t="n">
        <f aca="false">Sensitivity!$I$127</f>
        <v>0.71760490338248</v>
      </c>
    </row>
    <row r="51" customFormat="false" ht="15" hidden="false" customHeight="false" outlineLevel="0" collapsed="false">
      <c r="A51" s="3" t="s">
        <v>306</v>
      </c>
      <c r="B51" s="3"/>
      <c r="C51" s="3"/>
      <c r="D51" s="3"/>
      <c r="E51" s="3"/>
      <c r="F51" s="3"/>
      <c r="G51" s="3"/>
      <c r="H51" s="3"/>
      <c r="I51" s="3"/>
    </row>
    <row r="52" customFormat="false" ht="15" hidden="false" customHeight="false" outlineLevel="0" collapsed="false">
      <c r="A52" s="13" t="s">
        <v>307</v>
      </c>
      <c r="B52" s="13" t="s">
        <v>229</v>
      </c>
      <c r="C52" s="13" t="s">
        <v>230</v>
      </c>
      <c r="D52" s="13" t="s">
        <v>231</v>
      </c>
      <c r="E52" s="13" t="s">
        <v>232</v>
      </c>
      <c r="F52" s="13" t="s">
        <v>233</v>
      </c>
      <c r="G52" s="13" t="s">
        <v>234</v>
      </c>
      <c r="H52" s="13" t="s">
        <v>308</v>
      </c>
      <c r="I52" s="13" t="s">
        <v>309</v>
      </c>
    </row>
    <row r="53" customFormat="false" ht="15" hidden="false" customHeight="false" outlineLevel="0" collapsed="false">
      <c r="A53" s="2" t="s">
        <v>310</v>
      </c>
      <c r="B53" s="15" t="n">
        <f aca="false">-(Capital!$B$12)</f>
        <v>-5528040</v>
      </c>
      <c r="C53" s="15" t="n">
        <f aca="false">(('Operating Model'!$B$43*(1+0.015)^1)-(Debt!$C$9*Assumptions!$C$88))</f>
        <v>375778.970535195</v>
      </c>
      <c r="D53" s="15" t="n">
        <f aca="false">(('Operating Model'!$B$43*(1+0.015)^2)-(Debt!$C$9*Assumptions!$C$88))</f>
        <v>390968.705093222</v>
      </c>
      <c r="E53" s="15" t="n">
        <f aca="false">(('Operating Model'!$B$43*(1+0.015)^3)-(-PMT(Assumptions!$C$88,Assumptions!$C$93,Debt!$C$9)))</f>
        <v>313121.200014998</v>
      </c>
      <c r="F53" s="15" t="n">
        <f aca="false">(('Operating Model'!$B$43*(1+0.015)^4)-(-PMT(Assumptions!$C$88,Assumptions!$C$93,Debt!$C$9)))</f>
        <v>328770.044300042</v>
      </c>
      <c r="G53" s="15" t="n">
        <f aca="false">(('Operating Model'!$B$43*(1+0.015)^5)-(-PMT(Assumptions!$C$88,Assumptions!$C$93,Debt!$C$9))+((('Operating Model'!$B$43*(1+0.015)^6)/((Returns!$B$5+0)+Returns!$B$8))*(1-Assumptions!$C$99)-(Debt!$C$9+CUMPRINC(Assumptions!$C$88,Assumptions!$C$93,Debt!$C$9,1,3,0))))</f>
        <v>3665580.6435196</v>
      </c>
      <c r="H53" s="17" t="n">
        <f aca="false">IFERROR(IRR(B53:G53),"N/A")</f>
        <v>-0.0197198671059349</v>
      </c>
      <c r="I53" s="18" t="n">
        <f aca="false">SUM(C53:G53)/(Capital!$B$12)</f>
        <v>0.917905724897623</v>
      </c>
    </row>
    <row r="54" customFormat="false" ht="15" hidden="false" customHeight="false" outlineLevel="0" collapsed="false">
      <c r="A54" s="2" t="s">
        <v>311</v>
      </c>
      <c r="B54" s="15" t="n">
        <f aca="false">-(Capital!$B$12)</f>
        <v>-5528040</v>
      </c>
      <c r="C54" s="15" t="n">
        <f aca="false">(('Operating Model'!$B$43*(1+0.02)^1)-(Debt!$C$9*Assumptions!$C$88))</f>
        <v>380767.38910926</v>
      </c>
      <c r="D54" s="15" t="n">
        <f aca="false">(('Operating Model'!$B$43*(1+0.02)^2)-(Debt!$C$9*Assumptions!$C$88))</f>
        <v>401120.136891445</v>
      </c>
      <c r="E54" s="15" t="n">
        <f aca="false">(('Operating Model'!$B$43*(1+0.02)^3)-(-PMT(Assumptions!$C$88,Assumptions!$C$93,Debt!$C$9)))</f>
        <v>328614.853974651</v>
      </c>
      <c r="F54" s="15" t="n">
        <f aca="false">(('Operating Model'!$B$43*(1+0.02)^4)-(-PMT(Assumptions!$C$88,Assumptions!$C$93,Debt!$C$9)))</f>
        <v>349789.852767236</v>
      </c>
      <c r="G54" s="15" t="n">
        <f aca="false">(('Operating Model'!$B$43*(1+0.02)^5)-(-PMT(Assumptions!$C$88,Assumptions!$C$93,Debt!$C$9))+((('Operating Model'!$B$43*(1+0.02)^6)/((Returns!$B$5+0)+Returns!$B$8))*(1-Assumptions!$C$99)-(Debt!$C$9+CUMPRINC(Assumptions!$C$88,Assumptions!$C$93,Debt!$C$9,1,3,0))))</f>
        <v>4051116.54318206</v>
      </c>
      <c r="H54" s="17" t="n">
        <f aca="false">IFERROR(IRR(B54:G54),"N/A")</f>
        <v>-0.000696714812338385</v>
      </c>
      <c r="I54" s="18" t="n">
        <f aca="false">SUM(C54:G54)/(Capital!$B$12)</f>
        <v>0.996991479063945</v>
      </c>
    </row>
    <row r="55" customFormat="false" ht="15" hidden="false" customHeight="false" outlineLevel="0" collapsed="false">
      <c r="A55" s="2" t="s">
        <v>312</v>
      </c>
      <c r="B55" s="15" t="n">
        <f aca="false">-(Capital!$B$12)</f>
        <v>-5528040</v>
      </c>
      <c r="C55" s="15" t="n">
        <f aca="false">(('Operating Model'!$B$43*(1+0.025)^1)-(Debt!$C$9*Assumptions!$C$88))</f>
        <v>385755.807683325</v>
      </c>
      <c r="D55" s="15" t="n">
        <f aca="false">(('Operating Model'!$B$43*(1+0.025)^2)-(Debt!$C$9*Assumptions!$C$88))</f>
        <v>411321.452875408</v>
      </c>
      <c r="E55" s="15" t="n">
        <f aca="false">(('Operating Model'!$B$43*(1+0.025)^3)-(-PMT(Assumptions!$C$88,Assumptions!$C$93,Debt!$C$9)))</f>
        <v>344261.15354267</v>
      </c>
      <c r="F55" s="15" t="n">
        <f aca="false">(('Operating Model'!$B$43*(1+0.025)^4)-(-PMT(Assumptions!$C$88,Assumptions!$C$93,Debt!$C$9)))</f>
        <v>371121.059522602</v>
      </c>
      <c r="G55" s="15" t="n">
        <f aca="false">(('Operating Model'!$B$43*(1+0.025)^5)-(-PMT(Assumptions!$C$88,Assumptions!$C$93,Debt!$C$9))+((('Operating Model'!$B$43*(1+0.025)^6)/((Returns!$B$5+0)+Returns!$B$8))*(1-Assumptions!$C$99)-(Debt!$C$9+CUMPRINC(Assumptions!$C$88,Assumptions!$C$93,Debt!$C$9,1,3,0))))</f>
        <v>4446084.57365105</v>
      </c>
      <c r="H55" s="17" t="n">
        <f aca="false">IFERROR(IRR(B55:G55),"N/A")</f>
        <v>0.0174187347421765</v>
      </c>
      <c r="I55" s="18" t="n">
        <f aca="false">SUM(C55:G55)/(Capital!$B$12)</f>
        <v>1.07787643491636</v>
      </c>
    </row>
    <row r="56" customFormat="false" ht="15" hidden="false" customHeight="false" outlineLevel="0" collapsed="false">
      <c r="A56" s="2" t="s">
        <v>313</v>
      </c>
      <c r="B56" s="15" t="n">
        <f aca="false">-(Capital!$B$12)</f>
        <v>-5528040</v>
      </c>
      <c r="C56" s="15" t="n">
        <f aca="false">(('Operating Model'!$B$43*(1+0.03)^1)-(Debt!$C$9*Assumptions!$C$88))</f>
        <v>390744.22625739</v>
      </c>
      <c r="D56" s="15" t="n">
        <f aca="false">(('Operating Model'!$B$43*(1+0.03)^2)-(Debt!$C$9*Assumptions!$C$88))</f>
        <v>421572.653045111</v>
      </c>
      <c r="E56" s="15" t="n">
        <f aca="false">(('Operating Model'!$B$43*(1+0.03)^3)-(-PMT(Assumptions!$C$88,Assumptions!$C$93,Debt!$C$9)))</f>
        <v>360060.846981842</v>
      </c>
      <c r="F56" s="15" t="n">
        <f aca="false">(('Operating Model'!$B$43*(1+0.03)^4)-(-PMT(Assumptions!$C$88,Assumptions!$C$93,Debt!$C$9)))</f>
        <v>392766.724960936</v>
      </c>
      <c r="G56" s="15" t="n">
        <f aca="false">(('Operating Model'!$B$43*(1+0.03)^5)-(-PMT(Assumptions!$C$88,Assumptions!$C$93,Debt!$C$9))+((('Operating Model'!$B$43*(1+0.03)^6)/((Returns!$B$5+0)+Returns!$B$8))*(1-Assumptions!$C$99)-(Debt!$C$9+CUMPRINC(Assumptions!$C$88,Assumptions!$C$93,Debt!$C$9,1,3,0))))</f>
        <v>4850668.40745622</v>
      </c>
      <c r="H56" s="17" t="n">
        <f aca="false">IFERROR(IRR(B56:G56),"N/A")</f>
        <v>0.0347490274956995</v>
      </c>
      <c r="I56" s="18" t="n">
        <f aca="false">SUM(C56:G56)/(Capital!$B$12)</f>
        <v>1.16059450704074</v>
      </c>
    </row>
    <row r="57" customFormat="false" ht="15" hidden="false" customHeight="false" outlineLevel="0" collapsed="false">
      <c r="A57" s="2" t="s">
        <v>314</v>
      </c>
      <c r="B57" s="15" t="n">
        <f aca="false">-(Capital!$B$12)</f>
        <v>-5528040</v>
      </c>
      <c r="C57" s="15" t="n">
        <f aca="false">(('Operating Model'!$B$43*(1+0.035)^1)-(Debt!$C$9*Assumptions!$C$88))</f>
        <v>395732.644831455</v>
      </c>
      <c r="D57" s="15" t="n">
        <f aca="false">(('Operating Model'!$B$43*(1+0.035)^2)-(Debt!$C$9*Assumptions!$C$88))</f>
        <v>431873.737400556</v>
      </c>
      <c r="E57" s="15" t="n">
        <f aca="false">(('Operating Model'!$B$43*(1+0.035)^3)-(-PMT(Assumptions!$C$88,Assumptions!$C$93,Debt!$C$9)))</f>
        <v>376014.682554952</v>
      </c>
      <c r="F57" s="15" t="n">
        <f aca="false">(('Operating Model'!$B$43*(1+0.035)^4)-(-PMT(Assumptions!$C$88,Assumptions!$C$93,Debt!$C$9)))</f>
        <v>414729.924442287</v>
      </c>
      <c r="G57" s="15" t="n">
        <f aca="false">(('Operating Model'!$B$43*(1+0.035)^5)-(-PMT(Assumptions!$C$88,Assumptions!$C$93,Debt!$C$9))+((('Operating Model'!$B$43*(1+0.035)^6)/((Returns!$B$5+0)+Returns!$B$8))*(1-Assumptions!$C$99)-(Debt!$C$9+CUMPRINC(Assumptions!$C$88,Assumptions!$C$93,Debt!$C$9,1,3,0))))</f>
        <v>5265054.38612528</v>
      </c>
      <c r="H57" s="17" t="n">
        <f aca="false">IFERROR(IRR(B57:G57),"N/A")</f>
        <v>0.0513932928613504</v>
      </c>
      <c r="I57" s="18" t="n">
        <f aca="false">SUM(C57:G57)/(Capital!$B$12)</f>
        <v>1.24518009554101</v>
      </c>
    </row>
    <row r="58" customFormat="false" ht="15" hidden="false" customHeight="false" outlineLevel="0" collapsed="false">
      <c r="A58" s="2" t="s">
        <v>315</v>
      </c>
      <c r="B58" s="15" t="n">
        <f aca="false">-(Capital!$B$12)</f>
        <v>-5528040</v>
      </c>
      <c r="C58" s="15" t="n">
        <f aca="false">(('Operating Model'!$B$43*(1+0.015)^1)-(Debt!$C$9*Assumptions!$C$88))</f>
        <v>375778.970535195</v>
      </c>
      <c r="D58" s="15" t="n">
        <f aca="false">(('Operating Model'!$B$43*(1+0.015)^2)-(Debt!$C$9*Assumptions!$C$88))</f>
        <v>390968.705093222</v>
      </c>
      <c r="E58" s="15" t="n">
        <f aca="false">(('Operating Model'!$B$43*(1+0.015)^3)-(-PMT(Assumptions!$C$88,Assumptions!$C$93,Debt!$C$9)))</f>
        <v>313121.200014998</v>
      </c>
      <c r="F58" s="15" t="n">
        <f aca="false">(('Operating Model'!$B$43*(1+0.015)^4)-(-PMT(Assumptions!$C$88,Assumptions!$C$93,Debt!$C$9)))</f>
        <v>328770.044300042</v>
      </c>
      <c r="G58" s="15" t="n">
        <f aca="false">(('Operating Model'!$B$43*(1+0.015)^5)-(-PMT(Assumptions!$C$88,Assumptions!$C$93,Debt!$C$9))+((('Operating Model'!$B$43*(1+0.015)^6)/((Returns!$B$5+0.0025)+Returns!$B$8))*(1-Assumptions!$C$99)-(Debt!$C$9+CUMPRINC(Assumptions!$C$88,Assumptions!$C$93,Debt!$C$9,1,3,0))))</f>
        <v>3338533.04484902</v>
      </c>
      <c r="H58" s="17" t="n">
        <f aca="false">IFERROR(IRR(B58:G58),"N/A")</f>
        <v>-0.0350696976937667</v>
      </c>
      <c r="I58" s="18" t="n">
        <f aca="false">SUM(C58:G58)/(Capital!$B$12)</f>
        <v>0.858744141647398</v>
      </c>
    </row>
    <row r="59" customFormat="false" ht="15" hidden="false" customHeight="false" outlineLevel="0" collapsed="false">
      <c r="A59" s="2" t="s">
        <v>316</v>
      </c>
      <c r="B59" s="15" t="n">
        <f aca="false">-(Capital!$B$12)</f>
        <v>-5528040</v>
      </c>
      <c r="C59" s="15" t="n">
        <f aca="false">(('Operating Model'!$B$43*(1+0.02)^1)-(Debt!$C$9*Assumptions!$C$88))</f>
        <v>380767.38910926</v>
      </c>
      <c r="D59" s="15" t="n">
        <f aca="false">(('Operating Model'!$B$43*(1+0.02)^2)-(Debt!$C$9*Assumptions!$C$88))</f>
        <v>401120.136891445</v>
      </c>
      <c r="E59" s="15" t="n">
        <f aca="false">(('Operating Model'!$B$43*(1+0.02)^3)-(-PMT(Assumptions!$C$88,Assumptions!$C$93,Debt!$C$9)))</f>
        <v>328614.853974651</v>
      </c>
      <c r="F59" s="15" t="n">
        <f aca="false">(('Operating Model'!$B$43*(1+0.02)^4)-(-PMT(Assumptions!$C$88,Assumptions!$C$93,Debt!$C$9)))</f>
        <v>349789.852767236</v>
      </c>
      <c r="G59" s="15" t="n">
        <f aca="false">(('Operating Model'!$B$43*(1+0.02)^5)-(-PMT(Assumptions!$C$88,Assumptions!$C$93,Debt!$C$9))+((('Operating Model'!$B$43*(1+0.02)^6)/((Returns!$B$5+0.0025)+Returns!$B$8))*(1-Assumptions!$C$99)-(Debt!$C$9+CUMPRINC(Assumptions!$C$88,Assumptions!$C$93,Debt!$C$9,1,3,0))))</f>
        <v>3714282.68350349</v>
      </c>
      <c r="H59" s="17" t="n">
        <f aca="false">IFERROR(IRR(B59:G59),"N/A")</f>
        <v>-0.0152798550536839</v>
      </c>
      <c r="I59" s="18" t="n">
        <f aca="false">SUM(C59:G59)/(Capital!$B$12)</f>
        <v>0.936059600915709</v>
      </c>
    </row>
    <row r="60" customFormat="false" ht="15" hidden="false" customHeight="false" outlineLevel="0" collapsed="false">
      <c r="A60" s="2" t="s">
        <v>317</v>
      </c>
      <c r="B60" s="15" t="n">
        <f aca="false">-(Capital!$B$12)</f>
        <v>-5528040</v>
      </c>
      <c r="C60" s="15" t="n">
        <f aca="false">(('Operating Model'!$B$43*(1+0.025)^1)-(Debt!$C$9*Assumptions!$C$88))</f>
        <v>385755.807683325</v>
      </c>
      <c r="D60" s="15" t="n">
        <f aca="false">(('Operating Model'!$B$43*(1+0.025)^2)-(Debt!$C$9*Assumptions!$C$88))</f>
        <v>411321.452875408</v>
      </c>
      <c r="E60" s="15" t="n">
        <f aca="false">(('Operating Model'!$B$43*(1+0.025)^3)-(-PMT(Assumptions!$C$88,Assumptions!$C$93,Debt!$C$9)))</f>
        <v>344261.15354267</v>
      </c>
      <c r="F60" s="15" t="n">
        <f aca="false">(('Operating Model'!$B$43*(1+0.025)^4)-(-PMT(Assumptions!$C$88,Assumptions!$C$93,Debt!$C$9)))</f>
        <v>371121.059522602</v>
      </c>
      <c r="G60" s="15" t="n">
        <f aca="false">(('Operating Model'!$B$43*(1+0.025)^5)-(-PMT(Assumptions!$C$88,Assumptions!$C$93,Debt!$C$9))+((('Operating Model'!$B$43*(1+0.025)^6)/((Returns!$B$5+0.0025)+Returns!$B$8))*(1-Assumptions!$C$99)-(Debt!$C$9+CUMPRINC(Assumptions!$C$88,Assumptions!$C$93,Debt!$C$9,1,3,0))))</f>
        <v>4099221.63148701</v>
      </c>
      <c r="H60" s="17" t="n">
        <f aca="false">IFERROR(IRR(B60:G60),"N/A")</f>
        <v>0.00348745372831581</v>
      </c>
      <c r="I60" s="18" t="n">
        <f aca="false">SUM(C60:G60)/(Capital!$B$12)</f>
        <v>1.01513033645035</v>
      </c>
    </row>
    <row r="61" customFormat="false" ht="15" hidden="false" customHeight="false" outlineLevel="0" collapsed="false">
      <c r="A61" s="2" t="s">
        <v>318</v>
      </c>
      <c r="B61" s="15" t="n">
        <f aca="false">-(Capital!$B$12)</f>
        <v>-5528040</v>
      </c>
      <c r="C61" s="15" t="n">
        <f aca="false">(('Operating Model'!$B$43*(1+0.03)^1)-(Debt!$C$9*Assumptions!$C$88))</f>
        <v>390744.22625739</v>
      </c>
      <c r="D61" s="15" t="n">
        <f aca="false">(('Operating Model'!$B$43*(1+0.03)^2)-(Debt!$C$9*Assumptions!$C$88))</f>
        <v>421572.653045111</v>
      </c>
      <c r="E61" s="15" t="n">
        <f aca="false">(('Operating Model'!$B$43*(1+0.03)^3)-(-PMT(Assumptions!$C$88,Assumptions!$C$93,Debt!$C$9)))</f>
        <v>360060.846981842</v>
      </c>
      <c r="F61" s="15" t="n">
        <f aca="false">(('Operating Model'!$B$43*(1+0.03)^4)-(-PMT(Assumptions!$C$88,Assumptions!$C$93,Debt!$C$9)))</f>
        <v>392766.724960936</v>
      </c>
      <c r="G61" s="15" t="n">
        <f aca="false">(('Operating Model'!$B$43*(1+0.03)^5)-(-PMT(Assumptions!$C$88,Assumptions!$C$93,Debt!$C$9))+((('Operating Model'!$B$43*(1+0.03)^6)/((Returns!$B$5+0.0025)+Returns!$B$8))*(1-Assumptions!$C$99)-(Debt!$C$9+CUMPRINC(Assumptions!$C$88,Assumptions!$C$93,Debt!$C$9,1,3,0))))</f>
        <v>4493528.76505829</v>
      </c>
      <c r="H61" s="17" t="n">
        <f aca="false">IFERROR(IRR(B61:G61),"N/A")</f>
        <v>0.0213782394650258</v>
      </c>
      <c r="I61" s="18" t="n">
        <f aca="false">SUM(C61:G61)/(Capital!$B$12)</f>
        <v>1.09598939521125</v>
      </c>
    </row>
    <row r="62" customFormat="false" ht="15" hidden="false" customHeight="false" outlineLevel="0" collapsed="false">
      <c r="A62" s="2" t="s">
        <v>319</v>
      </c>
      <c r="B62" s="15" t="n">
        <f aca="false">-(Capital!$B$12)</f>
        <v>-5528040</v>
      </c>
      <c r="C62" s="15" t="n">
        <f aca="false">(('Operating Model'!$B$43*(1+0.035)^1)-(Debt!$C$9*Assumptions!$C$88))</f>
        <v>395732.644831455</v>
      </c>
      <c r="D62" s="15" t="n">
        <f aca="false">(('Operating Model'!$B$43*(1+0.035)^2)-(Debt!$C$9*Assumptions!$C$88))</f>
        <v>431873.737400556</v>
      </c>
      <c r="E62" s="15" t="n">
        <f aca="false">(('Operating Model'!$B$43*(1+0.035)^3)-(-PMT(Assumptions!$C$88,Assumptions!$C$93,Debt!$C$9)))</f>
        <v>376014.682554952</v>
      </c>
      <c r="F62" s="15" t="n">
        <f aca="false">(('Operating Model'!$B$43*(1+0.035)^4)-(-PMT(Assumptions!$C$88,Assumptions!$C$93,Debt!$C$9)))</f>
        <v>414729.924442287</v>
      </c>
      <c r="G62" s="15" t="n">
        <f aca="false">(('Operating Model'!$B$43*(1+0.035)^5)-(-PMT(Assumptions!$C$88,Assumptions!$C$93,Debt!$C$9))+((('Operating Model'!$B$43*(1+0.035)^6)/((Returns!$B$5+0.0025)+Returns!$B$8))*(1-Assumptions!$C$99)-(Debt!$C$9+CUMPRINC(Assumptions!$C$88,Assumptions!$C$93,Debt!$C$9,1,3,0))))</f>
        <v>4897385.55876939</v>
      </c>
      <c r="H62" s="17" t="n">
        <f aca="false">IFERROR(IRR(B62:G62),"N/A")</f>
        <v>0.0385090401930304</v>
      </c>
      <c r="I62" s="18" t="n">
        <f aca="false">SUM(C62:G62)/(Capital!$B$12)</f>
        <v>1.17867029688617</v>
      </c>
    </row>
    <row r="63" customFormat="false" ht="15" hidden="false" customHeight="false" outlineLevel="0" collapsed="false">
      <c r="A63" s="2" t="s">
        <v>320</v>
      </c>
      <c r="B63" s="15" t="n">
        <f aca="false">-(Capital!$B$12)</f>
        <v>-5528040</v>
      </c>
      <c r="C63" s="15" t="n">
        <f aca="false">(('Operating Model'!$B$43*(1+0.015)^1)-(Debt!$C$9*Assumptions!$C$88))</f>
        <v>375778.970535195</v>
      </c>
      <c r="D63" s="15" t="n">
        <f aca="false">(('Operating Model'!$B$43*(1+0.015)^2)-(Debt!$C$9*Assumptions!$C$88))</f>
        <v>390968.705093222</v>
      </c>
      <c r="E63" s="15" t="n">
        <f aca="false">(('Operating Model'!$B$43*(1+0.015)^3)-(-PMT(Assumptions!$C$88,Assumptions!$C$93,Debt!$C$9)))</f>
        <v>313121.200014998</v>
      </c>
      <c r="F63" s="15" t="n">
        <f aca="false">(('Operating Model'!$B$43*(1+0.015)^4)-(-PMT(Assumptions!$C$88,Assumptions!$C$93,Debt!$C$9)))</f>
        <v>328770.044300042</v>
      </c>
      <c r="G63" s="15" t="n">
        <f aca="false">(('Operating Model'!$B$43*(1+0.015)^5)-(-PMT(Assumptions!$C$88,Assumptions!$C$93,Debt!$C$9))+((('Operating Model'!$B$43*(1+0.015)^6)/((Returns!$B$5+0.005)+Returns!$B$8))*(1-Assumptions!$C$99)-(Debt!$C$9+CUMPRINC(Assumptions!$C$88,Assumptions!$C$93,Debt!$C$9,1,3,0))))</f>
        <v>3028852.14345998</v>
      </c>
      <c r="H63" s="17" t="n">
        <f aca="false">IFERROR(IRR(B63:G63),"N/A")</f>
        <v>-0.0506472089709254</v>
      </c>
      <c r="I63" s="18" t="n">
        <f aca="false">SUM(C63:G63)/(Capital!$B$12)</f>
        <v>0.802724123451248</v>
      </c>
    </row>
    <row r="64" customFormat="false" ht="15" hidden="false" customHeight="false" outlineLevel="0" collapsed="false">
      <c r="A64" s="2" t="s">
        <v>321</v>
      </c>
      <c r="B64" s="15" t="n">
        <f aca="false">-(Capital!$B$12)</f>
        <v>-5528040</v>
      </c>
      <c r="C64" s="15" t="n">
        <f aca="false">(('Operating Model'!$B$43*(1+0.02)^1)-(Debt!$C$9*Assumptions!$C$88))</f>
        <v>380767.38910926</v>
      </c>
      <c r="D64" s="15" t="n">
        <f aca="false">(('Operating Model'!$B$43*(1+0.02)^2)-(Debt!$C$9*Assumptions!$C$88))</f>
        <v>401120.136891445</v>
      </c>
      <c r="E64" s="15" t="n">
        <f aca="false">(('Operating Model'!$B$43*(1+0.02)^3)-(-PMT(Assumptions!$C$88,Assumptions!$C$93,Debt!$C$9)))</f>
        <v>328614.853974651</v>
      </c>
      <c r="F64" s="15" t="n">
        <f aca="false">(('Operating Model'!$B$43*(1+0.02)^4)-(-PMT(Assumptions!$C$88,Assumptions!$C$93,Debt!$C$9)))</f>
        <v>349789.852767236</v>
      </c>
      <c r="G64" s="15" t="n">
        <f aca="false">(('Operating Model'!$B$43*(1+0.02)^5)-(-PMT(Assumptions!$C$88,Assumptions!$C$93,Debt!$C$9))+((('Operating Model'!$B$43*(1+0.02)^6)/((Returns!$B$5+0.005)+Returns!$B$8))*(1-Assumptions!$C$99)-(Debt!$C$9+CUMPRINC(Assumptions!$C$88,Assumptions!$C$93,Debt!$C$9,1,3,0))))</f>
        <v>3395335.18562358</v>
      </c>
      <c r="H64" s="17" t="n">
        <f aca="false">IFERROR(IRR(B64:G64),"N/A")</f>
        <v>-0.0300051925049298</v>
      </c>
      <c r="I64" s="18" t="n">
        <f aca="false">SUM(C64:G64)/(Capital!$B$12)</f>
        <v>0.878363293023598</v>
      </c>
    </row>
    <row r="65" customFormat="false" ht="15" hidden="false" customHeight="false" outlineLevel="0" collapsed="false">
      <c r="A65" s="2" t="s">
        <v>322</v>
      </c>
      <c r="B65" s="15" t="n">
        <f aca="false">-(Capital!$B$12)</f>
        <v>-5528040</v>
      </c>
      <c r="C65" s="15" t="n">
        <f aca="false">(('Operating Model'!$B$43*(1+0.025)^1)-(Debt!$C$9*Assumptions!$C$88))</f>
        <v>385755.807683325</v>
      </c>
      <c r="D65" s="15" t="n">
        <f aca="false">(('Operating Model'!$B$43*(1+0.025)^2)-(Debt!$C$9*Assumptions!$C$88))</f>
        <v>411321.452875408</v>
      </c>
      <c r="E65" s="15" t="n">
        <f aca="false">(('Operating Model'!$B$43*(1+0.025)^3)-(-PMT(Assumptions!$C$88,Assumptions!$C$93,Debt!$C$9)))</f>
        <v>344261.15354267</v>
      </c>
      <c r="F65" s="15" t="n">
        <f aca="false">(('Operating Model'!$B$43*(1+0.025)^4)-(-PMT(Assumptions!$C$88,Assumptions!$C$93,Debt!$C$9)))</f>
        <v>371121.059522602</v>
      </c>
      <c r="G65" s="15" t="n">
        <f aca="false">(('Operating Model'!$B$43*(1+0.025)^5)-(-PMT(Assumptions!$C$88,Assumptions!$C$93,Debt!$C$9))+((('Operating Model'!$B$43*(1+0.025)^6)/((Returns!$B$5+0.005)+Returns!$B$8))*(1-Assumptions!$C$99)-(Debt!$C$9+CUMPRINC(Assumptions!$C$88,Assumptions!$C$93,Debt!$C$9,1,3,0))))</f>
        <v>3770777.60980803</v>
      </c>
      <c r="H65" s="17" t="n">
        <f aca="false">IFERROR(IRR(B65:G65),"N/A")</f>
        <v>-0.0105206468342431</v>
      </c>
      <c r="I65" s="18" t="n">
        <f aca="false">SUM(C65:G65)/(Capital!$B$12)</f>
        <v>0.955716145945404</v>
      </c>
    </row>
    <row r="66" customFormat="false" ht="15" hidden="false" customHeight="false" outlineLevel="0" collapsed="false">
      <c r="A66" s="2" t="s">
        <v>323</v>
      </c>
      <c r="B66" s="15" t="n">
        <f aca="false">-(Capital!$B$12)</f>
        <v>-5528040</v>
      </c>
      <c r="C66" s="15" t="n">
        <f aca="false">(('Operating Model'!$B$43*(1+0.03)^1)-(Debt!$C$9*Assumptions!$C$88))</f>
        <v>390744.22625739</v>
      </c>
      <c r="D66" s="15" t="n">
        <f aca="false">(('Operating Model'!$B$43*(1+0.03)^2)-(Debt!$C$9*Assumptions!$C$88))</f>
        <v>421572.653045111</v>
      </c>
      <c r="E66" s="15" t="n">
        <f aca="false">(('Operating Model'!$B$43*(1+0.03)^3)-(-PMT(Assumptions!$C$88,Assumptions!$C$93,Debt!$C$9)))</f>
        <v>360060.846981842</v>
      </c>
      <c r="F66" s="15" t="n">
        <f aca="false">(('Operating Model'!$B$43*(1+0.03)^4)-(-PMT(Assumptions!$C$88,Assumptions!$C$93,Debt!$C$9)))</f>
        <v>392766.724960936</v>
      </c>
      <c r="G66" s="15" t="n">
        <f aca="false">(('Operating Model'!$B$43*(1+0.03)^5)-(-PMT(Assumptions!$C$88,Assumptions!$C$93,Debt!$C$9))+((('Operating Model'!$B$43*(1+0.03)^6)/((Returns!$B$5+0.005)+Returns!$B$8))*(1-Assumptions!$C$99)-(Debt!$C$9+CUMPRINC(Assumptions!$C$88,Assumptions!$C$93,Debt!$C$9,1,3,0))))</f>
        <v>4155353.75068996</v>
      </c>
      <c r="H66" s="17" t="n">
        <f aca="false">IFERROR(IRR(B66:G66),"N/A")</f>
        <v>0.00798165321924666</v>
      </c>
      <c r="I66" s="18" t="n">
        <f aca="false">SUM(C66:G66)/(Capital!$B$12)</f>
        <v>1.03481490762282</v>
      </c>
    </row>
    <row r="67" customFormat="false" ht="15" hidden="false" customHeight="false" outlineLevel="0" collapsed="false">
      <c r="A67" s="2" t="s">
        <v>324</v>
      </c>
      <c r="B67" s="15" t="n">
        <f aca="false">-(Capital!$B$12)</f>
        <v>-5528040</v>
      </c>
      <c r="C67" s="15" t="n">
        <f aca="false">(('Operating Model'!$B$43*(1+0.035)^1)-(Debt!$C$9*Assumptions!$C$88))</f>
        <v>395732.644831455</v>
      </c>
      <c r="D67" s="15" t="n">
        <f aca="false">(('Operating Model'!$B$43*(1+0.035)^2)-(Debt!$C$9*Assumptions!$C$88))</f>
        <v>431873.737400556</v>
      </c>
      <c r="E67" s="15" t="n">
        <f aca="false">(('Operating Model'!$B$43*(1+0.035)^3)-(-PMT(Assumptions!$C$88,Assumptions!$C$93,Debt!$C$9)))</f>
        <v>376014.682554952</v>
      </c>
      <c r="F67" s="15" t="n">
        <f aca="false">(('Operating Model'!$B$43*(1+0.035)^4)-(-PMT(Assumptions!$C$88,Assumptions!$C$93,Debt!$C$9)))</f>
        <v>414729.924442287</v>
      </c>
      <c r="G67" s="15" t="n">
        <f aca="false">(('Operating Model'!$B$43*(1+0.035)^5)-(-PMT(Assumptions!$C$88,Assumptions!$C$93,Debt!$C$9))+((('Operating Model'!$B$43*(1+0.035)^6)/((Returns!$B$5+0.005)+Returns!$B$8))*(1-Assumptions!$C$99)-(Debt!$C$9+CUMPRINC(Assumptions!$C$88,Assumptions!$C$93,Debt!$C$9,1,3,0))))</f>
        <v>4549240.47428916</v>
      </c>
      <c r="H67" s="17" t="n">
        <f aca="false">IFERROR(IRR(B67:G67),"N/A")</f>
        <v>0.0256395011673999</v>
      </c>
      <c r="I67" s="18" t="n">
        <f aca="false">SUM(C67:G67)/(Capital!$B$12)</f>
        <v>1.11569226407884</v>
      </c>
    </row>
    <row r="68" customFormat="false" ht="15" hidden="false" customHeight="false" outlineLevel="0" collapsed="false">
      <c r="A68" s="2" t="s">
        <v>325</v>
      </c>
      <c r="B68" s="15" t="n">
        <f aca="false">-(Capital!$B$12)</f>
        <v>-5528040</v>
      </c>
      <c r="C68" s="15" t="n">
        <f aca="false">(('Operating Model'!$B$43*(1+0.015)^1)-(Debt!$C$9*Assumptions!$C$88))</f>
        <v>375778.970535195</v>
      </c>
      <c r="D68" s="15" t="n">
        <f aca="false">(('Operating Model'!$B$43*(1+0.015)^2)-(Debt!$C$9*Assumptions!$C$88))</f>
        <v>390968.705093222</v>
      </c>
      <c r="E68" s="15" t="n">
        <f aca="false">(('Operating Model'!$B$43*(1+0.015)^3)-(-PMT(Assumptions!$C$88,Assumptions!$C$93,Debt!$C$9)))</f>
        <v>313121.200014998</v>
      </c>
      <c r="F68" s="15" t="n">
        <f aca="false">(('Operating Model'!$B$43*(1+0.015)^4)-(-PMT(Assumptions!$C$88,Assumptions!$C$93,Debt!$C$9)))</f>
        <v>328770.044300042</v>
      </c>
      <c r="G68" s="15" t="n">
        <f aca="false">(('Operating Model'!$B$43*(1+0.015)^5)-(-PMT(Assumptions!$C$88,Assumptions!$C$93,Debt!$C$9))+((('Operating Model'!$B$43*(1+0.015)^6)/((Returns!$B$5+0.0075)+Returns!$B$8))*(1-Assumptions!$C$99)-(Debt!$C$9+CUMPRINC(Assumptions!$C$88,Assumptions!$C$93,Debt!$C$9,1,3,0))))</f>
        <v>2735190.42204635</v>
      </c>
      <c r="H68" s="17" t="n">
        <f aca="false">IFERROR(IRR(B68:G68),"N/A")</f>
        <v>-0.0665195597307484</v>
      </c>
      <c r="I68" s="18" t="n">
        <f aca="false">SUM(C68:G68)/(Capital!$B$12)</f>
        <v>0.749601909897505</v>
      </c>
    </row>
    <row r="69" customFormat="false" ht="15" hidden="false" customHeight="false" outlineLevel="0" collapsed="false">
      <c r="A69" s="2" t="s">
        <v>326</v>
      </c>
      <c r="B69" s="15" t="n">
        <f aca="false">-(Capital!$B$12)</f>
        <v>-5528040</v>
      </c>
      <c r="C69" s="15" t="n">
        <f aca="false">(('Operating Model'!$B$43*(1+0.02)^1)-(Debt!$C$9*Assumptions!$C$88))</f>
        <v>380767.38910926</v>
      </c>
      <c r="D69" s="15" t="n">
        <f aca="false">(('Operating Model'!$B$43*(1+0.02)^2)-(Debt!$C$9*Assumptions!$C$88))</f>
        <v>401120.136891445</v>
      </c>
      <c r="E69" s="15" t="n">
        <f aca="false">(('Operating Model'!$B$43*(1+0.02)^3)-(-PMT(Assumptions!$C$88,Assumptions!$C$93,Debt!$C$9)))</f>
        <v>328614.853974651</v>
      </c>
      <c r="F69" s="15" t="n">
        <f aca="false">(('Operating Model'!$B$43*(1+0.02)^4)-(-PMT(Assumptions!$C$88,Assumptions!$C$93,Debt!$C$9)))</f>
        <v>349789.852767236</v>
      </c>
      <c r="G69" s="15" t="n">
        <f aca="false">(('Operating Model'!$B$43*(1+0.02)^5)-(-PMT(Assumptions!$C$88,Assumptions!$C$93,Debt!$C$9))+((('Operating Model'!$B$43*(1+0.02)^6)/((Returns!$B$5+0.0075)+Returns!$B$8))*(1-Assumptions!$C$99)-(Debt!$C$9+CUMPRINC(Assumptions!$C$88,Assumptions!$C$93,Debt!$C$9,1,3,0))))</f>
        <v>3092886.21041113</v>
      </c>
      <c r="H69" s="17" t="n">
        <f aca="false">IFERROR(IRR(B69:G69),"N/A")</f>
        <v>-0.0449244972409497</v>
      </c>
      <c r="I69" s="18" t="n">
        <f aca="false">SUM(C69:G69)/(Capital!$B$12)</f>
        <v>0.823651500921433</v>
      </c>
    </row>
    <row r="70" customFormat="false" ht="15" hidden="false" customHeight="false" outlineLevel="0" collapsed="false">
      <c r="A70" s="2" t="s">
        <v>327</v>
      </c>
      <c r="B70" s="15" t="n">
        <f aca="false">-(Capital!$B$12)</f>
        <v>-5528040</v>
      </c>
      <c r="C70" s="15" t="n">
        <f aca="false">(('Operating Model'!$B$43*(1+0.025)^1)-(Debt!$C$9*Assumptions!$C$88))</f>
        <v>385755.807683325</v>
      </c>
      <c r="D70" s="15" t="n">
        <f aca="false">(('Operating Model'!$B$43*(1+0.025)^2)-(Debt!$C$9*Assumptions!$C$88))</f>
        <v>411321.452875408</v>
      </c>
      <c r="E70" s="15" t="n">
        <f aca="false">(('Operating Model'!$B$43*(1+0.025)^3)-(-PMT(Assumptions!$C$88,Assumptions!$C$93,Debt!$C$9)))</f>
        <v>344261.15354267</v>
      </c>
      <c r="F70" s="15" t="n">
        <f aca="false">(('Operating Model'!$B$43*(1+0.025)^4)-(-PMT(Assumptions!$C$88,Assumptions!$C$93,Debt!$C$9)))</f>
        <v>371121.059522602</v>
      </c>
      <c r="G70" s="15" t="n">
        <f aca="false">(('Operating Model'!$B$43*(1+0.025)^5)-(-PMT(Assumptions!$C$88,Assumptions!$C$93,Debt!$C$9))+((('Operating Model'!$B$43*(1+0.025)^6)/((Returns!$B$5+0.0075)+Returns!$B$8))*(1-Assumptions!$C$99)-(Debt!$C$9+CUMPRINC(Assumptions!$C$88,Assumptions!$C$93,Debt!$C$9,1,3,0))))</f>
        <v>3459323.34717303</v>
      </c>
      <c r="H70" s="17" t="n">
        <f aca="false">IFERROR(IRR(B70:G70),"N/A")</f>
        <v>-0.0246469478669002</v>
      </c>
      <c r="I70" s="18" t="n">
        <f aca="false">SUM(C70:G70)/(Capital!$B$12)</f>
        <v>0.899375333897193</v>
      </c>
    </row>
    <row r="71" customFormat="false" ht="15" hidden="false" customHeight="false" outlineLevel="0" collapsed="false">
      <c r="A71" s="2" t="s">
        <v>328</v>
      </c>
      <c r="B71" s="15" t="n">
        <f aca="false">-(Capital!$B$12)</f>
        <v>-5528040</v>
      </c>
      <c r="C71" s="15" t="n">
        <f aca="false">(('Operating Model'!$B$43*(1+0.03)^1)-(Debt!$C$9*Assumptions!$C$88))</f>
        <v>390744.22625739</v>
      </c>
      <c r="D71" s="15" t="n">
        <f aca="false">(('Operating Model'!$B$43*(1+0.03)^2)-(Debt!$C$9*Assumptions!$C$88))</f>
        <v>421572.653045111</v>
      </c>
      <c r="E71" s="15" t="n">
        <f aca="false">(('Operating Model'!$B$43*(1+0.03)^3)-(-PMT(Assumptions!$C$88,Assumptions!$C$93,Debt!$C$9)))</f>
        <v>360060.846981842</v>
      </c>
      <c r="F71" s="15" t="n">
        <f aca="false">(('Operating Model'!$B$43*(1+0.03)^4)-(-PMT(Assumptions!$C$88,Assumptions!$C$93,Debt!$C$9)))</f>
        <v>392766.724960936</v>
      </c>
      <c r="G71" s="15" t="n">
        <f aca="false">(('Operating Model'!$B$43*(1+0.03)^5)-(-PMT(Assumptions!$C$88,Assumptions!$C$93,Debt!$C$9))+((('Operating Model'!$B$43*(1+0.03)^6)/((Returns!$B$5+0.0075)+Returns!$B$8))*(1-Assumptions!$C$99)-(Debt!$C$9+CUMPRINC(Assumptions!$C$88,Assumptions!$C$93,Debt!$C$9,1,3,0))))</f>
        <v>3834671.86035367</v>
      </c>
      <c r="H71" s="17" t="n">
        <f aca="false">IFERROR(IRR(B71:G71),"N/A")</f>
        <v>-0.0054748983935268</v>
      </c>
      <c r="I71" s="18" t="n">
        <f aca="false">SUM(C71:G71)/(Capital!$B$12)</f>
        <v>0.976804855174519</v>
      </c>
    </row>
    <row r="72" customFormat="false" ht="15" hidden="false" customHeight="false" outlineLevel="0" collapsed="false">
      <c r="A72" s="2" t="s">
        <v>329</v>
      </c>
      <c r="B72" s="15" t="n">
        <f aca="false">-(Capital!$B$12)</f>
        <v>-5528040</v>
      </c>
      <c r="C72" s="15" t="n">
        <f aca="false">(('Operating Model'!$B$43*(1+0.035)^1)-(Debt!$C$9*Assumptions!$C$88))</f>
        <v>395732.644831455</v>
      </c>
      <c r="D72" s="15" t="n">
        <f aca="false">(('Operating Model'!$B$43*(1+0.035)^2)-(Debt!$C$9*Assumptions!$C$88))</f>
        <v>431873.737400556</v>
      </c>
      <c r="E72" s="15" t="n">
        <f aca="false">(('Operating Model'!$B$43*(1+0.035)^3)-(-PMT(Assumptions!$C$88,Assumptions!$C$93,Debt!$C$9)))</f>
        <v>376014.682554952</v>
      </c>
      <c r="F72" s="15" t="n">
        <f aca="false">(('Operating Model'!$B$43*(1+0.035)^4)-(-PMT(Assumptions!$C$88,Assumptions!$C$93,Debt!$C$9)))</f>
        <v>414729.924442287</v>
      </c>
      <c r="G72" s="15" t="n">
        <f aca="false">(('Operating Model'!$B$43*(1+0.035)^5)-(-PMT(Assumptions!$C$88,Assumptions!$C$93,Debt!$C$9))+((('Operating Model'!$B$43*(1+0.035)^6)/((Returns!$B$5+0.0075)+Returns!$B$8))*(1-Assumptions!$C$99)-(Debt!$C$9+CUMPRINC(Assumptions!$C$88,Assumptions!$C$93,Debt!$C$9,1,3,0))))</f>
        <v>4219104.24583081</v>
      </c>
      <c r="H72" s="17" t="n">
        <f aca="false">IFERROR(IRR(B72:G72),"N/A")</f>
        <v>0.0127556358773992</v>
      </c>
      <c r="I72" s="18" t="n">
        <f aca="false">SUM(C72:G72)/(Capital!$B$12)</f>
        <v>1.05597196023546</v>
      </c>
    </row>
    <row r="73" customFormat="false" ht="15" hidden="false" customHeight="false" outlineLevel="0" collapsed="false">
      <c r="A73" s="2" t="s">
        <v>330</v>
      </c>
      <c r="B73" s="15" t="n">
        <f aca="false">-(Capital!$B$12)</f>
        <v>-5528040</v>
      </c>
      <c r="C73" s="15" t="n">
        <f aca="false">(('Operating Model'!$B$43*(1+0.015)^1)-(Debt!$C$9*Assumptions!$C$88))</f>
        <v>375778.970535195</v>
      </c>
      <c r="D73" s="15" t="n">
        <f aca="false">(('Operating Model'!$B$43*(1+0.015)^2)-(Debt!$C$9*Assumptions!$C$88))</f>
        <v>390968.705093222</v>
      </c>
      <c r="E73" s="15" t="n">
        <f aca="false">(('Operating Model'!$B$43*(1+0.015)^3)-(-PMT(Assumptions!$C$88,Assumptions!$C$93,Debt!$C$9)))</f>
        <v>313121.200014998</v>
      </c>
      <c r="F73" s="15" t="n">
        <f aca="false">(('Operating Model'!$B$43*(1+0.015)^4)-(-PMT(Assumptions!$C$88,Assumptions!$C$93,Debt!$C$9)))</f>
        <v>328770.044300042</v>
      </c>
      <c r="G73" s="15" t="n">
        <f aca="false">(('Operating Model'!$B$43*(1+0.015)^5)-(-PMT(Assumptions!$C$88,Assumptions!$C$93,Debt!$C$9))+((('Operating Model'!$B$43*(1+0.015)^6)/((Returns!$B$5+0.01)+Returns!$B$8))*(1-Assumptions!$C$99)-(Debt!$C$9+CUMPRINC(Assumptions!$C$88,Assumptions!$C$93,Debt!$C$9,1,3,0))))</f>
        <v>2456336.25734247</v>
      </c>
      <c r="H73" s="17" t="n">
        <f aca="false">IFERROR(IRR(B73:G73),"N/A")</f>
        <v>-0.0827641713636604</v>
      </c>
      <c r="I73" s="18" t="n">
        <f aca="false">SUM(C73:G73)/(Capital!$B$12)</f>
        <v>0.699158323254884</v>
      </c>
    </row>
    <row r="74" customFormat="false" ht="15" hidden="false" customHeight="false" outlineLevel="0" collapsed="false">
      <c r="A74" s="2" t="s">
        <v>331</v>
      </c>
      <c r="B74" s="15" t="n">
        <f aca="false">-(Capital!$B$12)</f>
        <v>-5528040</v>
      </c>
      <c r="C74" s="15" t="n">
        <f aca="false">(('Operating Model'!$B$43*(1+0.02)^1)-(Debt!$C$9*Assumptions!$C$88))</f>
        <v>380767.38910926</v>
      </c>
      <c r="D74" s="15" t="n">
        <f aca="false">(('Operating Model'!$B$43*(1+0.02)^2)-(Debt!$C$9*Assumptions!$C$88))</f>
        <v>401120.136891445</v>
      </c>
      <c r="E74" s="15" t="n">
        <f aca="false">(('Operating Model'!$B$43*(1+0.02)^3)-(-PMT(Assumptions!$C$88,Assumptions!$C$93,Debt!$C$9)))</f>
        <v>328614.853974651</v>
      </c>
      <c r="F74" s="15" t="n">
        <f aca="false">(('Operating Model'!$B$43*(1+0.02)^4)-(-PMT(Assumptions!$C$88,Assumptions!$C$93,Debt!$C$9)))</f>
        <v>349789.852767236</v>
      </c>
      <c r="G74" s="15" t="n">
        <f aca="false">(('Operating Model'!$B$43*(1+0.02)^5)-(-PMT(Assumptions!$C$88,Assumptions!$C$93,Debt!$C$9))+((('Operating Model'!$B$43*(1+0.02)^6)/((Returns!$B$5+0.01)+Returns!$B$8))*(1-Assumptions!$C$99)-(Debt!$C$9+CUMPRINC(Assumptions!$C$88,Assumptions!$C$93,Debt!$C$9,1,3,0))))</f>
        <v>2805687.87913929</v>
      </c>
      <c r="H74" s="17" t="n">
        <f aca="false">IFERROR(IRR(B74:G74),"N/A")</f>
        <v>-0.0600956590375049</v>
      </c>
      <c r="I74" s="18" t="n">
        <f aca="false">SUM(C74:G74)/(Capital!$B$12)</f>
        <v>0.771698488412147</v>
      </c>
    </row>
    <row r="75" customFormat="false" ht="15" hidden="false" customHeight="false" outlineLevel="0" collapsed="false">
      <c r="A75" s="2" t="s">
        <v>332</v>
      </c>
      <c r="B75" s="15" t="n">
        <f aca="false">-(Capital!$B$12)</f>
        <v>-5528040</v>
      </c>
      <c r="C75" s="15" t="n">
        <f aca="false">(('Operating Model'!$B$43*(1+0.025)^1)-(Debt!$C$9*Assumptions!$C$88))</f>
        <v>385755.807683325</v>
      </c>
      <c r="D75" s="15" t="n">
        <f aca="false">(('Operating Model'!$B$43*(1+0.025)^2)-(Debt!$C$9*Assumptions!$C$88))</f>
        <v>411321.452875408</v>
      </c>
      <c r="E75" s="15" t="n">
        <f aca="false">(('Operating Model'!$B$43*(1+0.025)^3)-(-PMT(Assumptions!$C$88,Assumptions!$C$93,Debt!$C$9)))</f>
        <v>344261.15354267</v>
      </c>
      <c r="F75" s="15" t="n">
        <f aca="false">(('Operating Model'!$B$43*(1+0.025)^4)-(-PMT(Assumptions!$C$88,Assumptions!$C$93,Debt!$C$9)))</f>
        <v>371121.059522602</v>
      </c>
      <c r="G75" s="15" t="n">
        <f aca="false">(('Operating Model'!$B$43*(1+0.025)^5)-(-PMT(Assumptions!$C$88,Assumptions!$C$93,Debt!$C$9))+((('Operating Model'!$B$43*(1+0.025)^6)/((Returns!$B$5+0.01)+Returns!$B$8))*(1-Assumptions!$C$99)-(Debt!$C$9+CUMPRINC(Assumptions!$C$88,Assumptions!$C$93,Debt!$C$9,1,3,0))))</f>
        <v>3163573.80980582</v>
      </c>
      <c r="H75" s="17" t="n">
        <f aca="false">IFERROR(IRR(B75:G75),"N/A")</f>
        <v>-0.0389364830139916</v>
      </c>
      <c r="I75" s="18" t="n">
        <f aca="false">SUM(C75:G75)/(Capital!$B$12)</f>
        <v>0.845875442911018</v>
      </c>
    </row>
    <row r="76" customFormat="false" ht="15" hidden="false" customHeight="false" outlineLevel="0" collapsed="false">
      <c r="A76" s="2" t="s">
        <v>333</v>
      </c>
      <c r="B76" s="15" t="n">
        <f aca="false">-(Capital!$B$12)</f>
        <v>-5528040</v>
      </c>
      <c r="C76" s="15" t="n">
        <f aca="false">(('Operating Model'!$B$43*(1+0.03)^1)-(Debt!$C$9*Assumptions!$C$88))</f>
        <v>390744.22625739</v>
      </c>
      <c r="D76" s="15" t="n">
        <f aca="false">(('Operating Model'!$B$43*(1+0.03)^2)-(Debt!$C$9*Assumptions!$C$88))</f>
        <v>421572.653045111</v>
      </c>
      <c r="E76" s="15" t="n">
        <f aca="false">(('Operating Model'!$B$43*(1+0.03)^3)-(-PMT(Assumptions!$C$88,Assumptions!$C$93,Debt!$C$9)))</f>
        <v>360060.846981842</v>
      </c>
      <c r="F76" s="15" t="n">
        <f aca="false">(('Operating Model'!$B$43*(1+0.03)^4)-(-PMT(Assumptions!$C$88,Assumptions!$C$93,Debt!$C$9)))</f>
        <v>392766.724960936</v>
      </c>
      <c r="G76" s="15" t="n">
        <f aca="false">(('Operating Model'!$B$43*(1+0.03)^5)-(-PMT(Assumptions!$C$88,Assumptions!$C$93,Debt!$C$9))+((('Operating Model'!$B$43*(1+0.03)^6)/((Returns!$B$5+0.01)+Returns!$B$8))*(1-Assumptions!$C$99)-(Debt!$C$9+CUMPRINC(Assumptions!$C$88,Assumptions!$C$93,Debt!$C$9,1,3,0))))</f>
        <v>3530159.98786679</v>
      </c>
      <c r="H76" s="17" t="n">
        <f aca="false">IFERROR(IRR(B76:G76),"N/A")</f>
        <v>-0.0190277064840361</v>
      </c>
      <c r="I76" s="18" t="n">
        <f aca="false">SUM(C76:G76)/(Capital!$B$12)</f>
        <v>0.921719893327847</v>
      </c>
    </row>
    <row r="77" customFormat="false" ht="15" hidden="false" customHeight="false" outlineLevel="0" collapsed="false">
      <c r="A77" s="2" t="s">
        <v>334</v>
      </c>
      <c r="B77" s="15" t="n">
        <f aca="false">-(Capital!$B$12)</f>
        <v>-5528040</v>
      </c>
      <c r="C77" s="15" t="n">
        <f aca="false">(('Operating Model'!$B$43*(1+0.035)^1)-(Debt!$C$9*Assumptions!$C$88))</f>
        <v>395732.644831455</v>
      </c>
      <c r="D77" s="15" t="n">
        <f aca="false">(('Operating Model'!$B$43*(1+0.035)^2)-(Debt!$C$9*Assumptions!$C$88))</f>
        <v>431873.737400556</v>
      </c>
      <c r="E77" s="15" t="n">
        <f aca="false">(('Operating Model'!$B$43*(1+0.035)^3)-(-PMT(Assumptions!$C$88,Assumptions!$C$93,Debt!$C$9)))</f>
        <v>376014.682554952</v>
      </c>
      <c r="F77" s="15" t="n">
        <f aca="false">(('Operating Model'!$B$43*(1+0.035)^4)-(-PMT(Assumptions!$C$88,Assumptions!$C$93,Debt!$C$9)))</f>
        <v>414729.924442287</v>
      </c>
      <c r="G77" s="15" t="n">
        <f aca="false">(('Operating Model'!$B$43*(1+0.035)^5)-(-PMT(Assumptions!$C$88,Assumptions!$C$93,Debt!$C$9))+((('Operating Model'!$B$43*(1+0.035)^6)/((Returns!$B$5+0.01)+Returns!$B$8))*(1-Assumptions!$C$99)-(Debt!$C$9+CUMPRINC(Assumptions!$C$88,Assumptions!$C$93,Debt!$C$9,1,3,0))))</f>
        <v>3905614.75941739</v>
      </c>
      <c r="H77" s="17" t="n">
        <f aca="false">IFERROR(IRR(B77:G77),"N/A")</f>
        <v>-0.000172739947186342</v>
      </c>
      <c r="I77" s="18" t="n">
        <f aca="false">SUM(C77:G77)/(Capital!$B$12)</f>
        <v>0.999262984465858</v>
      </c>
    </row>
    <row r="78" customFormat="false" ht="15" hidden="false" customHeight="false" outlineLevel="0" collapsed="false">
      <c r="A78" s="2" t="s">
        <v>335</v>
      </c>
      <c r="B78" s="15" t="n">
        <f aca="false">-((((Assumptions!$C$7*(1+-0.1))*(1+Assumptions!$C$10)+(Capital!$B$8-Assumptions!$C$7*(1+Assumptions!$C$10)))-((Assumptions!$C$7*(1+-0.1))*Assumptions!$C$89)))</f>
        <v>-5024340</v>
      </c>
      <c r="C78" s="15" t="n">
        <f aca="false">((('Operating Model'!$B$43+Assumptions!$C$20-(((Assumptions!$C$7*(1+-0.1))*Assumptions!$C$16)*Assumptions!$C$14))*(1+Assumptions!$C$53)^0)-(((Assumptions!$C$7*(1+-0.1))*Assumptions!$C$89)*Assumptions!$C$88))</f>
        <v>447772.331013</v>
      </c>
      <c r="D78" s="15" t="n">
        <f aca="false">((('Operating Model'!$B$43+Assumptions!$C$20-(((Assumptions!$C$7*(1+-0.1))*Assumptions!$C$16)*Assumptions!$C$14))*(1+Assumptions!$C$53)^1)-(((Assumptions!$C$7*(1+-0.1))*Assumptions!$C$89)*Assumptions!$C$88))</f>
        <v>478400.99094339</v>
      </c>
      <c r="E78" s="15" t="n">
        <f aca="false">((('Operating Model'!$B$43+Assumptions!$C$20-(((Assumptions!$C$7*(1+-0.1))*Assumptions!$C$16)*Assumptions!$C$14))*(1+Assumptions!$C$53)^2)-(-PMT(Assumptions!$C$88,Assumptions!$C$93,((Assumptions!$C$7*(1+-0.1))*Assumptions!$C$89))))</f>
        <v>426009.933582531</v>
      </c>
      <c r="F78" s="15" t="n">
        <f aca="false">((('Operating Model'!$B$43+Assumptions!$C$20-(((Assumptions!$C$7*(1+-0.1))*Assumptions!$C$16)*Assumptions!$C$14))*(1+Assumptions!$C$53)^3)-(-PMT(Assumptions!$C$88,Assumptions!$C$93,((Assumptions!$C$7*(1+-0.1))*Assumptions!$C$89))))</f>
        <v>458503.878902682</v>
      </c>
      <c r="G78"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Returns!$B$8))*(1-Assumptions!$C$99)-(((Assumptions!$C$7*(1+-0.1))*Assumptions!$C$89)+CUMPRINC(Assumptions!$C$88,Assumptions!$C$93,((Assumptions!$C$7*(1+-0.1))*Assumptions!$C$89),1,3,0))))</f>
        <v>4397401.62685288</v>
      </c>
      <c r="H78" s="17" t="n">
        <f aca="false">IFERROR(IRR(B78:G78),"N/A")</f>
        <v>0.0513326587933374</v>
      </c>
      <c r="I78" s="18" t="n">
        <f aca="false">SUM(C78:G78)/((((Assumptions!$C$7*(1+-0.1))*(1+Assumptions!$C$10)+(Capital!$B$8-Assumptions!$C$7*(1+Assumptions!$C$10)))-((Assumptions!$C$7*(1+-0.1))*Assumptions!$C$89)))</f>
        <v>1.23560283764524</v>
      </c>
    </row>
    <row r="79" customFormat="false" ht="15" hidden="false" customHeight="false" outlineLevel="0" collapsed="false">
      <c r="A79" s="2" t="s">
        <v>336</v>
      </c>
      <c r="B79" s="15" t="n">
        <f aca="false">-((((Assumptions!$C$7*(1+-0.1))*(1+Assumptions!$C$10)+(Capital!$B$8-Assumptions!$C$7*(1+Assumptions!$C$10)))-((Assumptions!$C$7*(1+-0.1))*Assumptions!$C$89)))</f>
        <v>-5024340</v>
      </c>
      <c r="C79" s="15" t="n">
        <f aca="false">((('Operating Model'!$B$43+Assumptions!$C$20-(((Assumptions!$C$7*(1+-0.1))*Assumptions!$C$16)*Assumptions!$C$14))*(1+Assumptions!$C$53)^0)-(((Assumptions!$C$7*(1+-0.1))*Assumptions!$C$89)*Assumptions!$C$88))</f>
        <v>447772.331013</v>
      </c>
      <c r="D79" s="15" t="n">
        <f aca="false">((('Operating Model'!$B$43+Assumptions!$C$20-(((Assumptions!$C$7*(1+-0.1))*Assumptions!$C$16)*Assumptions!$C$14))*(1+Assumptions!$C$53)^1)-(((Assumptions!$C$7*(1+-0.1))*Assumptions!$C$89)*Assumptions!$C$88))</f>
        <v>478400.99094339</v>
      </c>
      <c r="E79" s="15" t="n">
        <f aca="false">((('Operating Model'!$B$43+Assumptions!$C$20-(((Assumptions!$C$7*(1+-0.1))*Assumptions!$C$16)*Assumptions!$C$14))*(1+Assumptions!$C$53)^2)-(-PMT(Assumptions!$C$88,Assumptions!$C$93,((Assumptions!$C$7*(1+-0.1))*Assumptions!$C$89))))</f>
        <v>426009.933582531</v>
      </c>
      <c r="F79" s="15" t="n">
        <f aca="false">((('Operating Model'!$B$43+Assumptions!$C$20-(((Assumptions!$C$7*(1+-0.1))*Assumptions!$C$16)*Assumptions!$C$14))*(1+Assumptions!$C$53)^3)-(-PMT(Assumptions!$C$88,Assumptions!$C$93,((Assumptions!$C$7*(1+-0.1))*Assumptions!$C$89))))</f>
        <v>458503.878902682</v>
      </c>
      <c r="G79"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+0.0025)+Returns!$B$8))*(1-Assumptions!$C$99)-(((Assumptions!$C$7*(1+-0.1))*Assumptions!$C$89)+CUMPRINC(Assumptions!$C$88,Assumptions!$C$93,((Assumptions!$C$7*(1+-0.1))*Assumptions!$C$89),1,3,0))))</f>
        <v>4109207.01088308</v>
      </c>
      <c r="H79" s="17" t="n">
        <f aca="false">IFERROR(IRR(B79:G79),"N/A")</f>
        <v>0.0398329239731552</v>
      </c>
      <c r="I79" s="18" t="n">
        <f aca="false">SUM(C79:G79)/((((Assumptions!$C$7*(1+-0.1))*(1+Assumptions!$C$10)+(Capital!$B$8-Assumptions!$C$7*(1+Assumptions!$C$10)))-((Assumptions!$C$7*(1+-0.1))*Assumptions!$C$89)))</f>
        <v>1.17824314145235</v>
      </c>
    </row>
    <row r="80" customFormat="false" ht="15" hidden="false" customHeight="false" outlineLevel="0" collapsed="false">
      <c r="A80" s="2" t="s">
        <v>337</v>
      </c>
      <c r="B80" s="15" t="n">
        <f aca="false">-((((Assumptions!$C$7*(1+-0.1))*(1+Assumptions!$C$10)+(Capital!$B$8-Assumptions!$C$7*(1+Assumptions!$C$10)))-((Assumptions!$C$7*(1+-0.1))*Assumptions!$C$89)))</f>
        <v>-5024340</v>
      </c>
      <c r="C80" s="15" t="n">
        <f aca="false">((('Operating Model'!$B$43+Assumptions!$C$20-(((Assumptions!$C$7*(1+-0.1))*Assumptions!$C$16)*Assumptions!$C$14))*(1+Assumptions!$C$53)^0)-(((Assumptions!$C$7*(1+-0.1))*Assumptions!$C$89)*Assumptions!$C$88))</f>
        <v>447772.331013</v>
      </c>
      <c r="D80" s="15" t="n">
        <f aca="false">((('Operating Model'!$B$43+Assumptions!$C$20-(((Assumptions!$C$7*(1+-0.1))*Assumptions!$C$16)*Assumptions!$C$14))*(1+Assumptions!$C$53)^1)-(((Assumptions!$C$7*(1+-0.1))*Assumptions!$C$89)*Assumptions!$C$88))</f>
        <v>478400.99094339</v>
      </c>
      <c r="E80" s="15" t="n">
        <f aca="false">((('Operating Model'!$B$43+Assumptions!$C$20-(((Assumptions!$C$7*(1+-0.1))*Assumptions!$C$16)*Assumptions!$C$14))*(1+Assumptions!$C$53)^2)-(-PMT(Assumptions!$C$88,Assumptions!$C$93,((Assumptions!$C$7*(1+-0.1))*Assumptions!$C$89))))</f>
        <v>426009.933582531</v>
      </c>
      <c r="F80" s="15" t="n">
        <f aca="false">((('Operating Model'!$B$43+Assumptions!$C$20-(((Assumptions!$C$7*(1+-0.1))*Assumptions!$C$16)*Assumptions!$C$14))*(1+Assumptions!$C$53)^3)-(-PMT(Assumptions!$C$88,Assumptions!$C$93,((Assumptions!$C$7*(1+-0.1))*Assumptions!$C$89))))</f>
        <v>458503.878902682</v>
      </c>
      <c r="G80"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+0.005)+Returns!$B$8))*(1-Assumptions!$C$99)-(((Assumptions!$C$7*(1+-0.1))*Assumptions!$C$89)+CUMPRINC(Assumptions!$C$88,Assumptions!$C$93,((Assumptions!$C$7*(1+-0.1))*Assumptions!$C$89),1,3,0))))</f>
        <v>3834859.11627301</v>
      </c>
      <c r="H80" s="17" t="n">
        <f aca="false">IFERROR(IRR(B80:G80),"N/A")</f>
        <v>0.0283409460962099</v>
      </c>
      <c r="I80" s="18" t="n">
        <f aca="false">SUM(C80:G80)/((((Assumptions!$C$7*(1+-0.1))*(1+Assumptions!$C$10)+(Capital!$B$8-Assumptions!$C$7*(1+Assumptions!$C$10)))-((Assumptions!$C$7*(1+-0.1))*Assumptions!$C$89)))</f>
        <v>1.12363937367189</v>
      </c>
    </row>
    <row r="81" customFormat="false" ht="15" hidden="false" customHeight="false" outlineLevel="0" collapsed="false">
      <c r="A81" s="2" t="s">
        <v>338</v>
      </c>
      <c r="B81" s="15" t="n">
        <f aca="false">-((((Assumptions!$C$7*(1+-0.1))*(1+Assumptions!$C$10)+(Capital!$B$8-Assumptions!$C$7*(1+Assumptions!$C$10)))-((Assumptions!$C$7*(1+-0.1))*Assumptions!$C$89)))</f>
        <v>-5024340</v>
      </c>
      <c r="C81" s="15" t="n">
        <f aca="false">((('Operating Model'!$B$43+Assumptions!$C$20-(((Assumptions!$C$7*(1+-0.1))*Assumptions!$C$16)*Assumptions!$C$14))*(1+Assumptions!$C$53)^0)-(((Assumptions!$C$7*(1+-0.1))*Assumptions!$C$89)*Assumptions!$C$88))</f>
        <v>447772.331013</v>
      </c>
      <c r="D81" s="15" t="n">
        <f aca="false">((('Operating Model'!$B$43+Assumptions!$C$20-(((Assumptions!$C$7*(1+-0.1))*Assumptions!$C$16)*Assumptions!$C$14))*(1+Assumptions!$C$53)^1)-(((Assumptions!$C$7*(1+-0.1))*Assumptions!$C$89)*Assumptions!$C$88))</f>
        <v>478400.99094339</v>
      </c>
      <c r="E81" s="15" t="n">
        <f aca="false">((('Operating Model'!$B$43+Assumptions!$C$20-(((Assumptions!$C$7*(1+-0.1))*Assumptions!$C$16)*Assumptions!$C$14))*(1+Assumptions!$C$53)^2)-(-PMT(Assumptions!$C$88,Assumptions!$C$93,((Assumptions!$C$7*(1+-0.1))*Assumptions!$C$89))))</f>
        <v>426009.933582531</v>
      </c>
      <c r="F81" s="15" t="n">
        <f aca="false">((('Operating Model'!$B$43+Assumptions!$C$20-(((Assumptions!$C$7*(1+-0.1))*Assumptions!$C$16)*Assumptions!$C$14))*(1+Assumptions!$C$53)^3)-(-PMT(Assumptions!$C$88,Assumptions!$C$93,((Assumptions!$C$7*(1+-0.1))*Assumptions!$C$89))))</f>
        <v>458503.878902682</v>
      </c>
      <c r="G81"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+0.0075)+Returns!$B$8))*(1-Assumptions!$C$99)-(((Assumptions!$C$7*(1+-0.1))*Assumptions!$C$89)+CUMPRINC(Assumptions!$C$88,Assumptions!$C$93,((Assumptions!$C$7*(1+-0.1))*Assumptions!$C$89),1,3,0))))</f>
        <v>3573383.42584184</v>
      </c>
      <c r="H81" s="17" t="n">
        <f aca="false">IFERROR(IRR(B81:G81),"N/A")</f>
        <v>0.0168351012405579</v>
      </c>
      <c r="I81" s="18" t="n">
        <f aca="false">SUM(C81:G81)/((((Assumptions!$C$7*(1+-0.1))*(1+Assumptions!$C$10)+(Capital!$B$8-Assumptions!$C$7*(1+Assumptions!$C$10)))-((Assumptions!$C$7*(1+-0.1))*Assumptions!$C$89)))</f>
        <v>1.07159757506129</v>
      </c>
    </row>
    <row r="82" customFormat="false" ht="15" hidden="false" customHeight="false" outlineLevel="0" collapsed="false">
      <c r="A82" s="2" t="s">
        <v>339</v>
      </c>
      <c r="B82" s="15" t="n">
        <f aca="false">-((((Assumptions!$C$7*(1+-0.1))*(1+Assumptions!$C$10)+(Capital!$B$8-Assumptions!$C$7*(1+Assumptions!$C$10)))-((Assumptions!$C$7*(1+-0.1))*Assumptions!$C$89)))</f>
        <v>-5024340</v>
      </c>
      <c r="C82" s="15" t="n">
        <f aca="false">((('Operating Model'!$B$43+Assumptions!$C$20-(((Assumptions!$C$7*(1+-0.1))*Assumptions!$C$16)*Assumptions!$C$14))*(1+Assumptions!$C$53)^0)-(((Assumptions!$C$7*(1+-0.1))*Assumptions!$C$89)*Assumptions!$C$88))</f>
        <v>447772.331013</v>
      </c>
      <c r="D82" s="15" t="n">
        <f aca="false">((('Operating Model'!$B$43+Assumptions!$C$20-(((Assumptions!$C$7*(1+-0.1))*Assumptions!$C$16)*Assumptions!$C$14))*(1+Assumptions!$C$53)^1)-(((Assumptions!$C$7*(1+-0.1))*Assumptions!$C$89)*Assumptions!$C$88))</f>
        <v>478400.99094339</v>
      </c>
      <c r="E82" s="15" t="n">
        <f aca="false">((('Operating Model'!$B$43+Assumptions!$C$20-(((Assumptions!$C$7*(1+-0.1))*Assumptions!$C$16)*Assumptions!$C$14))*(1+Assumptions!$C$53)^2)-(-PMT(Assumptions!$C$88,Assumptions!$C$93,((Assumptions!$C$7*(1+-0.1))*Assumptions!$C$89))))</f>
        <v>426009.933582531</v>
      </c>
      <c r="F82" s="15" t="n">
        <f aca="false">((('Operating Model'!$B$43+Assumptions!$C$20-(((Assumptions!$C$7*(1+-0.1))*Assumptions!$C$16)*Assumptions!$C$14))*(1+Assumptions!$C$53)^3)-(-PMT(Assumptions!$C$88,Assumptions!$C$93,((Assumptions!$C$7*(1+-0.1))*Assumptions!$C$89))))</f>
        <v>458503.878902682</v>
      </c>
      <c r="G82"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+0.01)+Returns!$B$8))*(1-Assumptions!$C$99)-(((Assumptions!$C$7*(1+-0.1))*Assumptions!$C$89)+CUMPRINC(Assumptions!$C$88,Assumptions!$C$93,((Assumptions!$C$7*(1+-0.1))*Assumptions!$C$89),1,3,0))))</f>
        <v>3323894.77354179</v>
      </c>
      <c r="H82" s="17" t="n">
        <f aca="false">IFERROR(IRR(B82:G82),"N/A")</f>
        <v>0.00529294230182804</v>
      </c>
      <c r="I82" s="18" t="n">
        <f aca="false">SUM(C82:G82)/((((Assumptions!$C$7*(1+-0.1))*(1+Assumptions!$C$10)+(Capital!$B$8-Assumptions!$C$7*(1+Assumptions!$C$10)))-((Assumptions!$C$7*(1+-0.1))*Assumptions!$C$89)))</f>
        <v>1.02194157003375</v>
      </c>
    </row>
    <row r="83" customFormat="false" ht="15" hidden="false" customHeight="false" outlineLevel="0" collapsed="false">
      <c r="A83" s="2" t="s">
        <v>340</v>
      </c>
      <c r="B83" s="15" t="n">
        <f aca="false">-((((Assumptions!$C$7*(1+-0.05))*(1+Assumptions!$C$10)+(Capital!$B$8-Assumptions!$C$7*(1+Assumptions!$C$10)))-((Assumptions!$C$7*(1+-0.05))*Assumptions!$C$89)))</f>
        <v>-5276190</v>
      </c>
      <c r="C83" s="15" t="n">
        <f aca="false">((('Operating Model'!$B$43+Assumptions!$C$20-(((Assumptions!$C$7*(1+-0.05))*Assumptions!$C$16)*Assumptions!$C$14))*(1+Assumptions!$C$53)^0)-(((Assumptions!$C$7*(1+-0.05))*Assumptions!$C$89)*Assumptions!$C$88))</f>
        <v>404293.022913</v>
      </c>
      <c r="D83" s="15" t="n">
        <f aca="false">((('Operating Model'!$B$43+Assumptions!$C$20-(((Assumptions!$C$7*(1+-0.05))*Assumptions!$C$16)*Assumptions!$C$14))*(1+Assumptions!$C$53)^1)-(((Assumptions!$C$7*(1+-0.05))*Assumptions!$C$89)*Assumptions!$C$88))</f>
        <v>434572.60860039</v>
      </c>
      <c r="E83" s="15" t="n">
        <f aca="false">((('Operating Model'!$B$43+Assumptions!$C$20-(((Assumptions!$C$7*(1+-0.05))*Assumptions!$C$16)*Assumptions!$C$14))*(1+Assumptions!$C$53)^2)-(-PMT(Assumptions!$C$88,Assumptions!$C$93,((Assumptions!$C$7*(1+-0.05))*Assumptions!$C$89))))</f>
        <v>377158.75048651</v>
      </c>
      <c r="F83" s="15" t="n">
        <f aca="false">((('Operating Model'!$B$43+Assumptions!$C$20-(((Assumptions!$C$7*(1+-0.05))*Assumptions!$C$16)*Assumptions!$C$14))*(1+Assumptions!$C$53)^3)-(-PMT(Assumptions!$C$88,Assumptions!$C$93,((Assumptions!$C$7*(1+-0.05))*Assumptions!$C$89))))</f>
        <v>409282.362942262</v>
      </c>
      <c r="G83"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Returns!$B$8))*(1-Assumptions!$C$99)-(((Assumptions!$C$7*(1+-0.05))*Assumptions!$C$89)+CUMPRINC(Assumptions!$C$88,Assumptions!$C$93,((Assumptions!$C$7*(1+-0.05))*Assumptions!$C$89),1,3,0))))</f>
        <v>4423914.24957676</v>
      </c>
      <c r="H83" s="17" t="n">
        <f aca="false">IFERROR(IRR(B83:G83),"N/A")</f>
        <v>0.0323139233398894</v>
      </c>
      <c r="I83" s="18" t="n">
        <f aca="false">SUM(C83:G83)/((((Assumptions!$C$7*(1+-0.05))*(1+Assumptions!$C$10)+(Capital!$B$8-Assumptions!$C$7*(1+Assumptions!$C$10)))-((Assumptions!$C$7*(1+-0.05))*Assumptions!$C$89)))</f>
        <v>1.14651310785224</v>
      </c>
    </row>
    <row r="84" customFormat="false" ht="15" hidden="false" customHeight="false" outlineLevel="0" collapsed="false">
      <c r="A84" s="2" t="s">
        <v>341</v>
      </c>
      <c r="B84" s="15" t="n">
        <f aca="false">-((((Assumptions!$C$7*(1+-0.05))*(1+Assumptions!$C$10)+(Capital!$B$8-Assumptions!$C$7*(1+Assumptions!$C$10)))-((Assumptions!$C$7*(1+-0.05))*Assumptions!$C$89)))</f>
        <v>-5276190</v>
      </c>
      <c r="C84" s="15" t="n">
        <f aca="false">((('Operating Model'!$B$43+Assumptions!$C$20-(((Assumptions!$C$7*(1+-0.05))*Assumptions!$C$16)*Assumptions!$C$14))*(1+Assumptions!$C$53)^0)-(((Assumptions!$C$7*(1+-0.05))*Assumptions!$C$89)*Assumptions!$C$88))</f>
        <v>404293.022913</v>
      </c>
      <c r="D84" s="15" t="n">
        <f aca="false">((('Operating Model'!$B$43+Assumptions!$C$20-(((Assumptions!$C$7*(1+-0.05))*Assumptions!$C$16)*Assumptions!$C$14))*(1+Assumptions!$C$53)^1)-(((Assumptions!$C$7*(1+-0.05))*Assumptions!$C$89)*Assumptions!$C$88))</f>
        <v>434572.60860039</v>
      </c>
      <c r="E84" s="15" t="n">
        <f aca="false">((('Operating Model'!$B$43+Assumptions!$C$20-(((Assumptions!$C$7*(1+-0.05))*Assumptions!$C$16)*Assumptions!$C$14))*(1+Assumptions!$C$53)^2)-(-PMT(Assumptions!$C$88,Assumptions!$C$93,((Assumptions!$C$7*(1+-0.05))*Assumptions!$C$89))))</f>
        <v>377158.75048651</v>
      </c>
      <c r="F84" s="15" t="n">
        <f aca="false">((('Operating Model'!$B$43+Assumptions!$C$20-(((Assumptions!$C$7*(1+-0.05))*Assumptions!$C$16)*Assumptions!$C$14))*(1+Assumptions!$C$53)^3)-(-PMT(Assumptions!$C$88,Assumptions!$C$93,((Assumptions!$C$7*(1+-0.05))*Assumptions!$C$89))))</f>
        <v>409282.362942262</v>
      </c>
      <c r="G84"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+0.0025)+Returns!$B$8))*(1-Assumptions!$C$99)-(((Assumptions!$C$7*(1+-0.05))*Assumptions!$C$89)+CUMPRINC(Assumptions!$C$88,Assumptions!$C$93,((Assumptions!$C$7*(1+-0.05))*Assumptions!$C$89),1,3,0))))</f>
        <v>4106901.6623181</v>
      </c>
      <c r="H84" s="17" t="n">
        <f aca="false">IFERROR(IRR(B84:G84),"N/A")</f>
        <v>0.0195971440861583</v>
      </c>
      <c r="I84" s="18" t="n">
        <f aca="false">SUM(C84:G84)/((((Assumptions!$C$7*(1+-0.05))*(1+Assumptions!$C$10)+(Capital!$B$8-Assumptions!$C$7*(1+Assumptions!$C$10)))-((Assumptions!$C$7*(1+-0.05))*Assumptions!$C$89)))</f>
        <v>1.08642948932094</v>
      </c>
    </row>
    <row r="85" customFormat="false" ht="15" hidden="false" customHeight="false" outlineLevel="0" collapsed="false">
      <c r="A85" s="2" t="s">
        <v>342</v>
      </c>
      <c r="B85" s="15" t="n">
        <f aca="false">-((((Assumptions!$C$7*(1+-0.05))*(1+Assumptions!$C$10)+(Capital!$B$8-Assumptions!$C$7*(1+Assumptions!$C$10)))-((Assumptions!$C$7*(1+-0.05))*Assumptions!$C$89)))</f>
        <v>-5276190</v>
      </c>
      <c r="C85" s="15" t="n">
        <f aca="false">((('Operating Model'!$B$43+Assumptions!$C$20-(((Assumptions!$C$7*(1+-0.05))*Assumptions!$C$16)*Assumptions!$C$14))*(1+Assumptions!$C$53)^0)-(((Assumptions!$C$7*(1+-0.05))*Assumptions!$C$89)*Assumptions!$C$88))</f>
        <v>404293.022913</v>
      </c>
      <c r="D85" s="15" t="n">
        <f aca="false">((('Operating Model'!$B$43+Assumptions!$C$20-(((Assumptions!$C$7*(1+-0.05))*Assumptions!$C$16)*Assumptions!$C$14))*(1+Assumptions!$C$53)^1)-(((Assumptions!$C$7*(1+-0.05))*Assumptions!$C$89)*Assumptions!$C$88))</f>
        <v>434572.60860039</v>
      </c>
      <c r="E85" s="15" t="n">
        <f aca="false">((('Operating Model'!$B$43+Assumptions!$C$20-(((Assumptions!$C$7*(1+-0.05))*Assumptions!$C$16)*Assumptions!$C$14))*(1+Assumptions!$C$53)^2)-(-PMT(Assumptions!$C$88,Assumptions!$C$93,((Assumptions!$C$7*(1+-0.05))*Assumptions!$C$89))))</f>
        <v>377158.75048651</v>
      </c>
      <c r="F85" s="15" t="n">
        <f aca="false">((('Operating Model'!$B$43+Assumptions!$C$20-(((Assumptions!$C$7*(1+-0.05))*Assumptions!$C$16)*Assumptions!$C$14))*(1+Assumptions!$C$53)^3)-(-PMT(Assumptions!$C$88,Assumptions!$C$93,((Assumptions!$C$7*(1+-0.05))*Assumptions!$C$89))))</f>
        <v>409282.362942262</v>
      </c>
      <c r="G85"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+0.005)+Returns!$B$8))*(1-Assumptions!$C$99)-(((Assumptions!$C$7*(1+-0.05))*Assumptions!$C$89)+CUMPRINC(Assumptions!$C$88,Assumptions!$C$93,((Assumptions!$C$7*(1+-0.05))*Assumptions!$C$89),1,3,0))))</f>
        <v>3805923.78092777</v>
      </c>
      <c r="H85" s="17" t="n">
        <f aca="false">IFERROR(IRR(B85:G85),"N/A")</f>
        <v>0.00685045233328115</v>
      </c>
      <c r="I85" s="18" t="n">
        <f aca="false">SUM(C85:G85)/((((Assumptions!$C$7*(1+-0.05))*(1+Assumptions!$C$10)+(Capital!$B$8-Assumptions!$C$7*(1+Assumptions!$C$10)))-((Assumptions!$C$7*(1+-0.05))*Assumptions!$C$89)))</f>
        <v>1.02938493986569</v>
      </c>
    </row>
    <row r="86" customFormat="false" ht="15" hidden="false" customHeight="false" outlineLevel="0" collapsed="false">
      <c r="A86" s="2" t="s">
        <v>343</v>
      </c>
      <c r="B86" s="15" t="n">
        <f aca="false">-((((Assumptions!$C$7*(1+-0.05))*(1+Assumptions!$C$10)+(Capital!$B$8-Assumptions!$C$7*(1+Assumptions!$C$10)))-((Assumptions!$C$7*(1+-0.05))*Assumptions!$C$89)))</f>
        <v>-5276190</v>
      </c>
      <c r="C86" s="15" t="n">
        <f aca="false">((('Operating Model'!$B$43+Assumptions!$C$20-(((Assumptions!$C$7*(1+-0.05))*Assumptions!$C$16)*Assumptions!$C$14))*(1+Assumptions!$C$53)^0)-(((Assumptions!$C$7*(1+-0.05))*Assumptions!$C$89)*Assumptions!$C$88))</f>
        <v>404293.022913</v>
      </c>
      <c r="D86" s="15" t="n">
        <f aca="false">((('Operating Model'!$B$43+Assumptions!$C$20-(((Assumptions!$C$7*(1+-0.05))*Assumptions!$C$16)*Assumptions!$C$14))*(1+Assumptions!$C$53)^1)-(((Assumptions!$C$7*(1+-0.05))*Assumptions!$C$89)*Assumptions!$C$88))</f>
        <v>434572.60860039</v>
      </c>
      <c r="E86" s="15" t="n">
        <f aca="false">((('Operating Model'!$B$43+Assumptions!$C$20-(((Assumptions!$C$7*(1+-0.05))*Assumptions!$C$16)*Assumptions!$C$14))*(1+Assumptions!$C$53)^2)-(-PMT(Assumptions!$C$88,Assumptions!$C$93,((Assumptions!$C$7*(1+-0.05))*Assumptions!$C$89))))</f>
        <v>377158.75048651</v>
      </c>
      <c r="F86" s="15" t="n">
        <f aca="false">((('Operating Model'!$B$43+Assumptions!$C$20-(((Assumptions!$C$7*(1+-0.05))*Assumptions!$C$16)*Assumptions!$C$14))*(1+Assumptions!$C$53)^3)-(-PMT(Assumptions!$C$88,Assumptions!$C$93,((Assumptions!$C$7*(1+-0.05))*Assumptions!$C$89))))</f>
        <v>409282.362942262</v>
      </c>
      <c r="G86"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+0.0075)+Returns!$B$8))*(1-Assumptions!$C$99)-(((Assumptions!$C$7*(1+-0.05))*Assumptions!$C$89)+CUMPRINC(Assumptions!$C$88,Assumptions!$C$93,((Assumptions!$C$7*(1+-0.05))*Assumptions!$C$89),1,3,0))))</f>
        <v>3519794.04490555</v>
      </c>
      <c r="H86" s="17" t="n">
        <f aca="false">IFERROR(IRR(B86:G86),"N/A")</f>
        <v>-0.0059563132883712</v>
      </c>
      <c r="I86" s="18" t="n">
        <f aca="false">SUM(C86:G86)/((((Assumptions!$C$7*(1+-0.05))*(1+Assumptions!$C$10)+(Capital!$B$8-Assumptions!$C$7*(1+Assumptions!$C$10)))-((Assumptions!$C$7*(1+-0.05))*Assumptions!$C$89)))</f>
        <v>0.975154569840683</v>
      </c>
    </row>
    <row r="87" customFormat="false" ht="15" hidden="false" customHeight="false" outlineLevel="0" collapsed="false">
      <c r="A87" s="2" t="s">
        <v>344</v>
      </c>
      <c r="B87" s="15" t="n">
        <f aca="false">-((((Assumptions!$C$7*(1+-0.05))*(1+Assumptions!$C$10)+(Capital!$B$8-Assumptions!$C$7*(1+Assumptions!$C$10)))-((Assumptions!$C$7*(1+-0.05))*Assumptions!$C$89)))</f>
        <v>-5276190</v>
      </c>
      <c r="C87" s="15" t="n">
        <f aca="false">((('Operating Model'!$B$43+Assumptions!$C$20-(((Assumptions!$C$7*(1+-0.05))*Assumptions!$C$16)*Assumptions!$C$14))*(1+Assumptions!$C$53)^0)-(((Assumptions!$C$7*(1+-0.05))*Assumptions!$C$89)*Assumptions!$C$88))</f>
        <v>404293.022913</v>
      </c>
      <c r="D87" s="15" t="n">
        <f aca="false">((('Operating Model'!$B$43+Assumptions!$C$20-(((Assumptions!$C$7*(1+-0.05))*Assumptions!$C$16)*Assumptions!$C$14))*(1+Assumptions!$C$53)^1)-(((Assumptions!$C$7*(1+-0.05))*Assumptions!$C$89)*Assumptions!$C$88))</f>
        <v>434572.60860039</v>
      </c>
      <c r="E87" s="15" t="n">
        <f aca="false">((('Operating Model'!$B$43+Assumptions!$C$20-(((Assumptions!$C$7*(1+-0.05))*Assumptions!$C$16)*Assumptions!$C$14))*(1+Assumptions!$C$53)^2)-(-PMT(Assumptions!$C$88,Assumptions!$C$93,((Assumptions!$C$7*(1+-0.05))*Assumptions!$C$89))))</f>
        <v>377158.75048651</v>
      </c>
      <c r="F87" s="15" t="n">
        <f aca="false">((('Operating Model'!$B$43+Assumptions!$C$20-(((Assumptions!$C$7*(1+-0.05))*Assumptions!$C$16)*Assumptions!$C$14))*(1+Assumptions!$C$53)^3)-(-PMT(Assumptions!$C$88,Assumptions!$C$93,((Assumptions!$C$7*(1+-0.05))*Assumptions!$C$89))))</f>
        <v>409282.362942262</v>
      </c>
      <c r="G87"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+0.01)+Returns!$B$8))*(1-Assumptions!$C$99)-(((Assumptions!$C$7*(1+-0.05))*Assumptions!$C$89)+CUMPRINC(Assumptions!$C$88,Assumptions!$C$93,((Assumptions!$C$7*(1+-0.05))*Assumptions!$C$89),1,3,0))))</f>
        <v>3247440.14868742</v>
      </c>
      <c r="H87" s="17" t="n">
        <f aca="false">IFERROR(IRR(B87:G87),"N/A")</f>
        <v>-0.0188552039694911</v>
      </c>
      <c r="I87" s="18" t="n">
        <f aca="false">SUM(C87:G87)/((((Assumptions!$C$7*(1+-0.05))*(1+Assumptions!$C$10)+(Capital!$B$8-Assumptions!$C$7*(1+Assumptions!$C$10)))-((Assumptions!$C$7*(1+-0.05))*Assumptions!$C$89)))</f>
        <v>0.923535144418525</v>
      </c>
    </row>
    <row r="88" customFormat="false" ht="15" hidden="false" customHeight="false" outlineLevel="0" collapsed="false">
      <c r="A88" s="2" t="s">
        <v>345</v>
      </c>
      <c r="B88" s="15" t="n">
        <f aca="false">-((((Assumptions!$C$7*(1+0))*(1+Assumptions!$C$10)+(Capital!$B$8-Assumptions!$C$7*(1+Assumptions!$C$10)))-((Assumptions!$C$7*(1+0))*Assumptions!$C$89)))</f>
        <v>-5528040</v>
      </c>
      <c r="C88" s="15" t="n">
        <f aca="false">((('Operating Model'!$B$43+Assumptions!$C$20-(((Assumptions!$C$7*(1+0))*Assumptions!$C$16)*Assumptions!$C$14))*(1+Assumptions!$C$53)^0)-(((Assumptions!$C$7*(1+0))*Assumptions!$C$89)*Assumptions!$C$88))</f>
        <v>360813.714813</v>
      </c>
      <c r="D88" s="15" t="n">
        <f aca="false">((('Operating Model'!$B$43+Assumptions!$C$20-(((Assumptions!$C$7*(1+0))*Assumptions!$C$16)*Assumptions!$C$14))*(1+Assumptions!$C$53)^1)-(((Assumptions!$C$7*(1+0))*Assumptions!$C$89)*Assumptions!$C$88))</f>
        <v>390744.22625739</v>
      </c>
      <c r="E88" s="15" t="n">
        <f aca="false">((('Operating Model'!$B$43+Assumptions!$C$20-(((Assumptions!$C$7*(1+0))*Assumptions!$C$16)*Assumptions!$C$14))*(1+Assumptions!$C$53)^2)-(-PMT(Assumptions!$C$88,Assumptions!$C$93,((Assumptions!$C$7*(1+0))*Assumptions!$C$89))))</f>
        <v>328307.567390489</v>
      </c>
      <c r="F88" s="15" t="n">
        <f aca="false">((('Operating Model'!$B$43+Assumptions!$C$20-(((Assumptions!$C$7*(1+0))*Assumptions!$C$16)*Assumptions!$C$14))*(1+Assumptions!$C$53)^3)-(-PMT(Assumptions!$C$88,Assumptions!$C$93,((Assumptions!$C$7*(1+0))*Assumptions!$C$89))))</f>
        <v>360060.846981842</v>
      </c>
      <c r="G88" s="15" t="n">
        <f aca="false">((('Operating Model'!$B$43+Assumptions!$C$20-(((Assumptions!$C$7*(1+0))*Assumptions!$C$16)*Assumptions!$C$14))*(1+Assumptions!$C$53)^4)-(-PMT(Assumptions!$C$88,Assumptions!$C$93,((Assumptions!$C$7*(1+0))*Assumptions!$C$89)))+(((('Operating Model'!$B$43+Assumptions!$C$20-(((Assumptions!$C$7*(1+0))*Assumptions!$C$16)*Assumptions!$C$14))*(1+Assumptions!$C$53)^5)/(((('Operating Model'!$B$43+Assumptions!$C$20-(((Assumptions!$C$7*(1+0))*Assumptions!$C$16)*Assumptions!$C$14))/(Assumptions!$C$7*(1+0)))+0)+Returns!$B$8))*(1-Assumptions!$C$99)-(((Assumptions!$C$7*(1+0))*Assumptions!$C$89)+CUMPRINC(Assumptions!$C$88,Assumptions!$C$93,((Assumptions!$C$7*(1+0))*Assumptions!$C$89),1,3,0))))</f>
        <v>4435600.27278809</v>
      </c>
      <c r="H88" s="17" t="n">
        <f aca="false">IFERROR(IRR(B88:G88),"N/A")</f>
        <v>0.0140435461099893</v>
      </c>
      <c r="I88" s="18" t="n">
        <f aca="false">SUM(C88:G88)/((((Assumptions!$C$7*(1+0))*(1+Assumptions!$C$10)+(Capital!$B$8-Assumptions!$C$7*(1+Assumptions!$C$10)))-((Assumptions!$C$7*(1+0))*Assumptions!$C$89)))</f>
        <v>1.06285892074421</v>
      </c>
    </row>
    <row r="89" customFormat="false" ht="15" hidden="false" customHeight="false" outlineLevel="0" collapsed="false">
      <c r="A89" s="2" t="s">
        <v>346</v>
      </c>
      <c r="B89" s="15" t="n">
        <f aca="false">-((((Assumptions!$C$7*(1+0))*(1+Assumptions!$C$10)+(Capital!$B$8-Assumptions!$C$7*(1+Assumptions!$C$10)))-((Assumptions!$C$7*(1+0))*Assumptions!$C$89)))</f>
        <v>-5528040</v>
      </c>
      <c r="C89" s="15" t="n">
        <f aca="false">((('Operating Model'!$B$43+Assumptions!$C$20-(((Assumptions!$C$7*(1+0))*Assumptions!$C$16)*Assumptions!$C$14))*(1+Assumptions!$C$53)^0)-(((Assumptions!$C$7*(1+0))*Assumptions!$C$89)*Assumptions!$C$88))</f>
        <v>360813.714813</v>
      </c>
      <c r="D89" s="15" t="n">
        <f aca="false">((('Operating Model'!$B$43+Assumptions!$C$20-(((Assumptions!$C$7*(1+0))*Assumptions!$C$16)*Assumptions!$C$14))*(1+Assumptions!$C$53)^1)-(((Assumptions!$C$7*(1+0))*Assumptions!$C$89)*Assumptions!$C$88))</f>
        <v>390744.22625739</v>
      </c>
      <c r="E89" s="15" t="n">
        <f aca="false">((('Operating Model'!$B$43+Assumptions!$C$20-(((Assumptions!$C$7*(1+0))*Assumptions!$C$16)*Assumptions!$C$14))*(1+Assumptions!$C$53)^2)-(-PMT(Assumptions!$C$88,Assumptions!$C$93,((Assumptions!$C$7*(1+0))*Assumptions!$C$89))))</f>
        <v>328307.567390489</v>
      </c>
      <c r="F89" s="15" t="n">
        <f aca="false">((('Operating Model'!$B$43+Assumptions!$C$20-(((Assumptions!$C$7*(1+0))*Assumptions!$C$16)*Assumptions!$C$14))*(1+Assumptions!$C$53)^3)-(-PMT(Assumptions!$C$88,Assumptions!$C$93,((Assumptions!$C$7*(1+0))*Assumptions!$C$89))))</f>
        <v>360060.846981842</v>
      </c>
      <c r="G89" s="15" t="n">
        <f aca="false">((('Operating Model'!$B$43+Assumptions!$C$20-(((Assumptions!$C$7*(1+0))*Assumptions!$C$16)*Assumptions!$C$14))*(1+Assumptions!$C$53)^4)-(-PMT(Assumptions!$C$88,Assumptions!$C$93,((Assumptions!$C$7*(1+0))*Assumptions!$C$89)))+(((('Operating Model'!$B$43+Assumptions!$C$20-(((Assumptions!$C$7*(1+0))*Assumptions!$C$16)*Assumptions!$C$14))*(1+Assumptions!$C$53)^5)/(((('Operating Model'!$B$43+Assumptions!$C$20-(((Assumptions!$C$7*(1+0))*Assumptions!$C$16)*Assumptions!$C$14))/(Assumptions!$C$7*(1+0)))+0.0025)+Returns!$B$8))*(1-Assumptions!$C$99)-(((Assumptions!$C$7*(1+0))*Assumptions!$C$89)+CUMPRINC(Assumptions!$C$88,Assumptions!$C$93,((Assumptions!$C$7*(1+0))*Assumptions!$C$89),1,3,0))))</f>
        <v>4088862.7558969</v>
      </c>
      <c r="H89" s="17" t="n">
        <f aca="false">IFERROR(IRR(B89:G89),"N/A")</f>
        <v>3.12004312866405E-005</v>
      </c>
      <c r="I89" s="18" t="n">
        <f aca="false">SUM(C89:G89)/((((Assumptions!$C$7*(1+0))*(1+Assumptions!$C$10)+(Capital!$B$8-Assumptions!$C$7*(1+Assumptions!$C$10)))-((Assumptions!$C$7*(1+0))*Assumptions!$C$89)))</f>
        <v>1.00013551120101</v>
      </c>
    </row>
    <row r="90" customFormat="false" ht="15" hidden="false" customHeight="false" outlineLevel="0" collapsed="false">
      <c r="A90" s="2" t="s">
        <v>347</v>
      </c>
      <c r="B90" s="15" t="n">
        <f aca="false">-((((Assumptions!$C$7*(1+0))*(1+Assumptions!$C$10)+(Capital!$B$8-Assumptions!$C$7*(1+Assumptions!$C$10)))-((Assumptions!$C$7*(1+0))*Assumptions!$C$89)))</f>
        <v>-5528040</v>
      </c>
      <c r="C90" s="15" t="n">
        <f aca="false">((('Operating Model'!$B$43+Assumptions!$C$20-(((Assumptions!$C$7*(1+0))*Assumptions!$C$16)*Assumptions!$C$14))*(1+Assumptions!$C$53)^0)-(((Assumptions!$C$7*(1+0))*Assumptions!$C$89)*Assumptions!$C$88))</f>
        <v>360813.714813</v>
      </c>
      <c r="D90" s="15" t="n">
        <f aca="false">((('Operating Model'!$B$43+Assumptions!$C$20-(((Assumptions!$C$7*(1+0))*Assumptions!$C$16)*Assumptions!$C$14))*(1+Assumptions!$C$53)^1)-(((Assumptions!$C$7*(1+0))*Assumptions!$C$89)*Assumptions!$C$88))</f>
        <v>390744.22625739</v>
      </c>
      <c r="E90" s="15" t="n">
        <f aca="false">((('Operating Model'!$B$43+Assumptions!$C$20-(((Assumptions!$C$7*(1+0))*Assumptions!$C$16)*Assumptions!$C$14))*(1+Assumptions!$C$53)^2)-(-PMT(Assumptions!$C$88,Assumptions!$C$93,((Assumptions!$C$7*(1+0))*Assumptions!$C$89))))</f>
        <v>328307.567390489</v>
      </c>
      <c r="F90" s="15" t="n">
        <f aca="false">((('Operating Model'!$B$43+Assumptions!$C$20-(((Assumptions!$C$7*(1+0))*Assumptions!$C$16)*Assumptions!$C$14))*(1+Assumptions!$C$53)^3)-(-PMT(Assumptions!$C$88,Assumptions!$C$93,((Assumptions!$C$7*(1+0))*Assumptions!$C$89))))</f>
        <v>360060.846981842</v>
      </c>
      <c r="G90" s="15" t="n">
        <f aca="false">((('Operating Model'!$B$43+Assumptions!$C$20-(((Assumptions!$C$7*(1+0))*Assumptions!$C$16)*Assumptions!$C$14))*(1+Assumptions!$C$53)^4)-(-PMT(Assumptions!$C$88,Assumptions!$C$93,((Assumptions!$C$7*(1+0))*Assumptions!$C$89)))+(((('Operating Model'!$B$43+Assumptions!$C$20-(((Assumptions!$C$7*(1+0))*Assumptions!$C$16)*Assumptions!$C$14))*(1+Assumptions!$C$53)^5)/(((('Operating Model'!$B$43+Assumptions!$C$20-(((Assumptions!$C$7*(1+0))*Assumptions!$C$16)*Assumptions!$C$14))/(Assumptions!$C$7*(1+0)))+0.005)+Returns!$B$8))*(1-Assumptions!$C$99)-(((Assumptions!$C$7*(1+0))*Assumptions!$C$89)+CUMPRINC(Assumptions!$C$88,Assumptions!$C$93,((Assumptions!$C$7*(1+0))*Assumptions!$C$89),1,3,0))))</f>
        <v>3760537.49922862</v>
      </c>
      <c r="H90" s="17" t="n">
        <f aca="false">IFERROR(IRR(B90:G90),"N/A")</f>
        <v>-0.0140635018559876</v>
      </c>
      <c r="I90" s="18" t="n">
        <f aca="false">SUM(C90:G90)/((((Assumptions!$C$7*(1+0))*(1+Assumptions!$C$10)+(Capital!$B$8-Assumptions!$C$7*(1+Assumptions!$C$10)))-((Assumptions!$C$7*(1+0))*Assumptions!$C$89)))</f>
        <v>0.940742804804476</v>
      </c>
    </row>
    <row r="91" customFormat="false" ht="15" hidden="false" customHeight="false" outlineLevel="0" collapsed="false">
      <c r="A91" s="2" t="s">
        <v>348</v>
      </c>
      <c r="B91" s="15" t="n">
        <f aca="false">-((((Assumptions!$C$7*(1+0))*(1+Assumptions!$C$10)+(Capital!$B$8-Assumptions!$C$7*(1+Assumptions!$C$10)))-((Assumptions!$C$7*(1+0))*Assumptions!$C$89)))</f>
        <v>-5528040</v>
      </c>
      <c r="C91" s="15" t="n">
        <f aca="false">((('Operating Model'!$B$43+Assumptions!$C$20-(((Assumptions!$C$7*(1+0))*Assumptions!$C$16)*Assumptions!$C$14))*(1+Assumptions!$C$53)^0)-(((Assumptions!$C$7*(1+0))*Assumptions!$C$89)*Assumptions!$C$88))</f>
        <v>360813.714813</v>
      </c>
      <c r="D91" s="15" t="n">
        <f aca="false">((('Operating Model'!$B$43+Assumptions!$C$20-(((Assumptions!$C$7*(1+0))*Assumptions!$C$16)*Assumptions!$C$14))*(1+Assumptions!$C$53)^1)-(((Assumptions!$C$7*(1+0))*Assumptions!$C$89)*Assumptions!$C$88))</f>
        <v>390744.22625739</v>
      </c>
      <c r="E91" s="15" t="n">
        <f aca="false">((('Operating Model'!$B$43+Assumptions!$C$20-(((Assumptions!$C$7*(1+0))*Assumptions!$C$16)*Assumptions!$C$14))*(1+Assumptions!$C$53)^2)-(-PMT(Assumptions!$C$88,Assumptions!$C$93,((Assumptions!$C$7*(1+0))*Assumptions!$C$89))))</f>
        <v>328307.567390489</v>
      </c>
      <c r="F91" s="15" t="n">
        <f aca="false">((('Operating Model'!$B$43+Assumptions!$C$20-(((Assumptions!$C$7*(1+0))*Assumptions!$C$16)*Assumptions!$C$14))*(1+Assumptions!$C$53)^3)-(-PMT(Assumptions!$C$88,Assumptions!$C$93,((Assumptions!$C$7*(1+0))*Assumptions!$C$89))))</f>
        <v>360060.846981842</v>
      </c>
      <c r="G91" s="15" t="n">
        <f aca="false">((('Operating Model'!$B$43+Assumptions!$C$20-(((Assumptions!$C$7*(1+0))*Assumptions!$C$16)*Assumptions!$C$14))*(1+Assumptions!$C$53)^4)-(-PMT(Assumptions!$C$88,Assumptions!$C$93,((Assumptions!$C$7*(1+0))*Assumptions!$C$89)))+(((('Operating Model'!$B$43+Assumptions!$C$20-(((Assumptions!$C$7*(1+0))*Assumptions!$C$16)*Assumptions!$C$14))*(1+Assumptions!$C$53)^5)/(((('Operating Model'!$B$43+Assumptions!$C$20-(((Assumptions!$C$7*(1+0))*Assumptions!$C$16)*Assumptions!$C$14))/(Assumptions!$C$7*(1+0)))+0.0075)+Returns!$B$8))*(1-Assumptions!$C$99)-(((Assumptions!$C$7*(1+0))*Assumptions!$C$89)+CUMPRINC(Assumptions!$C$88,Assumptions!$C$93,((Assumptions!$C$7*(1+0))*Assumptions!$C$89),1,3,0))))</f>
        <v>3449195.85812542</v>
      </c>
      <c r="H91" s="17" t="n">
        <f aca="false">IFERROR(IRR(B91:G91),"N/A")</f>
        <v>-0.0282827608031383</v>
      </c>
      <c r="I91" s="18" t="n">
        <f aca="false">SUM(C91:G91)/((((Assumptions!$C$7*(1+0))*(1+Assumptions!$C$10)+(Capital!$B$8-Assumptions!$C$7*(1+Assumptions!$C$10)))-((Assumptions!$C$7*(1+0))*Assumptions!$C$89)))</f>
        <v>0.884422365534283</v>
      </c>
    </row>
    <row r="92" customFormat="false" ht="15" hidden="false" customHeight="false" outlineLevel="0" collapsed="false">
      <c r="A92" s="2" t="s">
        <v>349</v>
      </c>
      <c r="B92" s="15" t="n">
        <f aca="false">-((((Assumptions!$C$7*(1+0))*(1+Assumptions!$C$10)+(Capital!$B$8-Assumptions!$C$7*(1+Assumptions!$C$10)))-((Assumptions!$C$7*(1+0))*Assumptions!$C$89)))</f>
        <v>-5528040</v>
      </c>
      <c r="C92" s="15" t="n">
        <f aca="false">((('Operating Model'!$B$43+Assumptions!$C$20-(((Assumptions!$C$7*(1+0))*Assumptions!$C$16)*Assumptions!$C$14))*(1+Assumptions!$C$53)^0)-(((Assumptions!$C$7*(1+0))*Assumptions!$C$89)*Assumptions!$C$88))</f>
        <v>360813.714813</v>
      </c>
      <c r="D92" s="15" t="n">
        <f aca="false">((('Operating Model'!$B$43+Assumptions!$C$20-(((Assumptions!$C$7*(1+0))*Assumptions!$C$16)*Assumptions!$C$14))*(1+Assumptions!$C$53)^1)-(((Assumptions!$C$7*(1+0))*Assumptions!$C$89)*Assumptions!$C$88))</f>
        <v>390744.22625739</v>
      </c>
      <c r="E92" s="15" t="n">
        <f aca="false">((('Operating Model'!$B$43+Assumptions!$C$20-(((Assumptions!$C$7*(1+0))*Assumptions!$C$16)*Assumptions!$C$14))*(1+Assumptions!$C$53)^2)-(-PMT(Assumptions!$C$88,Assumptions!$C$93,((Assumptions!$C$7*(1+0))*Assumptions!$C$89))))</f>
        <v>328307.567390489</v>
      </c>
      <c r="F92" s="15" t="n">
        <f aca="false">((('Operating Model'!$B$43+Assumptions!$C$20-(((Assumptions!$C$7*(1+0))*Assumptions!$C$16)*Assumptions!$C$14))*(1+Assumptions!$C$53)^3)-(-PMT(Assumptions!$C$88,Assumptions!$C$93,((Assumptions!$C$7*(1+0))*Assumptions!$C$89))))</f>
        <v>360060.846981842</v>
      </c>
      <c r="G92" s="15" t="n">
        <f aca="false">((('Operating Model'!$B$43+Assumptions!$C$20-(((Assumptions!$C$7*(1+0))*Assumptions!$C$16)*Assumptions!$C$14))*(1+Assumptions!$C$53)^4)-(-PMT(Assumptions!$C$88,Assumptions!$C$93,((Assumptions!$C$7*(1+0))*Assumptions!$C$89)))+(((('Operating Model'!$B$43+Assumptions!$C$20-(((Assumptions!$C$7*(1+0))*Assumptions!$C$16)*Assumptions!$C$14))*(1+Assumptions!$C$53)^5)/(((('Operating Model'!$B$43+Assumptions!$C$20-(((Assumptions!$C$7*(1+0))*Assumptions!$C$16)*Assumptions!$C$14))/(Assumptions!$C$7*(1+0)))+0.01)+Returns!$B$8))*(1-Assumptions!$C$99)-(((Assumptions!$C$7*(1+0))*Assumptions!$C$89)+CUMPRINC(Assumptions!$C$88,Assumptions!$C$93,((Assumptions!$C$7*(1+0))*Assumptions!$C$89),1,3,0))))</f>
        <v>3153553.26347797</v>
      </c>
      <c r="H92" s="17" t="n">
        <f aca="false">IFERROR(IRR(B92:G92),"N/A")</f>
        <v>-0.0426726006677387</v>
      </c>
      <c r="I92" s="18" t="n">
        <f aca="false">SUM(C92:G92)/((((Assumptions!$C$7*(1+0))*(1+Assumptions!$C$10)+(Capital!$B$8-Assumptions!$C$7*(1+Assumptions!$C$10)))-((Assumptions!$C$7*(1+0))*Assumptions!$C$89)))</f>
        <v>0.830941820052078</v>
      </c>
    </row>
    <row r="93" customFormat="false" ht="15" hidden="false" customHeight="false" outlineLevel="0" collapsed="false">
      <c r="A93" s="2" t="s">
        <v>350</v>
      </c>
      <c r="B93" s="15" t="n">
        <f aca="false">-((((Assumptions!$C$7*(1+0.05))*(1+Assumptions!$C$10)+(Capital!$B$8-Assumptions!$C$7*(1+Assumptions!$C$10)))-((Assumptions!$C$7*(1+0.05))*Assumptions!$C$89)))</f>
        <v>-5779890</v>
      </c>
      <c r="C93" s="15" t="n">
        <f aca="false">((('Operating Model'!$B$43+Assumptions!$C$20-(((Assumptions!$C$7*(1+0.05))*Assumptions!$C$16)*Assumptions!$C$14))*(1+Assumptions!$C$53)^0)-(((Assumptions!$C$7*(1+0.05))*Assumptions!$C$89)*Assumptions!$C$88))</f>
        <v>317334.406713</v>
      </c>
      <c r="D93" s="15" t="n">
        <f aca="false">((('Operating Model'!$B$43+Assumptions!$C$20-(((Assumptions!$C$7*(1+0.05))*Assumptions!$C$16)*Assumptions!$C$14))*(1+Assumptions!$C$53)^1)-(((Assumptions!$C$7*(1+0.05))*Assumptions!$C$89)*Assumptions!$C$88))</f>
        <v>346915.84391439</v>
      </c>
      <c r="E93" s="15" t="n">
        <f aca="false">((('Operating Model'!$B$43+Assumptions!$C$20-(((Assumptions!$C$7*(1+0.05))*Assumptions!$C$16)*Assumptions!$C$14))*(1+Assumptions!$C$53)^2)-(-PMT(Assumptions!$C$88,Assumptions!$C$93,((Assumptions!$C$7*(1+0.05))*Assumptions!$C$89))))</f>
        <v>279456.384294467</v>
      </c>
      <c r="F93" s="15" t="n">
        <f aca="false">((('Operating Model'!$B$43+Assumptions!$C$20-(((Assumptions!$C$7*(1+0.05))*Assumptions!$C$16)*Assumptions!$C$14))*(1+Assumptions!$C$53)^3)-(-PMT(Assumptions!$C$88,Assumptions!$C$93,((Assumptions!$C$7*(1+0.05))*Assumptions!$C$89))))</f>
        <v>310839.331021422</v>
      </c>
      <c r="G93"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Returns!$B$8))*(1-Assumptions!$C$99)-(((Assumptions!$C$7*(1+0.05))*Assumptions!$C$89)+CUMPRINC(Assumptions!$C$88,Assumptions!$C$93,((Assumptions!$C$7*(1+0.05))*Assumptions!$C$89),1,3,0))))</f>
        <v>4432459.69648687</v>
      </c>
      <c r="H93" s="17" t="n">
        <f aca="false">IFERROR(IRR(B93:G93),"N/A")</f>
        <v>-0.00363942093402338</v>
      </c>
      <c r="I93" s="18" t="n">
        <f aca="false">SUM(C93:G93)/((((Assumptions!$C$7*(1+0.05))*(1+Assumptions!$C$10)+(Capital!$B$8-Assumptions!$C$7*(1+Assumptions!$C$10)))-((Assumptions!$C$7*(1+0.05))*Assumptions!$C$89)))</f>
        <v>0.983929739567733</v>
      </c>
    </row>
    <row r="94" customFormat="false" ht="15" hidden="false" customHeight="false" outlineLevel="0" collapsed="false">
      <c r="A94" s="2" t="s">
        <v>351</v>
      </c>
      <c r="B94" s="15" t="n">
        <f aca="false">-((((Assumptions!$C$7*(1+0.05))*(1+Assumptions!$C$10)+(Capital!$B$8-Assumptions!$C$7*(1+Assumptions!$C$10)))-((Assumptions!$C$7*(1+0.05))*Assumptions!$C$89)))</f>
        <v>-5779890</v>
      </c>
      <c r="C94" s="15" t="n">
        <f aca="false">((('Operating Model'!$B$43+Assumptions!$C$20-(((Assumptions!$C$7*(1+0.05))*Assumptions!$C$16)*Assumptions!$C$14))*(1+Assumptions!$C$53)^0)-(((Assumptions!$C$7*(1+0.05))*Assumptions!$C$89)*Assumptions!$C$88))</f>
        <v>317334.406713</v>
      </c>
      <c r="D94" s="15" t="n">
        <f aca="false">((('Operating Model'!$B$43+Assumptions!$C$20-(((Assumptions!$C$7*(1+0.05))*Assumptions!$C$16)*Assumptions!$C$14))*(1+Assumptions!$C$53)^1)-(((Assumptions!$C$7*(1+0.05))*Assumptions!$C$89)*Assumptions!$C$88))</f>
        <v>346915.84391439</v>
      </c>
      <c r="E94" s="15" t="n">
        <f aca="false">((('Operating Model'!$B$43+Assumptions!$C$20-(((Assumptions!$C$7*(1+0.05))*Assumptions!$C$16)*Assumptions!$C$14))*(1+Assumptions!$C$53)^2)-(-PMT(Assumptions!$C$88,Assumptions!$C$93,((Assumptions!$C$7*(1+0.05))*Assumptions!$C$89))))</f>
        <v>279456.384294467</v>
      </c>
      <c r="F94" s="15" t="n">
        <f aca="false">((('Operating Model'!$B$43+Assumptions!$C$20-(((Assumptions!$C$7*(1+0.05))*Assumptions!$C$16)*Assumptions!$C$14))*(1+Assumptions!$C$53)^3)-(-PMT(Assumptions!$C$88,Assumptions!$C$93,((Assumptions!$C$7*(1+0.05))*Assumptions!$C$89))))</f>
        <v>310839.331021422</v>
      </c>
      <c r="G94"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+0.0025)+Returns!$B$8))*(1-Assumptions!$C$99)-(((Assumptions!$C$7*(1+0.05))*Assumptions!$C$89)+CUMPRINC(Assumptions!$C$88,Assumptions!$C$93,((Assumptions!$C$7*(1+0.05))*Assumptions!$C$89),1,3,0))))</f>
        <v>4055154.57360494</v>
      </c>
      <c r="H94" s="17" t="n">
        <f aca="false">IFERROR(IRR(B94:G94),"N/A")</f>
        <v>-0.019035295064772</v>
      </c>
      <c r="I94" s="18" t="n">
        <f aca="false">SUM(C94:G94)/((((Assumptions!$C$7*(1+0.05))*(1+Assumptions!$C$10)+(Capital!$B$8-Assumptions!$C$7*(1+Assumptions!$C$10)))-((Assumptions!$C$7*(1+0.05))*Assumptions!$C$89)))</f>
        <v>0.918650794314117</v>
      </c>
    </row>
    <row r="95" customFormat="false" ht="15" hidden="false" customHeight="false" outlineLevel="0" collapsed="false">
      <c r="A95" s="2" t="s">
        <v>352</v>
      </c>
      <c r="B95" s="15" t="n">
        <f aca="false">-((((Assumptions!$C$7*(1+0.05))*(1+Assumptions!$C$10)+(Capital!$B$8-Assumptions!$C$7*(1+Assumptions!$C$10)))-((Assumptions!$C$7*(1+0.05))*Assumptions!$C$89)))</f>
        <v>-5779890</v>
      </c>
      <c r="C95" s="15" t="n">
        <f aca="false">((('Operating Model'!$B$43+Assumptions!$C$20-(((Assumptions!$C$7*(1+0.05))*Assumptions!$C$16)*Assumptions!$C$14))*(1+Assumptions!$C$53)^0)-(((Assumptions!$C$7*(1+0.05))*Assumptions!$C$89)*Assumptions!$C$88))</f>
        <v>317334.406713</v>
      </c>
      <c r="D95" s="15" t="n">
        <f aca="false">((('Operating Model'!$B$43+Assumptions!$C$20-(((Assumptions!$C$7*(1+0.05))*Assumptions!$C$16)*Assumptions!$C$14))*(1+Assumptions!$C$53)^1)-(((Assumptions!$C$7*(1+0.05))*Assumptions!$C$89)*Assumptions!$C$88))</f>
        <v>346915.84391439</v>
      </c>
      <c r="E95" s="15" t="n">
        <f aca="false">((('Operating Model'!$B$43+Assumptions!$C$20-(((Assumptions!$C$7*(1+0.05))*Assumptions!$C$16)*Assumptions!$C$14))*(1+Assumptions!$C$53)^2)-(-PMT(Assumptions!$C$88,Assumptions!$C$93,((Assumptions!$C$7*(1+0.05))*Assumptions!$C$89))))</f>
        <v>279456.384294467</v>
      </c>
      <c r="F95" s="15" t="n">
        <f aca="false">((('Operating Model'!$B$43+Assumptions!$C$20-(((Assumptions!$C$7*(1+0.05))*Assumptions!$C$16)*Assumptions!$C$14))*(1+Assumptions!$C$53)^3)-(-PMT(Assumptions!$C$88,Assumptions!$C$93,((Assumptions!$C$7*(1+0.05))*Assumptions!$C$89))))</f>
        <v>310839.331021422</v>
      </c>
      <c r="G95"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+0.005)+Returns!$B$8))*(1-Assumptions!$C$99)-(((Assumptions!$C$7*(1+0.05))*Assumptions!$C$89)+CUMPRINC(Assumptions!$C$88,Assumptions!$C$93,((Assumptions!$C$7*(1+0.05))*Assumptions!$C$89),1,3,0))))</f>
        <v>3698830.95952099</v>
      </c>
      <c r="H95" s="17" t="n">
        <f aca="false">IFERROR(IRR(B95:G95),"N/A")</f>
        <v>-0.034584761370627</v>
      </c>
      <c r="I95" s="18" t="n">
        <f aca="false">SUM(C95:G95)/((((Assumptions!$C$7*(1+0.05))*(1+Assumptions!$C$10)+(Capital!$B$8-Assumptions!$C$7*(1+Assumptions!$C$10)))-((Assumptions!$C$7*(1+0.05))*Assumptions!$C$89)))</f>
        <v>0.857001936968397</v>
      </c>
    </row>
    <row r="96" customFormat="false" ht="15" hidden="false" customHeight="false" outlineLevel="0" collapsed="false">
      <c r="A96" s="2" t="s">
        <v>353</v>
      </c>
      <c r="B96" s="15" t="n">
        <f aca="false">-((((Assumptions!$C$7*(1+0.05))*(1+Assumptions!$C$10)+(Capital!$B$8-Assumptions!$C$7*(1+Assumptions!$C$10)))-((Assumptions!$C$7*(1+0.05))*Assumptions!$C$89)))</f>
        <v>-5779890</v>
      </c>
      <c r="C96" s="15" t="n">
        <f aca="false">((('Operating Model'!$B$43+Assumptions!$C$20-(((Assumptions!$C$7*(1+0.05))*Assumptions!$C$16)*Assumptions!$C$14))*(1+Assumptions!$C$53)^0)-(((Assumptions!$C$7*(1+0.05))*Assumptions!$C$89)*Assumptions!$C$88))</f>
        <v>317334.406713</v>
      </c>
      <c r="D96" s="15" t="n">
        <f aca="false">((('Operating Model'!$B$43+Assumptions!$C$20-(((Assumptions!$C$7*(1+0.05))*Assumptions!$C$16)*Assumptions!$C$14))*(1+Assumptions!$C$53)^1)-(((Assumptions!$C$7*(1+0.05))*Assumptions!$C$89)*Assumptions!$C$88))</f>
        <v>346915.84391439</v>
      </c>
      <c r="E96" s="15" t="n">
        <f aca="false">((('Operating Model'!$B$43+Assumptions!$C$20-(((Assumptions!$C$7*(1+0.05))*Assumptions!$C$16)*Assumptions!$C$14))*(1+Assumptions!$C$53)^2)-(-PMT(Assumptions!$C$88,Assumptions!$C$93,((Assumptions!$C$7*(1+0.05))*Assumptions!$C$89))))</f>
        <v>279456.384294467</v>
      </c>
      <c r="F96" s="15" t="n">
        <f aca="false">((('Operating Model'!$B$43+Assumptions!$C$20-(((Assumptions!$C$7*(1+0.05))*Assumptions!$C$16)*Assumptions!$C$14))*(1+Assumptions!$C$53)^3)-(-PMT(Assumptions!$C$88,Assumptions!$C$93,((Assumptions!$C$7*(1+0.05))*Assumptions!$C$89))))</f>
        <v>310839.331021422</v>
      </c>
      <c r="G96"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+0.0075)+Returns!$B$8))*(1-Assumptions!$C$99)-(((Assumptions!$C$7*(1+0.05))*Assumptions!$C$89)+CUMPRINC(Assumptions!$C$88,Assumptions!$C$93,((Assumptions!$C$7*(1+0.05))*Assumptions!$C$89),1,3,0))))</f>
        <v>3361786.06262262</v>
      </c>
      <c r="H96" s="17" t="n">
        <f aca="false">IFERROR(IRR(B96:G96),"N/A")</f>
        <v>-0.0503470669631719</v>
      </c>
      <c r="I96" s="18" t="n">
        <f aca="false">SUM(C96:G96)/((((Assumptions!$C$7*(1+0.05))*(1+Assumptions!$C$10)+(Capital!$B$8-Assumptions!$C$7*(1+Assumptions!$C$10)))-((Assumptions!$C$7*(1+0.05))*Assumptions!$C$89)))</f>
        <v>0.798688561298899</v>
      </c>
    </row>
    <row r="97" customFormat="false" ht="15" hidden="false" customHeight="false" outlineLevel="0" collapsed="false">
      <c r="A97" s="2" t="s">
        <v>354</v>
      </c>
      <c r="B97" s="15" t="n">
        <f aca="false">-((((Assumptions!$C$7*(1+0.05))*(1+Assumptions!$C$10)+(Capital!$B$8-Assumptions!$C$7*(1+Assumptions!$C$10)))-((Assumptions!$C$7*(1+0.05))*Assumptions!$C$89)))</f>
        <v>-5779890</v>
      </c>
      <c r="C97" s="15" t="n">
        <f aca="false">((('Operating Model'!$B$43+Assumptions!$C$20-(((Assumptions!$C$7*(1+0.05))*Assumptions!$C$16)*Assumptions!$C$14))*(1+Assumptions!$C$53)^0)-(((Assumptions!$C$7*(1+0.05))*Assumptions!$C$89)*Assumptions!$C$88))</f>
        <v>317334.406713</v>
      </c>
      <c r="D97" s="15" t="n">
        <f aca="false">((('Operating Model'!$B$43+Assumptions!$C$20-(((Assumptions!$C$7*(1+0.05))*Assumptions!$C$16)*Assumptions!$C$14))*(1+Assumptions!$C$53)^1)-(((Assumptions!$C$7*(1+0.05))*Assumptions!$C$89)*Assumptions!$C$88))</f>
        <v>346915.84391439</v>
      </c>
      <c r="E97" s="15" t="n">
        <f aca="false">((('Operating Model'!$B$43+Assumptions!$C$20-(((Assumptions!$C$7*(1+0.05))*Assumptions!$C$16)*Assumptions!$C$14))*(1+Assumptions!$C$53)^2)-(-PMT(Assumptions!$C$88,Assumptions!$C$93,((Assumptions!$C$7*(1+0.05))*Assumptions!$C$89))))</f>
        <v>279456.384294467</v>
      </c>
      <c r="F97" s="15" t="n">
        <f aca="false">((('Operating Model'!$B$43+Assumptions!$C$20-(((Assumptions!$C$7*(1+0.05))*Assumptions!$C$16)*Assumptions!$C$14))*(1+Assumptions!$C$53)^3)-(-PMT(Assumptions!$C$88,Assumptions!$C$93,((Assumptions!$C$7*(1+0.05))*Assumptions!$C$89))))</f>
        <v>310839.331021422</v>
      </c>
      <c r="G97" s="15" t="n">
        <f aca="false">((('Operating Model'!$B$43+Assumptions!$C$20-(((Assumptions!$C$7*(1+0.05))*Assumptions!$C$16)*Assumptions!$C$14))*(1+Assumptions!$C$53)^4)-(-PMT(Assumptions!$C$88,Assumptions!$C$93,((Assumptions!$C$7*(1+0.05))*Assumptions!$C$89)))+(((('Operating Model'!$B$43+Assumptions!$C$20-(((Assumptions!$C$7*(1+0.05))*Assumptions!$C$16)*Assumptions!$C$14))*(1+Assumptions!$C$53)^5)/(((('Operating Model'!$B$43+Assumptions!$C$20-(((Assumptions!$C$7*(1+0.05))*Assumptions!$C$16)*Assumptions!$C$14))/(Assumptions!$C$7*(1+0.05)))+0.01)+Returns!$B$8))*(1-Assumptions!$C$99)-(((Assumptions!$C$7*(1+0.05))*Assumptions!$C$89)+CUMPRINC(Assumptions!$C$88,Assumptions!$C$93,((Assumptions!$C$7*(1+0.05))*Assumptions!$C$89),1,3,0))))</f>
        <v>3042496.49544685</v>
      </c>
      <c r="H97" s="17" t="n">
        <f aca="false">IFERROR(IRR(B97:G97),"N/A")</f>
        <v>-0.0663887020694382</v>
      </c>
      <c r="I97" s="18" t="n">
        <f aca="false">SUM(C97:G97)/((((Assumptions!$C$7*(1+0.05))*(1+Assumptions!$C$10)+(Capital!$B$8-Assumptions!$C$7*(1+Assumptions!$C$10)))-((Assumptions!$C$7*(1+0.05))*Assumptions!$C$89)))</f>
        <v>0.743447100444841</v>
      </c>
    </row>
    <row r="98" customFormat="false" ht="15" hidden="false" customHeight="false" outlineLevel="0" collapsed="false">
      <c r="A98" s="2" t="s">
        <v>355</v>
      </c>
      <c r="B98" s="15" t="n">
        <f aca="false">-((((Assumptions!$C$7*(1+0.1))*(1+Assumptions!$C$10)+(Capital!$B$8-Assumptions!$C$7*(1+Assumptions!$C$10)))-((Assumptions!$C$7*(1+0.1))*Assumptions!$C$89)))</f>
        <v>-6031740</v>
      </c>
      <c r="C98" s="15" t="n">
        <f aca="false">((('Operating Model'!$B$43+Assumptions!$C$20-(((Assumptions!$C$7*(1+0.1))*Assumptions!$C$16)*Assumptions!$C$14))*(1+Assumptions!$C$53)^0)-(((Assumptions!$C$7*(1+0.1))*Assumptions!$C$89)*Assumptions!$C$88))</f>
        <v>273855.098613</v>
      </c>
      <c r="D98" s="15" t="n">
        <f aca="false">((('Operating Model'!$B$43+Assumptions!$C$20-(((Assumptions!$C$7*(1+0.1))*Assumptions!$C$16)*Assumptions!$C$14))*(1+Assumptions!$C$53)^1)-(((Assumptions!$C$7*(1+0.1))*Assumptions!$C$89)*Assumptions!$C$88))</f>
        <v>303087.46157139</v>
      </c>
      <c r="E98" s="15" t="n">
        <f aca="false">((('Operating Model'!$B$43+Assumptions!$C$20-(((Assumptions!$C$7*(1+0.1))*Assumptions!$C$16)*Assumptions!$C$14))*(1+Assumptions!$C$53)^2)-(-PMT(Assumptions!$C$88,Assumptions!$C$93,((Assumptions!$C$7*(1+0.1))*Assumptions!$C$89))))</f>
        <v>230605.201198446</v>
      </c>
      <c r="F98" s="15" t="n">
        <f aca="false">((('Operating Model'!$B$43+Assumptions!$C$20-(((Assumptions!$C$7*(1+0.1))*Assumptions!$C$16)*Assumptions!$C$14))*(1+Assumptions!$C$53)^3)-(-PMT(Assumptions!$C$88,Assumptions!$C$93,((Assumptions!$C$7*(1+0.1))*Assumptions!$C$89))))</f>
        <v>261617.815061002</v>
      </c>
      <c r="G98"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Returns!$B$8))*(1-Assumptions!$C$99)-(((Assumptions!$C$7*(1+0.1))*Assumptions!$C$89)+CUMPRINC(Assumptions!$C$88,Assumptions!$C$93,((Assumptions!$C$7*(1+0.1))*Assumptions!$C$89),1,3,0))))</f>
        <v>4414492.52067308</v>
      </c>
      <c r="H98" s="17" t="n">
        <f aca="false">IFERROR(IRR(B98:G98),"N/A")</f>
        <v>-0.0208748819342042</v>
      </c>
      <c r="I98" s="18" t="n">
        <f aca="false">SUM(C98:G98)/((((Assumptions!$C$7*(1+0.1))*(1+Assumptions!$C$10)+(Capital!$B$8-Assumptions!$C$7*(1+Assumptions!$C$10)))-((Assumptions!$C$7*(1+0.1))*Assumptions!$C$89)))</f>
        <v>0.909133698918872</v>
      </c>
    </row>
    <row r="99" customFormat="false" ht="15" hidden="false" customHeight="false" outlineLevel="0" collapsed="false">
      <c r="A99" s="2" t="s">
        <v>356</v>
      </c>
      <c r="B99" s="15" t="n">
        <f aca="false">-((((Assumptions!$C$7*(1+0.1))*(1+Assumptions!$C$10)+(Capital!$B$8-Assumptions!$C$7*(1+Assumptions!$C$10)))-((Assumptions!$C$7*(1+0.1))*Assumptions!$C$89)))</f>
        <v>-6031740</v>
      </c>
      <c r="C99" s="15" t="n">
        <f aca="false">((('Operating Model'!$B$43+Assumptions!$C$20-(((Assumptions!$C$7*(1+0.1))*Assumptions!$C$16)*Assumptions!$C$14))*(1+Assumptions!$C$53)^0)-(((Assumptions!$C$7*(1+0.1))*Assumptions!$C$89)*Assumptions!$C$88))</f>
        <v>273855.098613</v>
      </c>
      <c r="D99" s="15" t="n">
        <f aca="false">((('Operating Model'!$B$43+Assumptions!$C$20-(((Assumptions!$C$7*(1+0.1))*Assumptions!$C$16)*Assumptions!$C$14))*(1+Assumptions!$C$53)^1)-(((Assumptions!$C$7*(1+0.1))*Assumptions!$C$89)*Assumptions!$C$88))</f>
        <v>303087.46157139</v>
      </c>
      <c r="E99" s="15" t="n">
        <f aca="false">((('Operating Model'!$B$43+Assumptions!$C$20-(((Assumptions!$C$7*(1+0.1))*Assumptions!$C$16)*Assumptions!$C$14))*(1+Assumptions!$C$53)^2)-(-PMT(Assumptions!$C$88,Assumptions!$C$93,((Assumptions!$C$7*(1+0.1))*Assumptions!$C$89))))</f>
        <v>230605.201198446</v>
      </c>
      <c r="F99" s="15" t="n">
        <f aca="false">((('Operating Model'!$B$43+Assumptions!$C$20-(((Assumptions!$C$7*(1+0.1))*Assumptions!$C$16)*Assumptions!$C$14))*(1+Assumptions!$C$53)^3)-(-PMT(Assumptions!$C$88,Assumptions!$C$93,((Assumptions!$C$7*(1+0.1))*Assumptions!$C$89))))</f>
        <v>261617.815061002</v>
      </c>
      <c r="G99"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+0.0025)+Returns!$B$8))*(1-Assumptions!$C$99)-(((Assumptions!$C$7*(1+0.1))*Assumptions!$C$89)+CUMPRINC(Assumptions!$C$88,Assumptions!$C$93,((Assumptions!$C$7*(1+0.1))*Assumptions!$C$89),1,3,0))))</f>
        <v>4005841.04772471</v>
      </c>
      <c r="H99" s="17" t="n">
        <f aca="false">IFERROR(IRR(B99:G99),"N/A")</f>
        <v>-0.0377537171102106</v>
      </c>
      <c r="I99" s="18" t="n">
        <f aca="false">SUM(C99:G99)/((((Assumptions!$C$7*(1+0.1))*(1+Assumptions!$C$10)+(Capital!$B$8-Assumptions!$C$7*(1+Assumptions!$C$10)))-((Assumptions!$C$7*(1+0.1))*Assumptions!$C$89)))</f>
        <v>0.841383518548304</v>
      </c>
    </row>
    <row r="100" customFormat="false" ht="15" hidden="false" customHeight="false" outlineLevel="0" collapsed="false">
      <c r="A100" s="2" t="s">
        <v>357</v>
      </c>
      <c r="B100" s="15" t="n">
        <f aca="false">-((((Assumptions!$C$7*(1+0.1))*(1+Assumptions!$C$10)+(Capital!$B$8-Assumptions!$C$7*(1+Assumptions!$C$10)))-((Assumptions!$C$7*(1+0.1))*Assumptions!$C$89)))</f>
        <v>-6031740</v>
      </c>
      <c r="C100" s="15" t="n">
        <f aca="false">((('Operating Model'!$B$43+Assumptions!$C$20-(((Assumptions!$C$7*(1+0.1))*Assumptions!$C$16)*Assumptions!$C$14))*(1+Assumptions!$C$53)^0)-(((Assumptions!$C$7*(1+0.1))*Assumptions!$C$89)*Assumptions!$C$88))</f>
        <v>273855.098613</v>
      </c>
      <c r="D100" s="15" t="n">
        <f aca="false">((('Operating Model'!$B$43+Assumptions!$C$20-(((Assumptions!$C$7*(1+0.1))*Assumptions!$C$16)*Assumptions!$C$14))*(1+Assumptions!$C$53)^1)-(((Assumptions!$C$7*(1+0.1))*Assumptions!$C$89)*Assumptions!$C$88))</f>
        <v>303087.46157139</v>
      </c>
      <c r="E100" s="15" t="n">
        <f aca="false">((('Operating Model'!$B$43+Assumptions!$C$20-(((Assumptions!$C$7*(1+0.1))*Assumptions!$C$16)*Assumptions!$C$14))*(1+Assumptions!$C$53)^2)-(-PMT(Assumptions!$C$88,Assumptions!$C$93,((Assumptions!$C$7*(1+0.1))*Assumptions!$C$89))))</f>
        <v>230605.201198446</v>
      </c>
      <c r="F100" s="15" t="n">
        <f aca="false">((('Operating Model'!$B$43+Assumptions!$C$20-(((Assumptions!$C$7*(1+0.1))*Assumptions!$C$16)*Assumptions!$C$14))*(1+Assumptions!$C$53)^3)-(-PMT(Assumptions!$C$88,Assumptions!$C$93,((Assumptions!$C$7*(1+0.1))*Assumptions!$C$89))))</f>
        <v>261617.815061002</v>
      </c>
      <c r="G100"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+0.005)+Returns!$B$8))*(1-Assumptions!$C$99)-(((Assumptions!$C$7*(1+0.1))*Assumptions!$C$89)+CUMPRINC(Assumptions!$C$88,Assumptions!$C$93,((Assumptions!$C$7*(1+0.1))*Assumptions!$C$89),1,3,0))))</f>
        <v>3620933.46953383</v>
      </c>
      <c r="H100" s="17" t="n">
        <f aca="false">IFERROR(IRR(B100:G100),"N/A")</f>
        <v>-0.0548813739420978</v>
      </c>
      <c r="I100" s="18" t="n">
        <f aca="false">SUM(C100:G100)/((((Assumptions!$C$7*(1+0.1))*(1+Assumptions!$C$10)+(Capital!$B$8-Assumptions!$C$7*(1+Assumptions!$C$10)))-((Assumptions!$C$7*(1+0.1))*Assumptions!$C$89)))</f>
        <v>0.777569829929285</v>
      </c>
    </row>
    <row r="101" customFormat="false" ht="15" hidden="false" customHeight="false" outlineLevel="0" collapsed="false">
      <c r="A101" s="2" t="s">
        <v>358</v>
      </c>
      <c r="B101" s="15" t="n">
        <f aca="false">-((((Assumptions!$C$7*(1+0.1))*(1+Assumptions!$C$10)+(Capital!$B$8-Assumptions!$C$7*(1+Assumptions!$C$10)))-((Assumptions!$C$7*(1+0.1))*Assumptions!$C$89)))</f>
        <v>-6031740</v>
      </c>
      <c r="C101" s="15" t="n">
        <f aca="false">((('Operating Model'!$B$43+Assumptions!$C$20-(((Assumptions!$C$7*(1+0.1))*Assumptions!$C$16)*Assumptions!$C$14))*(1+Assumptions!$C$53)^0)-(((Assumptions!$C$7*(1+0.1))*Assumptions!$C$89)*Assumptions!$C$88))</f>
        <v>273855.098613</v>
      </c>
      <c r="D101" s="15" t="n">
        <f aca="false">((('Operating Model'!$B$43+Assumptions!$C$20-(((Assumptions!$C$7*(1+0.1))*Assumptions!$C$16)*Assumptions!$C$14))*(1+Assumptions!$C$53)^1)-(((Assumptions!$C$7*(1+0.1))*Assumptions!$C$89)*Assumptions!$C$88))</f>
        <v>303087.46157139</v>
      </c>
      <c r="E101" s="15" t="n">
        <f aca="false">((('Operating Model'!$B$43+Assumptions!$C$20-(((Assumptions!$C$7*(1+0.1))*Assumptions!$C$16)*Assumptions!$C$14))*(1+Assumptions!$C$53)^2)-(-PMT(Assumptions!$C$88,Assumptions!$C$93,((Assumptions!$C$7*(1+0.1))*Assumptions!$C$89))))</f>
        <v>230605.201198446</v>
      </c>
      <c r="F101" s="15" t="n">
        <f aca="false">((('Operating Model'!$B$43+Assumptions!$C$20-(((Assumptions!$C$7*(1+0.1))*Assumptions!$C$16)*Assumptions!$C$14))*(1+Assumptions!$C$53)^3)-(-PMT(Assumptions!$C$88,Assumptions!$C$93,((Assumptions!$C$7*(1+0.1))*Assumptions!$C$89))))</f>
        <v>261617.815061002</v>
      </c>
      <c r="G101"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+0.0075)+Returns!$B$8))*(1-Assumptions!$C$99)-(((Assumptions!$C$7*(1+0.1))*Assumptions!$C$89)+CUMPRINC(Assumptions!$C$88,Assumptions!$C$93,((Assumptions!$C$7*(1+0.1))*Assumptions!$C$89),1,3,0))))</f>
        <v>3257758.81889505</v>
      </c>
      <c r="H101" s="17" t="n">
        <f aca="false">IFERROR(IRR(B101:G101),"N/A")</f>
        <v>-0.0723413678414331</v>
      </c>
      <c r="I101" s="18" t="n">
        <f aca="false">SUM(C101:G101)/((((Assumptions!$C$7*(1+0.1))*(1+Assumptions!$C$10)+(Capital!$B$8-Assumptions!$C$7*(1+Assumptions!$C$10)))-((Assumptions!$C$7*(1+0.1))*Assumptions!$C$89)))</f>
        <v>0.71735923553384</v>
      </c>
    </row>
    <row r="102" customFormat="false" ht="15" hidden="false" customHeight="false" outlineLevel="0" collapsed="false">
      <c r="A102" s="2" t="s">
        <v>359</v>
      </c>
      <c r="B102" s="15" t="n">
        <f aca="false">-((((Assumptions!$C$7*(1+0.1))*(1+Assumptions!$C$10)+(Capital!$B$8-Assumptions!$C$7*(1+Assumptions!$C$10)))-((Assumptions!$C$7*(1+0.1))*Assumptions!$C$89)))</f>
        <v>-6031740</v>
      </c>
      <c r="C102" s="15" t="n">
        <f aca="false">((('Operating Model'!$B$43+Assumptions!$C$20-(((Assumptions!$C$7*(1+0.1))*Assumptions!$C$16)*Assumptions!$C$14))*(1+Assumptions!$C$53)^0)-(((Assumptions!$C$7*(1+0.1))*Assumptions!$C$89)*Assumptions!$C$88))</f>
        <v>273855.098613</v>
      </c>
      <c r="D102" s="15" t="n">
        <f aca="false">((('Operating Model'!$B$43+Assumptions!$C$20-(((Assumptions!$C$7*(1+0.1))*Assumptions!$C$16)*Assumptions!$C$14))*(1+Assumptions!$C$53)^1)-(((Assumptions!$C$7*(1+0.1))*Assumptions!$C$89)*Assumptions!$C$88))</f>
        <v>303087.46157139</v>
      </c>
      <c r="E102" s="15" t="n">
        <f aca="false">((('Operating Model'!$B$43+Assumptions!$C$20-(((Assumptions!$C$7*(1+0.1))*Assumptions!$C$16)*Assumptions!$C$14))*(1+Assumptions!$C$53)^2)-(-PMT(Assumptions!$C$88,Assumptions!$C$93,((Assumptions!$C$7*(1+0.1))*Assumptions!$C$89))))</f>
        <v>230605.201198446</v>
      </c>
      <c r="F102" s="15" t="n">
        <f aca="false">((('Operating Model'!$B$43+Assumptions!$C$20-(((Assumptions!$C$7*(1+0.1))*Assumptions!$C$16)*Assumptions!$C$14))*(1+Assumptions!$C$53)^3)-(-PMT(Assumptions!$C$88,Assumptions!$C$93,((Assumptions!$C$7*(1+0.1))*Assumptions!$C$89))))</f>
        <v>261617.815061002</v>
      </c>
      <c r="G102" s="15" t="n">
        <f aca="false">((('Operating Model'!$B$43+Assumptions!$C$20-(((Assumptions!$C$7*(1+0.1))*Assumptions!$C$16)*Assumptions!$C$14))*(1+Assumptions!$C$53)^4)-(-PMT(Assumptions!$C$88,Assumptions!$C$93,((Assumptions!$C$7*(1+0.1))*Assumptions!$C$89)))+(((('Operating Model'!$B$43+Assumptions!$C$20-(((Assumptions!$C$7*(1+0.1))*Assumptions!$C$16)*Assumptions!$C$14))*(1+Assumptions!$C$53)^5)/(((('Operating Model'!$B$43+Assumptions!$C$20-(((Assumptions!$C$7*(1+0.1))*Assumptions!$C$16)*Assumptions!$C$14))/(Assumptions!$C$7*(1+0.1)))+0.01)+Returns!$B$8))*(1-Assumptions!$C$99)-(((Assumptions!$C$7*(1+0.1))*Assumptions!$C$89)+CUMPRINC(Assumptions!$C$88,Assumptions!$C$93,((Assumptions!$C$7*(1+0.1))*Assumptions!$C$89),1,3,0))))</f>
        <v>2914526.98292866</v>
      </c>
      <c r="H102" s="17" t="n">
        <f aca="false">IFERROR(IRR(B102:G102),"N/A")</f>
        <v>-0.0902304161369946</v>
      </c>
      <c r="I102" s="18" t="n">
        <f aca="false">SUM(C102:G102)/((((Assumptions!$C$7*(1+0.1))*(1+Assumptions!$C$10)+(Capital!$B$8-Assumptions!$C$7*(1+Assumptions!$C$10)))-((Assumptions!$C$7*(1+0.1))*Assumptions!$C$89)))</f>
        <v>0.660454953193025</v>
      </c>
    </row>
    <row r="103" customFormat="false" ht="15" hidden="false" customHeight="false" outlineLevel="0" collapsed="false">
      <c r="A103" s="2" t="s">
        <v>360</v>
      </c>
      <c r="B103" s="15" t="n">
        <f aca="false">-((Capital!$B$12+(('Unit Mix'!$C$10*(Assumptions!$C$34*(1+-0.2)))-'Unit Mix'!$D$18)))</f>
        <v>-5429832</v>
      </c>
      <c r="C103" s="15" t="n">
        <f aca="false">(('Operating Model'!$B$43+((100-Assumptions!$C$36)*12*'Unit Mix'!$C$10)*Assumptions!$C$38)-(Debt!$C$9*Assumptions!$C$88))</f>
        <v>350013.714813</v>
      </c>
      <c r="D103" s="15" t="n">
        <f aca="false">((('Operating Model'!$B$43+((100-Assumptions!$C$36)*12*'Unit Mix'!$C$10)*Assumptions!$C$38)+((100-Assumptions!$C$36)*12*'Unit Mix'!$C$10))-(Debt!$C$9*Assumptions!$C$88))</f>
        <v>328413.714813</v>
      </c>
      <c r="E103" s="15" t="n">
        <f aca="false">((('Operating Model'!$B$43+((100-Assumptions!$C$36)*12*'Unit Mix'!$C$10)*Assumptions!$C$38)+((100-Assumptions!$C$36)*12*'Unit Mix'!$C$10))-(-PMT(Assumptions!$C$88,Assumptions!$C$93,Debt!$C$9)))</f>
        <v>235148.629158377</v>
      </c>
      <c r="F103" s="15" t="n">
        <f aca="false">((('Operating Model'!$B$43+((100-Assumptions!$C$36)*12*'Unit Mix'!$C$10)*Assumptions!$C$38)+((100-Assumptions!$C$36)*12*'Unit Mix'!$C$10))-(-PMT(Assumptions!$C$88,Assumptions!$C$93,Debt!$C$9)))</f>
        <v>235148.629158377</v>
      </c>
      <c r="G103" s="15" t="n">
        <f aca="false">((('Operating Model'!$B$43+((100-Assumptions!$C$36)*12*'Unit Mix'!$C$10)*Assumptions!$C$38)+((100-Assumptions!$C$36)*12*'Unit Mix'!$C$10))-(-PMT(Assumptions!$C$88,Assumptions!$C$93,Debt!$C$9))+((((('Operating Model'!$B$43+((100-Assumptions!$C$36)*12*'Unit Mix'!$C$10)*Assumptions!$C$38)+((100-Assumptions!$C$36)*12*'Unit Mix'!$C$10))*(1+Assumptions!$C$53))/(Returns!$B$6+Returns!$B$8))*(1-Assumptions!$C$99)-(Debt!$C$9+CUMPRINC(Assumptions!$C$88,Assumptions!$C$93,Debt!$C$9,1,3,0))))</f>
        <v>1913234.81853303</v>
      </c>
      <c r="H103" s="17" t="n">
        <f aca="false">IFERROR(IRR(B103:G103),"N/A")</f>
        <v>-0.129529338432886</v>
      </c>
      <c r="I103" s="18" t="n">
        <f aca="false">SUM(C103:G103)/((Capital!$B$12+(('Unit Mix'!$C$10*(Assumptions!$C$34*(1+-0.2)))-'Unit Mix'!$D$18)))</f>
        <v>0.563914225426456</v>
      </c>
    </row>
    <row r="104" customFormat="false" ht="15" hidden="false" customHeight="false" outlineLevel="0" collapsed="false">
      <c r="A104" s="2" t="s">
        <v>361</v>
      </c>
      <c r="B104" s="15" t="n">
        <f aca="false">-((Capital!$B$12+(('Unit Mix'!$C$10*(Assumptions!$C$34*(1+-0.1)))-'Unit Mix'!$D$18)))</f>
        <v>-5478936</v>
      </c>
      <c r="C104" s="15" t="n">
        <f aca="false">(('Operating Model'!$B$43+((100-Assumptions!$C$36)*12*'Unit Mix'!$C$10)*Assumptions!$C$38)-(Debt!$C$9*Assumptions!$C$88))</f>
        <v>350013.714813</v>
      </c>
      <c r="D104" s="15" t="n">
        <f aca="false">((('Operating Model'!$B$43+((100-Assumptions!$C$36)*12*'Unit Mix'!$C$10)*Assumptions!$C$38)+((100-Assumptions!$C$36)*12*'Unit Mix'!$C$10))-(Debt!$C$9*Assumptions!$C$88))</f>
        <v>328413.714813</v>
      </c>
      <c r="E104" s="15" t="n">
        <f aca="false">((('Operating Model'!$B$43+((100-Assumptions!$C$36)*12*'Unit Mix'!$C$10)*Assumptions!$C$38)+((100-Assumptions!$C$36)*12*'Unit Mix'!$C$10))-(-PMT(Assumptions!$C$88,Assumptions!$C$93,Debt!$C$9)))</f>
        <v>235148.629158377</v>
      </c>
      <c r="F104" s="15" t="n">
        <f aca="false">((('Operating Model'!$B$43+((100-Assumptions!$C$36)*12*'Unit Mix'!$C$10)*Assumptions!$C$38)+((100-Assumptions!$C$36)*12*'Unit Mix'!$C$10))-(-PMT(Assumptions!$C$88,Assumptions!$C$93,Debt!$C$9)))</f>
        <v>235148.629158377</v>
      </c>
      <c r="G104" s="15" t="n">
        <f aca="false">((('Operating Model'!$B$43+((100-Assumptions!$C$36)*12*'Unit Mix'!$C$10)*Assumptions!$C$38)+((100-Assumptions!$C$36)*12*'Unit Mix'!$C$10))-(-PMT(Assumptions!$C$88,Assumptions!$C$93,Debt!$C$9))+((((('Operating Model'!$B$43+((100-Assumptions!$C$36)*12*'Unit Mix'!$C$10)*Assumptions!$C$38)+((100-Assumptions!$C$36)*12*'Unit Mix'!$C$10))*(1+Assumptions!$C$53))/(Returns!$B$6+Returns!$B$8))*(1-Assumptions!$C$99)-(Debt!$C$9+CUMPRINC(Assumptions!$C$88,Assumptions!$C$93,Debt!$C$9,1,3,0))))</f>
        <v>1913234.81853303</v>
      </c>
      <c r="H104" s="17" t="n">
        <f aca="false">IFERROR(IRR(B104:G104),"N/A")</f>
        <v>-0.131367253706609</v>
      </c>
      <c r="I104" s="18" t="n">
        <f aca="false">SUM(C104:G104)/((Capital!$B$12+(('Unit Mix'!$C$10*(Assumptions!$C$34*(1+-0.1)))-'Unit Mix'!$D$18)))</f>
        <v>0.558860243389553</v>
      </c>
    </row>
    <row r="105" customFormat="false" ht="15" hidden="false" customHeight="false" outlineLevel="0" collapsed="false">
      <c r="A105" s="2" t="s">
        <v>362</v>
      </c>
      <c r="B105" s="15" t="n">
        <f aca="false">-((Capital!$B$12+(('Unit Mix'!$C$10*(Assumptions!$C$34*(1+0)))-'Unit Mix'!$D$18)))</f>
        <v>-5528040</v>
      </c>
      <c r="C105" s="15" t="n">
        <f aca="false">(('Operating Model'!$B$43+((100-Assumptions!$C$36)*12*'Unit Mix'!$C$10)*Assumptions!$C$38)-(Debt!$C$9*Assumptions!$C$88))</f>
        <v>350013.714813</v>
      </c>
      <c r="D105" s="15" t="n">
        <f aca="false">((('Operating Model'!$B$43+((100-Assumptions!$C$36)*12*'Unit Mix'!$C$10)*Assumptions!$C$38)+((100-Assumptions!$C$36)*12*'Unit Mix'!$C$10))-(Debt!$C$9*Assumptions!$C$88))</f>
        <v>328413.714813</v>
      </c>
      <c r="E105" s="15" t="n">
        <f aca="false">((('Operating Model'!$B$43+((100-Assumptions!$C$36)*12*'Unit Mix'!$C$10)*Assumptions!$C$38)+((100-Assumptions!$C$36)*12*'Unit Mix'!$C$10))-(-PMT(Assumptions!$C$88,Assumptions!$C$93,Debt!$C$9)))</f>
        <v>235148.629158377</v>
      </c>
      <c r="F105" s="15" t="n">
        <f aca="false">((('Operating Model'!$B$43+((100-Assumptions!$C$36)*12*'Unit Mix'!$C$10)*Assumptions!$C$38)+((100-Assumptions!$C$36)*12*'Unit Mix'!$C$10))-(-PMT(Assumptions!$C$88,Assumptions!$C$93,Debt!$C$9)))</f>
        <v>235148.629158377</v>
      </c>
      <c r="G105" s="15" t="n">
        <f aca="false">((('Operating Model'!$B$43+((100-Assumptions!$C$36)*12*'Unit Mix'!$C$10)*Assumptions!$C$38)+((100-Assumptions!$C$36)*12*'Unit Mix'!$C$10))-(-PMT(Assumptions!$C$88,Assumptions!$C$93,Debt!$C$9))+((((('Operating Model'!$B$43+((100-Assumptions!$C$36)*12*'Unit Mix'!$C$10)*Assumptions!$C$38)+((100-Assumptions!$C$36)*12*'Unit Mix'!$C$10))*(1+Assumptions!$C$53))/(Returns!$B$6+Returns!$B$8))*(1-Assumptions!$C$99)-(Debt!$C$9+CUMPRINC(Assumptions!$C$88,Assumptions!$C$93,Debt!$C$9,1,3,0))))</f>
        <v>1913234.81853303</v>
      </c>
      <c r="H105" s="17" t="n">
        <f aca="false">IFERROR(IRR(B105:G105),"N/A")</f>
        <v>-0.13318343348128</v>
      </c>
      <c r="I105" s="18" t="n">
        <f aca="false">SUM(C105:G105)/((Capital!$B$12+(('Unit Mix'!$C$10*(Assumptions!$C$34*(1+0)))-'Unit Mix'!$D$18)))</f>
        <v>0.553896047509748</v>
      </c>
    </row>
    <row r="106" customFormat="false" ht="15" hidden="false" customHeight="false" outlineLevel="0" collapsed="false">
      <c r="A106" s="2" t="s">
        <v>363</v>
      </c>
      <c r="B106" s="15" t="n">
        <f aca="false">-((Capital!$B$12+(('Unit Mix'!$C$10*(Assumptions!$C$34*(1+0.1)))-'Unit Mix'!$D$18)))</f>
        <v>-5577144</v>
      </c>
      <c r="C106" s="15" t="n">
        <f aca="false">(('Operating Model'!$B$43+((100-Assumptions!$C$36)*12*'Unit Mix'!$C$10)*Assumptions!$C$38)-(Debt!$C$9*Assumptions!$C$88))</f>
        <v>350013.714813</v>
      </c>
      <c r="D106" s="15" t="n">
        <f aca="false">((('Operating Model'!$B$43+((100-Assumptions!$C$36)*12*'Unit Mix'!$C$10)*Assumptions!$C$38)+((100-Assumptions!$C$36)*12*'Unit Mix'!$C$10))-(Debt!$C$9*Assumptions!$C$88))</f>
        <v>328413.714813</v>
      </c>
      <c r="E106" s="15" t="n">
        <f aca="false">((('Operating Model'!$B$43+((100-Assumptions!$C$36)*12*'Unit Mix'!$C$10)*Assumptions!$C$38)+((100-Assumptions!$C$36)*12*'Unit Mix'!$C$10))-(-PMT(Assumptions!$C$88,Assumptions!$C$93,Debt!$C$9)))</f>
        <v>235148.629158377</v>
      </c>
      <c r="F106" s="15" t="n">
        <f aca="false">((('Operating Model'!$B$43+((100-Assumptions!$C$36)*12*'Unit Mix'!$C$10)*Assumptions!$C$38)+((100-Assumptions!$C$36)*12*'Unit Mix'!$C$10))-(-PMT(Assumptions!$C$88,Assumptions!$C$93,Debt!$C$9)))</f>
        <v>235148.629158377</v>
      </c>
      <c r="G106" s="15" t="n">
        <f aca="false">((('Operating Model'!$B$43+((100-Assumptions!$C$36)*12*'Unit Mix'!$C$10)*Assumptions!$C$38)+((100-Assumptions!$C$36)*12*'Unit Mix'!$C$10))-(-PMT(Assumptions!$C$88,Assumptions!$C$93,Debt!$C$9))+((((('Operating Model'!$B$43+((100-Assumptions!$C$36)*12*'Unit Mix'!$C$10)*Assumptions!$C$38)+((100-Assumptions!$C$36)*12*'Unit Mix'!$C$10))*(1+Assumptions!$C$53))/(Returns!$B$6+Returns!$B$8))*(1-Assumptions!$C$99)-(Debt!$C$9+CUMPRINC(Assumptions!$C$88,Assumptions!$C$93,Debt!$C$9,1,3,0))))</f>
        <v>1913234.81853303</v>
      </c>
      <c r="H106" s="17" t="n">
        <f aca="false">IFERROR(IRR(B106:G106),"N/A")</f>
        <v>-0.13497833608039</v>
      </c>
      <c r="I106" s="18" t="n">
        <f aca="false">SUM(C106:G106)/((Capital!$B$12+(('Unit Mix'!$C$10*(Assumptions!$C$34*(1+0.1)))-'Unit Mix'!$D$18)))</f>
        <v>0.549019266218657</v>
      </c>
    </row>
    <row r="107" customFormat="false" ht="15" hidden="false" customHeight="false" outlineLevel="0" collapsed="false">
      <c r="A107" s="2" t="s">
        <v>364</v>
      </c>
      <c r="B107" s="15" t="n">
        <f aca="false">-((Capital!$B$12+(('Unit Mix'!$C$10*(Assumptions!$C$34*(1+0.2)))-'Unit Mix'!$D$18)))</f>
        <v>-5626248</v>
      </c>
      <c r="C107" s="15" t="n">
        <f aca="false">(('Operating Model'!$B$43+((100-Assumptions!$C$36)*12*'Unit Mix'!$C$10)*Assumptions!$C$38)-(Debt!$C$9*Assumptions!$C$88))</f>
        <v>350013.714813</v>
      </c>
      <c r="D107" s="15" t="n">
        <f aca="false">((('Operating Model'!$B$43+((100-Assumptions!$C$36)*12*'Unit Mix'!$C$10)*Assumptions!$C$38)+((100-Assumptions!$C$36)*12*'Unit Mix'!$C$10))-(Debt!$C$9*Assumptions!$C$88))</f>
        <v>328413.714813</v>
      </c>
      <c r="E107" s="15" t="n">
        <f aca="false">((('Operating Model'!$B$43+((100-Assumptions!$C$36)*12*'Unit Mix'!$C$10)*Assumptions!$C$38)+((100-Assumptions!$C$36)*12*'Unit Mix'!$C$10))-(-PMT(Assumptions!$C$88,Assumptions!$C$93,Debt!$C$9)))</f>
        <v>235148.629158377</v>
      </c>
      <c r="F107" s="15" t="n">
        <f aca="false">((('Operating Model'!$B$43+((100-Assumptions!$C$36)*12*'Unit Mix'!$C$10)*Assumptions!$C$38)+((100-Assumptions!$C$36)*12*'Unit Mix'!$C$10))-(-PMT(Assumptions!$C$88,Assumptions!$C$93,Debt!$C$9)))</f>
        <v>235148.629158377</v>
      </c>
      <c r="G107" s="15" t="n">
        <f aca="false">((('Operating Model'!$B$43+((100-Assumptions!$C$36)*12*'Unit Mix'!$C$10)*Assumptions!$C$38)+((100-Assumptions!$C$36)*12*'Unit Mix'!$C$10))-(-PMT(Assumptions!$C$88,Assumptions!$C$93,Debt!$C$9))+((((('Operating Model'!$B$43+((100-Assumptions!$C$36)*12*'Unit Mix'!$C$10)*Assumptions!$C$38)+((100-Assumptions!$C$36)*12*'Unit Mix'!$C$10))*(1+Assumptions!$C$53))/(Returns!$B$6+Returns!$B$8))*(1-Assumptions!$C$99)-(Debt!$C$9+CUMPRINC(Assumptions!$C$88,Assumptions!$C$93,Debt!$C$9,1,3,0))))</f>
        <v>1913234.81853303</v>
      </c>
      <c r="H107" s="17" t="n">
        <f aca="false">IFERROR(IRR(B107:G107),"N/A")</f>
        <v>-0.136752406039614</v>
      </c>
      <c r="I107" s="18" t="n">
        <f aca="false">SUM(C107:G107)/((Capital!$B$12+(('Unit Mix'!$C$10*(Assumptions!$C$34*(1+0.2)))-'Unit Mix'!$D$18)))</f>
        <v>0.544227610740903</v>
      </c>
    </row>
    <row r="108" customFormat="false" ht="15" hidden="false" customHeight="false" outlineLevel="0" collapsed="false">
      <c r="A108" s="2" t="s">
        <v>365</v>
      </c>
      <c r="B108" s="15" t="n">
        <f aca="false">-((Capital!$B$12+(('Unit Mix'!$C$10*(Assumptions!$C$34*(1+-0.2)))-'Unit Mix'!$D$18)))</f>
        <v>-5429832</v>
      </c>
      <c r="C108" s="15" t="n">
        <f aca="false">(('Operating Model'!$B$43+((137.5-Assumptions!$C$36)*12*'Unit Mix'!$C$10)*Assumptions!$C$38)-(Debt!$C$9*Assumptions!$C$88))</f>
        <v>355413.714813</v>
      </c>
      <c r="D108" s="15" t="n">
        <f aca="false">((('Operating Model'!$B$43+((137.5-Assumptions!$C$36)*12*'Unit Mix'!$C$10)*Assumptions!$C$38)+((137.5-Assumptions!$C$36)*12*'Unit Mix'!$C$10))-(Debt!$C$9*Assumptions!$C$88))</f>
        <v>344613.714813</v>
      </c>
      <c r="E108" s="15" t="n">
        <f aca="false">((('Operating Model'!$B$43+((137.5-Assumptions!$C$36)*12*'Unit Mix'!$C$10)*Assumptions!$C$38)+((137.5-Assumptions!$C$36)*12*'Unit Mix'!$C$10))-(-PMT(Assumptions!$C$88,Assumptions!$C$93,Debt!$C$9)))</f>
        <v>251348.629158377</v>
      </c>
      <c r="F108" s="15" t="n">
        <f aca="false">((('Operating Model'!$B$43+((137.5-Assumptions!$C$36)*12*'Unit Mix'!$C$10)*Assumptions!$C$38)+((137.5-Assumptions!$C$36)*12*'Unit Mix'!$C$10))-(-PMT(Assumptions!$C$88,Assumptions!$C$93,Debt!$C$9)))</f>
        <v>251348.629158377</v>
      </c>
      <c r="G108" s="15" t="n">
        <f aca="false">((('Operating Model'!$B$43+((137.5-Assumptions!$C$36)*12*'Unit Mix'!$C$10)*Assumptions!$C$38)+((137.5-Assumptions!$C$36)*12*'Unit Mix'!$C$10))-(-PMT(Assumptions!$C$88,Assumptions!$C$93,Debt!$C$9))+((((('Operating Model'!$B$43+((137.5-Assumptions!$C$36)*12*'Unit Mix'!$C$10)*Assumptions!$C$38)+((137.5-Assumptions!$C$36)*12*'Unit Mix'!$C$10))*(1+Assumptions!$C$53))/(Returns!$B$6+Returns!$B$8))*(1-Assumptions!$C$99)-(Debt!$C$9+CUMPRINC(Assumptions!$C$88,Assumptions!$C$93,Debt!$C$9,1,3,0))))</f>
        <v>2103100.73002555</v>
      </c>
      <c r="H108" s="17" t="n">
        <f aca="false">IFERROR(IRR(B108:G108),"N/A")</f>
        <v>-0.112790008081192</v>
      </c>
      <c r="I108" s="18" t="n">
        <f aca="false">SUM(C108:G108)/((Capital!$B$12+(('Unit Mix'!$C$10*(Assumptions!$C$34*(1+-0.2)))-'Unit Mix'!$D$18)))</f>
        <v>0.608826464238361</v>
      </c>
    </row>
    <row r="109" customFormat="false" ht="15" hidden="false" customHeight="false" outlineLevel="0" collapsed="false">
      <c r="A109" s="2" t="s">
        <v>366</v>
      </c>
      <c r="B109" s="15" t="n">
        <f aca="false">-((Capital!$B$12+(('Unit Mix'!$C$10*(Assumptions!$C$34*(1+-0.1)))-'Unit Mix'!$D$18)))</f>
        <v>-5478936</v>
      </c>
      <c r="C109" s="15" t="n">
        <f aca="false">(('Operating Model'!$B$43+((137.5-Assumptions!$C$36)*12*'Unit Mix'!$C$10)*Assumptions!$C$38)-(Debt!$C$9*Assumptions!$C$88))</f>
        <v>355413.714813</v>
      </c>
      <c r="D109" s="15" t="n">
        <f aca="false">((('Operating Model'!$B$43+((137.5-Assumptions!$C$36)*12*'Unit Mix'!$C$10)*Assumptions!$C$38)+((137.5-Assumptions!$C$36)*12*'Unit Mix'!$C$10))-(Debt!$C$9*Assumptions!$C$88))</f>
        <v>344613.714813</v>
      </c>
      <c r="E109" s="15" t="n">
        <f aca="false">((('Operating Model'!$B$43+((137.5-Assumptions!$C$36)*12*'Unit Mix'!$C$10)*Assumptions!$C$38)+((137.5-Assumptions!$C$36)*12*'Unit Mix'!$C$10))-(-PMT(Assumptions!$C$88,Assumptions!$C$93,Debt!$C$9)))</f>
        <v>251348.629158377</v>
      </c>
      <c r="F109" s="15" t="n">
        <f aca="false">((('Operating Model'!$B$43+((137.5-Assumptions!$C$36)*12*'Unit Mix'!$C$10)*Assumptions!$C$38)+((137.5-Assumptions!$C$36)*12*'Unit Mix'!$C$10))-(-PMT(Assumptions!$C$88,Assumptions!$C$93,Debt!$C$9)))</f>
        <v>251348.629158377</v>
      </c>
      <c r="G109" s="15" t="n">
        <f aca="false">((('Operating Model'!$B$43+((137.5-Assumptions!$C$36)*12*'Unit Mix'!$C$10)*Assumptions!$C$38)+((137.5-Assumptions!$C$36)*12*'Unit Mix'!$C$10))-(-PMT(Assumptions!$C$88,Assumptions!$C$93,Debt!$C$9))+((((('Operating Model'!$B$43+((137.5-Assumptions!$C$36)*12*'Unit Mix'!$C$10)*Assumptions!$C$38)+((137.5-Assumptions!$C$36)*12*'Unit Mix'!$C$10))*(1+Assumptions!$C$53))/(Returns!$B$6+Returns!$B$8))*(1-Assumptions!$C$99)-(Debt!$C$9+CUMPRINC(Assumptions!$C$88,Assumptions!$C$93,Debt!$C$9,1,3,0))))</f>
        <v>2103100.73002555</v>
      </c>
      <c r="H109" s="17" t="n">
        <f aca="false">IFERROR(IRR(B109:G109),"N/A")</f>
        <v>-0.114664077662226</v>
      </c>
      <c r="I109" s="18" t="n">
        <f aca="false">SUM(C109:G109)/((Capital!$B$12+(('Unit Mix'!$C$10*(Assumptions!$C$34*(1+-0.1)))-'Unit Mix'!$D$18)))</f>
        <v>0.603369964162441</v>
      </c>
    </row>
    <row r="110" customFormat="false" ht="15" hidden="false" customHeight="false" outlineLevel="0" collapsed="false">
      <c r="A110" s="2" t="s">
        <v>367</v>
      </c>
      <c r="B110" s="15" t="n">
        <f aca="false">-((Capital!$B$12+(('Unit Mix'!$C$10*(Assumptions!$C$34*(1+0)))-'Unit Mix'!$D$18)))</f>
        <v>-5528040</v>
      </c>
      <c r="C110" s="15" t="n">
        <f aca="false">(('Operating Model'!$B$43+((137.5-Assumptions!$C$36)*12*'Unit Mix'!$C$10)*Assumptions!$C$38)-(Debt!$C$9*Assumptions!$C$88))</f>
        <v>355413.714813</v>
      </c>
      <c r="D110" s="15" t="n">
        <f aca="false">((('Operating Model'!$B$43+((137.5-Assumptions!$C$36)*12*'Unit Mix'!$C$10)*Assumptions!$C$38)+((137.5-Assumptions!$C$36)*12*'Unit Mix'!$C$10))-(Debt!$C$9*Assumptions!$C$88))</f>
        <v>344613.714813</v>
      </c>
      <c r="E110" s="15" t="n">
        <f aca="false">((('Operating Model'!$B$43+((137.5-Assumptions!$C$36)*12*'Unit Mix'!$C$10)*Assumptions!$C$38)+((137.5-Assumptions!$C$36)*12*'Unit Mix'!$C$10))-(-PMT(Assumptions!$C$88,Assumptions!$C$93,Debt!$C$9)))</f>
        <v>251348.629158377</v>
      </c>
      <c r="F110" s="15" t="n">
        <f aca="false">((('Operating Model'!$B$43+((137.5-Assumptions!$C$36)*12*'Unit Mix'!$C$10)*Assumptions!$C$38)+((137.5-Assumptions!$C$36)*12*'Unit Mix'!$C$10))-(-PMT(Assumptions!$C$88,Assumptions!$C$93,Debt!$C$9)))</f>
        <v>251348.629158377</v>
      </c>
      <c r="G110" s="15" t="n">
        <f aca="false">((('Operating Model'!$B$43+((137.5-Assumptions!$C$36)*12*'Unit Mix'!$C$10)*Assumptions!$C$38)+((137.5-Assumptions!$C$36)*12*'Unit Mix'!$C$10))-(-PMT(Assumptions!$C$88,Assumptions!$C$93,Debt!$C$9))+((((('Operating Model'!$B$43+((137.5-Assumptions!$C$36)*12*'Unit Mix'!$C$10)*Assumptions!$C$38)+((137.5-Assumptions!$C$36)*12*'Unit Mix'!$C$10))*(1+Assumptions!$C$53))/(Returns!$B$6+Returns!$B$8))*(1-Assumptions!$C$99)-(Debt!$C$9+CUMPRINC(Assumptions!$C$88,Assumptions!$C$93,Debt!$C$9,1,3,0))))</f>
        <v>2103100.73002555</v>
      </c>
      <c r="H110" s="17" t="n">
        <f aca="false">IFERROR(IRR(B110:G110),"N/A")</f>
        <v>-0.116515979431841</v>
      </c>
      <c r="I110" s="18" t="n">
        <f aca="false">SUM(C110:G110)/((Capital!$B$12+(('Unit Mix'!$C$10*(Assumptions!$C$34*(1+0)))-'Unit Mix'!$D$18)))</f>
        <v>0.598010401149106</v>
      </c>
    </row>
    <row r="111" customFormat="false" ht="15" hidden="false" customHeight="false" outlineLevel="0" collapsed="false">
      <c r="A111" s="2" t="s">
        <v>368</v>
      </c>
      <c r="B111" s="15" t="n">
        <f aca="false">-((Capital!$B$12+(('Unit Mix'!$C$10*(Assumptions!$C$34*(1+0.1)))-'Unit Mix'!$D$18)))</f>
        <v>-5577144</v>
      </c>
      <c r="C111" s="15" t="n">
        <f aca="false">(('Operating Model'!$B$43+((137.5-Assumptions!$C$36)*12*'Unit Mix'!$C$10)*Assumptions!$C$38)-(Debt!$C$9*Assumptions!$C$88))</f>
        <v>355413.714813</v>
      </c>
      <c r="D111" s="15" t="n">
        <f aca="false">((('Operating Model'!$B$43+((137.5-Assumptions!$C$36)*12*'Unit Mix'!$C$10)*Assumptions!$C$38)+((137.5-Assumptions!$C$36)*12*'Unit Mix'!$C$10))-(Debt!$C$9*Assumptions!$C$88))</f>
        <v>344613.714813</v>
      </c>
      <c r="E111" s="15" t="n">
        <f aca="false">((('Operating Model'!$B$43+((137.5-Assumptions!$C$36)*12*'Unit Mix'!$C$10)*Assumptions!$C$38)+((137.5-Assumptions!$C$36)*12*'Unit Mix'!$C$10))-(-PMT(Assumptions!$C$88,Assumptions!$C$93,Debt!$C$9)))</f>
        <v>251348.629158377</v>
      </c>
      <c r="F111" s="15" t="n">
        <f aca="false">((('Operating Model'!$B$43+((137.5-Assumptions!$C$36)*12*'Unit Mix'!$C$10)*Assumptions!$C$38)+((137.5-Assumptions!$C$36)*12*'Unit Mix'!$C$10))-(-PMT(Assumptions!$C$88,Assumptions!$C$93,Debt!$C$9)))</f>
        <v>251348.629158377</v>
      </c>
      <c r="G111" s="15" t="n">
        <f aca="false">((('Operating Model'!$B$43+((137.5-Assumptions!$C$36)*12*'Unit Mix'!$C$10)*Assumptions!$C$38)+((137.5-Assumptions!$C$36)*12*'Unit Mix'!$C$10))-(-PMT(Assumptions!$C$88,Assumptions!$C$93,Debt!$C$9))+((((('Operating Model'!$B$43+((137.5-Assumptions!$C$36)*12*'Unit Mix'!$C$10)*Assumptions!$C$38)+((137.5-Assumptions!$C$36)*12*'Unit Mix'!$C$10))*(1+Assumptions!$C$53))/(Returns!$B$6+Returns!$B$8))*(1-Assumptions!$C$99)-(Debt!$C$9+CUMPRINC(Assumptions!$C$88,Assumptions!$C$93,Debt!$C$9,1,3,0))))</f>
        <v>2103100.73002555</v>
      </c>
      <c r="H111" s="17" t="n">
        <f aca="false">IFERROR(IRR(B111:G111),"N/A")</f>
        <v>-0.118346180892634</v>
      </c>
      <c r="I111" s="18" t="n">
        <f aca="false">SUM(C111:G111)/((Capital!$B$12+(('Unit Mix'!$C$10*(Assumptions!$C$34*(1+0.1)))-'Unit Mix'!$D$18)))</f>
        <v>0.592745214749396</v>
      </c>
    </row>
    <row r="112" customFormat="false" ht="15" hidden="false" customHeight="false" outlineLevel="0" collapsed="false">
      <c r="A112" s="2" t="s">
        <v>369</v>
      </c>
      <c r="B112" s="15" t="n">
        <f aca="false">-((Capital!$B$12+(('Unit Mix'!$C$10*(Assumptions!$C$34*(1+0.2)))-'Unit Mix'!$D$18)))</f>
        <v>-5626248</v>
      </c>
      <c r="C112" s="15" t="n">
        <f aca="false">(('Operating Model'!$B$43+((137.5-Assumptions!$C$36)*12*'Unit Mix'!$C$10)*Assumptions!$C$38)-(Debt!$C$9*Assumptions!$C$88))</f>
        <v>355413.714813</v>
      </c>
      <c r="D112" s="15" t="n">
        <f aca="false">((('Operating Model'!$B$43+((137.5-Assumptions!$C$36)*12*'Unit Mix'!$C$10)*Assumptions!$C$38)+((137.5-Assumptions!$C$36)*12*'Unit Mix'!$C$10))-(Debt!$C$9*Assumptions!$C$88))</f>
        <v>344613.714813</v>
      </c>
      <c r="E112" s="15" t="n">
        <f aca="false">((('Operating Model'!$B$43+((137.5-Assumptions!$C$36)*12*'Unit Mix'!$C$10)*Assumptions!$C$38)+((137.5-Assumptions!$C$36)*12*'Unit Mix'!$C$10))-(-PMT(Assumptions!$C$88,Assumptions!$C$93,Debt!$C$9)))</f>
        <v>251348.629158377</v>
      </c>
      <c r="F112" s="15" t="n">
        <f aca="false">((('Operating Model'!$B$43+((137.5-Assumptions!$C$36)*12*'Unit Mix'!$C$10)*Assumptions!$C$38)+((137.5-Assumptions!$C$36)*12*'Unit Mix'!$C$10))-(-PMT(Assumptions!$C$88,Assumptions!$C$93,Debt!$C$9)))</f>
        <v>251348.629158377</v>
      </c>
      <c r="G112" s="15" t="n">
        <f aca="false">((('Operating Model'!$B$43+((137.5-Assumptions!$C$36)*12*'Unit Mix'!$C$10)*Assumptions!$C$38)+((137.5-Assumptions!$C$36)*12*'Unit Mix'!$C$10))-(-PMT(Assumptions!$C$88,Assumptions!$C$93,Debt!$C$9))+((((('Operating Model'!$B$43+((137.5-Assumptions!$C$36)*12*'Unit Mix'!$C$10)*Assumptions!$C$38)+((137.5-Assumptions!$C$36)*12*'Unit Mix'!$C$10))*(1+Assumptions!$C$53))/(Returns!$B$6+Returns!$B$8))*(1-Assumptions!$C$99)-(Debt!$C$9+CUMPRINC(Assumptions!$C$88,Assumptions!$C$93,Debt!$C$9,1,3,0))))</f>
        <v>2103100.73002555</v>
      </c>
      <c r="H112" s="17" t="n">
        <f aca="false">IFERROR(IRR(B112:G112),"N/A")</f>
        <v>-0.12015513548199</v>
      </c>
      <c r="I112" s="18" t="n">
        <f aca="false">SUM(C112:G112)/((Capital!$B$12+(('Unit Mix'!$C$10*(Assumptions!$C$34*(1+0.2)))-'Unit Mix'!$D$18)))</f>
        <v>0.587571933901297</v>
      </c>
    </row>
    <row r="113" customFormat="false" ht="15" hidden="false" customHeight="false" outlineLevel="0" collapsed="false">
      <c r="A113" s="2" t="s">
        <v>370</v>
      </c>
      <c r="B113" s="15" t="n">
        <f aca="false">-((Capital!$B$12+(('Unit Mix'!$C$10*(Assumptions!$C$34*(1+-0.2)))-'Unit Mix'!$D$18)))</f>
        <v>-5429832</v>
      </c>
      <c r="C113" s="15" t="n">
        <f aca="false">(('Operating Model'!$B$43+((175-Assumptions!$C$36)*12*'Unit Mix'!$C$10)*Assumptions!$C$38)-(Debt!$C$9*Assumptions!$C$88))</f>
        <v>360813.714813</v>
      </c>
      <c r="D113" s="15" t="n">
        <f aca="false">((('Operating Model'!$B$43+((175-Assumptions!$C$36)*12*'Unit Mix'!$C$10)*Assumptions!$C$38)+((175-Assumptions!$C$36)*12*'Unit Mix'!$C$10))-(Debt!$C$9*Assumptions!$C$88))</f>
        <v>360813.714813</v>
      </c>
      <c r="E113" s="15" t="n">
        <f aca="false">((('Operating Model'!$B$43+((175-Assumptions!$C$36)*12*'Unit Mix'!$C$10)*Assumptions!$C$38)+((175-Assumptions!$C$36)*12*'Unit Mix'!$C$10))-(-PMT(Assumptions!$C$88,Assumptions!$C$93,Debt!$C$9)))</f>
        <v>267548.629158377</v>
      </c>
      <c r="F113" s="15" t="n">
        <f aca="false">((('Operating Model'!$B$43+((175-Assumptions!$C$36)*12*'Unit Mix'!$C$10)*Assumptions!$C$38)+((175-Assumptions!$C$36)*12*'Unit Mix'!$C$10))-(-PMT(Assumptions!$C$88,Assumptions!$C$93,Debt!$C$9)))</f>
        <v>267548.629158377</v>
      </c>
      <c r="G113" s="15" t="n">
        <f aca="false">((('Operating Model'!$B$43+((175-Assumptions!$C$36)*12*'Unit Mix'!$C$10)*Assumptions!$C$38)+((175-Assumptions!$C$36)*12*'Unit Mix'!$C$10))-(-PMT(Assumptions!$C$88,Assumptions!$C$93,Debt!$C$9))+((((('Operating Model'!$B$43+((175-Assumptions!$C$36)*12*'Unit Mix'!$C$10)*Assumptions!$C$38)+((175-Assumptions!$C$36)*12*'Unit Mix'!$C$10))*(1+Assumptions!$C$53))/(Returns!$B$6+Returns!$B$8))*(1-Assumptions!$C$99)-(Debt!$C$9+CUMPRINC(Assumptions!$C$88,Assumptions!$C$93,Debt!$C$9,1,3,0))))</f>
        <v>2292966.64151808</v>
      </c>
      <c r="H113" s="17" t="n">
        <f aca="false">IFERROR(IRR(B113:G113),"N/A")</f>
        <v>-0.0971144954430443</v>
      </c>
      <c r="I113" s="18" t="n">
        <f aca="false">SUM(C113:G113)/((Capital!$B$12+(('Unit Mix'!$C$10*(Assumptions!$C$34*(1+-0.2)))-'Unit Mix'!$D$18)))</f>
        <v>0.653738703050266</v>
      </c>
    </row>
    <row r="114" customFormat="false" ht="15" hidden="false" customHeight="false" outlineLevel="0" collapsed="false">
      <c r="A114" s="2" t="s">
        <v>371</v>
      </c>
      <c r="B114" s="15" t="n">
        <f aca="false">-((Capital!$B$12+(('Unit Mix'!$C$10*(Assumptions!$C$34*(1+-0.1)))-'Unit Mix'!$D$18)))</f>
        <v>-5478936</v>
      </c>
      <c r="C114" s="15" t="n">
        <f aca="false">(('Operating Model'!$B$43+((175-Assumptions!$C$36)*12*'Unit Mix'!$C$10)*Assumptions!$C$38)-(Debt!$C$9*Assumptions!$C$88))</f>
        <v>360813.714813</v>
      </c>
      <c r="D114" s="15" t="n">
        <f aca="false">((('Operating Model'!$B$43+((175-Assumptions!$C$36)*12*'Unit Mix'!$C$10)*Assumptions!$C$38)+((175-Assumptions!$C$36)*12*'Unit Mix'!$C$10))-(Debt!$C$9*Assumptions!$C$88))</f>
        <v>360813.714813</v>
      </c>
      <c r="E114" s="15" t="n">
        <f aca="false">((('Operating Model'!$B$43+((175-Assumptions!$C$36)*12*'Unit Mix'!$C$10)*Assumptions!$C$38)+((175-Assumptions!$C$36)*12*'Unit Mix'!$C$10))-(-PMT(Assumptions!$C$88,Assumptions!$C$93,Debt!$C$9)))</f>
        <v>267548.629158377</v>
      </c>
      <c r="F114" s="15" t="n">
        <f aca="false">((('Operating Model'!$B$43+((175-Assumptions!$C$36)*12*'Unit Mix'!$C$10)*Assumptions!$C$38)+((175-Assumptions!$C$36)*12*'Unit Mix'!$C$10))-(-PMT(Assumptions!$C$88,Assumptions!$C$93,Debt!$C$9)))</f>
        <v>267548.629158377</v>
      </c>
      <c r="G114" s="15" t="n">
        <f aca="false">((('Operating Model'!$B$43+((175-Assumptions!$C$36)*12*'Unit Mix'!$C$10)*Assumptions!$C$38)+((175-Assumptions!$C$36)*12*'Unit Mix'!$C$10))-(-PMT(Assumptions!$C$88,Assumptions!$C$93,Debt!$C$9))+((((('Operating Model'!$B$43+((175-Assumptions!$C$36)*12*'Unit Mix'!$C$10)*Assumptions!$C$38)+((175-Assumptions!$C$36)*12*'Unit Mix'!$C$10))*(1+Assumptions!$C$53))/(Returns!$B$6+Returns!$B$8))*(1-Assumptions!$C$99)-(Debt!$C$9+CUMPRINC(Assumptions!$C$88,Assumptions!$C$93,Debt!$C$9,1,3,0))))</f>
        <v>2292966.64151808</v>
      </c>
      <c r="H114" s="17" t="n">
        <f aca="false">IFERROR(IRR(B114:G114),"N/A")</f>
        <v>-0.0990228799637324</v>
      </c>
      <c r="I114" s="18" t="n">
        <f aca="false">SUM(C114:G114)/((Capital!$B$12+(('Unit Mix'!$C$10*(Assumptions!$C$34*(1+-0.1)))-'Unit Mix'!$D$18)))</f>
        <v>0.647879684935329</v>
      </c>
    </row>
    <row r="115" customFormat="false" ht="15" hidden="false" customHeight="false" outlineLevel="0" collapsed="false">
      <c r="A115" s="2" t="s">
        <v>372</v>
      </c>
      <c r="B115" s="15" t="n">
        <f aca="false">-((Capital!$B$12+(('Unit Mix'!$C$10*(Assumptions!$C$34*(1+0)))-'Unit Mix'!$D$18)))</f>
        <v>-5528040</v>
      </c>
      <c r="C115" s="15" t="n">
        <f aca="false">(('Operating Model'!$B$43+((175-Assumptions!$C$36)*12*'Unit Mix'!$C$10)*Assumptions!$C$38)-(Debt!$C$9*Assumptions!$C$88))</f>
        <v>360813.714813</v>
      </c>
      <c r="D115" s="15" t="n">
        <f aca="false">((('Operating Model'!$B$43+((175-Assumptions!$C$36)*12*'Unit Mix'!$C$10)*Assumptions!$C$38)+((175-Assumptions!$C$36)*12*'Unit Mix'!$C$10))-(Debt!$C$9*Assumptions!$C$88))</f>
        <v>360813.714813</v>
      </c>
      <c r="E115" s="15" t="n">
        <f aca="false">((('Operating Model'!$B$43+((175-Assumptions!$C$36)*12*'Unit Mix'!$C$10)*Assumptions!$C$38)+((175-Assumptions!$C$36)*12*'Unit Mix'!$C$10))-(-PMT(Assumptions!$C$88,Assumptions!$C$93,Debt!$C$9)))</f>
        <v>267548.629158377</v>
      </c>
      <c r="F115" s="15" t="n">
        <f aca="false">((('Operating Model'!$B$43+((175-Assumptions!$C$36)*12*'Unit Mix'!$C$10)*Assumptions!$C$38)+((175-Assumptions!$C$36)*12*'Unit Mix'!$C$10))-(-PMT(Assumptions!$C$88,Assumptions!$C$93,Debt!$C$9)))</f>
        <v>267548.629158377</v>
      </c>
      <c r="G115" s="15" t="n">
        <f aca="false">((('Operating Model'!$B$43+((175-Assumptions!$C$36)*12*'Unit Mix'!$C$10)*Assumptions!$C$38)+((175-Assumptions!$C$36)*12*'Unit Mix'!$C$10))-(-PMT(Assumptions!$C$88,Assumptions!$C$93,Debt!$C$9))+((((('Operating Model'!$B$43+((175-Assumptions!$C$36)*12*'Unit Mix'!$C$10)*Assumptions!$C$38)+((175-Assumptions!$C$36)*12*'Unit Mix'!$C$10))*(1+Assumptions!$C$53))/(Returns!$B$6+Returns!$B$8))*(1-Assumptions!$C$99)-(Debt!$C$9+CUMPRINC(Assumptions!$C$88,Assumptions!$C$93,Debt!$C$9,1,3,0))))</f>
        <v>2292966.64151808</v>
      </c>
      <c r="H115" s="17" t="n">
        <f aca="false">IFERROR(IRR(B115:G115),"N/A")</f>
        <v>-0.100908683338398</v>
      </c>
      <c r="I115" s="18" t="n">
        <f aca="false">SUM(C115:G115)/((Capital!$B$12+(('Unit Mix'!$C$10*(Assumptions!$C$34*(1+0)))-'Unit Mix'!$D$18)))</f>
        <v>0.642124754788466</v>
      </c>
    </row>
    <row r="116" customFormat="false" ht="15" hidden="false" customHeight="false" outlineLevel="0" collapsed="false">
      <c r="A116" s="2" t="s">
        <v>373</v>
      </c>
      <c r="B116" s="15" t="n">
        <f aca="false">-((Capital!$B$12+(('Unit Mix'!$C$10*(Assumptions!$C$34*(1+0.1)))-'Unit Mix'!$D$18)))</f>
        <v>-5577144</v>
      </c>
      <c r="C116" s="15" t="n">
        <f aca="false">(('Operating Model'!$B$43+((175-Assumptions!$C$36)*12*'Unit Mix'!$C$10)*Assumptions!$C$38)-(Debt!$C$9*Assumptions!$C$88))</f>
        <v>360813.714813</v>
      </c>
      <c r="D116" s="15" t="n">
        <f aca="false">((('Operating Model'!$B$43+((175-Assumptions!$C$36)*12*'Unit Mix'!$C$10)*Assumptions!$C$38)+((175-Assumptions!$C$36)*12*'Unit Mix'!$C$10))-(Debt!$C$9*Assumptions!$C$88))</f>
        <v>360813.714813</v>
      </c>
      <c r="E116" s="15" t="n">
        <f aca="false">((('Operating Model'!$B$43+((175-Assumptions!$C$36)*12*'Unit Mix'!$C$10)*Assumptions!$C$38)+((175-Assumptions!$C$36)*12*'Unit Mix'!$C$10))-(-PMT(Assumptions!$C$88,Assumptions!$C$93,Debt!$C$9)))</f>
        <v>267548.629158377</v>
      </c>
      <c r="F116" s="15" t="n">
        <f aca="false">((('Operating Model'!$B$43+((175-Assumptions!$C$36)*12*'Unit Mix'!$C$10)*Assumptions!$C$38)+((175-Assumptions!$C$36)*12*'Unit Mix'!$C$10))-(-PMT(Assumptions!$C$88,Assumptions!$C$93,Debt!$C$9)))</f>
        <v>267548.629158377</v>
      </c>
      <c r="G116" s="15" t="n">
        <f aca="false">((('Operating Model'!$B$43+((175-Assumptions!$C$36)*12*'Unit Mix'!$C$10)*Assumptions!$C$38)+((175-Assumptions!$C$36)*12*'Unit Mix'!$C$10))-(-PMT(Assumptions!$C$88,Assumptions!$C$93,Debt!$C$9))+((((('Operating Model'!$B$43+((175-Assumptions!$C$36)*12*'Unit Mix'!$C$10)*Assumptions!$C$38)+((175-Assumptions!$C$36)*12*'Unit Mix'!$C$10))*(1+Assumptions!$C$53))/(Returns!$B$6+Returns!$B$8))*(1-Assumptions!$C$99)-(Debt!$C$9+CUMPRINC(Assumptions!$C$88,Assumptions!$C$93,Debt!$C$9,1,3,0))))</f>
        <v>2292966.64151808</v>
      </c>
      <c r="H116" s="17" t="n">
        <f aca="false">IFERROR(IRR(B116:G116),"N/A")</f>
        <v>-0.102772381894187</v>
      </c>
      <c r="I116" s="18" t="n">
        <f aca="false">SUM(C116:G116)/((Capital!$B$12+(('Unit Mix'!$C$10*(Assumptions!$C$34*(1+0.1)))-'Unit Mix'!$D$18)))</f>
        <v>0.636471163280136</v>
      </c>
    </row>
    <row r="117" customFormat="false" ht="15" hidden="false" customHeight="false" outlineLevel="0" collapsed="false">
      <c r="A117" s="2" t="s">
        <v>374</v>
      </c>
      <c r="B117" s="15" t="n">
        <f aca="false">-((Capital!$B$12+(('Unit Mix'!$C$10*(Assumptions!$C$34*(1+0.2)))-'Unit Mix'!$D$18)))</f>
        <v>-5626248</v>
      </c>
      <c r="C117" s="15" t="n">
        <f aca="false">(('Operating Model'!$B$43+((175-Assumptions!$C$36)*12*'Unit Mix'!$C$10)*Assumptions!$C$38)-(Debt!$C$9*Assumptions!$C$88))</f>
        <v>360813.714813</v>
      </c>
      <c r="D117" s="15" t="n">
        <f aca="false">((('Operating Model'!$B$43+((175-Assumptions!$C$36)*12*'Unit Mix'!$C$10)*Assumptions!$C$38)+((175-Assumptions!$C$36)*12*'Unit Mix'!$C$10))-(Debt!$C$9*Assumptions!$C$88))</f>
        <v>360813.714813</v>
      </c>
      <c r="E117" s="15" t="n">
        <f aca="false">((('Operating Model'!$B$43+((175-Assumptions!$C$36)*12*'Unit Mix'!$C$10)*Assumptions!$C$38)+((175-Assumptions!$C$36)*12*'Unit Mix'!$C$10))-(-PMT(Assumptions!$C$88,Assumptions!$C$93,Debt!$C$9)))</f>
        <v>267548.629158377</v>
      </c>
      <c r="F117" s="15" t="n">
        <f aca="false">((('Operating Model'!$B$43+((175-Assumptions!$C$36)*12*'Unit Mix'!$C$10)*Assumptions!$C$38)+((175-Assumptions!$C$36)*12*'Unit Mix'!$C$10))-(-PMT(Assumptions!$C$88,Assumptions!$C$93,Debt!$C$9)))</f>
        <v>267548.629158377</v>
      </c>
      <c r="G117" s="15" t="n">
        <f aca="false">((('Operating Model'!$B$43+((175-Assumptions!$C$36)*12*'Unit Mix'!$C$10)*Assumptions!$C$38)+((175-Assumptions!$C$36)*12*'Unit Mix'!$C$10))-(-PMT(Assumptions!$C$88,Assumptions!$C$93,Debt!$C$9))+((((('Operating Model'!$B$43+((175-Assumptions!$C$36)*12*'Unit Mix'!$C$10)*Assumptions!$C$38)+((175-Assumptions!$C$36)*12*'Unit Mix'!$C$10))*(1+Assumptions!$C$53))/(Returns!$B$6+Returns!$B$8))*(1-Assumptions!$C$99)-(Debt!$C$9+CUMPRINC(Assumptions!$C$88,Assumptions!$C$93,Debt!$C$9,1,3,0))))</f>
        <v>2292966.64151808</v>
      </c>
      <c r="H117" s="17" t="n">
        <f aca="false">IFERROR(IRR(B117:G117),"N/A")</f>
        <v>-0.104614437625108</v>
      </c>
      <c r="I117" s="18" t="n">
        <f aca="false">SUM(C117:G117)/((Capital!$B$12+(('Unit Mix'!$C$10*(Assumptions!$C$34*(1+0.2)))-'Unit Mix'!$D$18)))</f>
        <v>0.630916257061692</v>
      </c>
    </row>
    <row r="118" customFormat="false" ht="15" hidden="false" customHeight="false" outlineLevel="0" collapsed="false">
      <c r="A118" s="2" t="s">
        <v>375</v>
      </c>
      <c r="B118" s="15" t="n">
        <f aca="false">-((Capital!$B$12+(('Unit Mix'!$C$10*(Assumptions!$C$34*(1+-0.2)))-'Unit Mix'!$D$18)))</f>
        <v>-5429832</v>
      </c>
      <c r="C118" s="15" t="n">
        <f aca="false">(('Operating Model'!$B$43+((212.5-Assumptions!$C$36)*12*'Unit Mix'!$C$10)*Assumptions!$C$38)-(Debt!$C$9*Assumptions!$C$88))</f>
        <v>366213.714813</v>
      </c>
      <c r="D118" s="15" t="n">
        <f aca="false">((('Operating Model'!$B$43+((212.5-Assumptions!$C$36)*12*'Unit Mix'!$C$10)*Assumptions!$C$38)+((212.5-Assumptions!$C$36)*12*'Unit Mix'!$C$10))-(Debt!$C$9*Assumptions!$C$88))</f>
        <v>377013.714813</v>
      </c>
      <c r="E118" s="15" t="n">
        <f aca="false">((('Operating Model'!$B$43+((212.5-Assumptions!$C$36)*12*'Unit Mix'!$C$10)*Assumptions!$C$38)+((212.5-Assumptions!$C$36)*12*'Unit Mix'!$C$10))-(-PMT(Assumptions!$C$88,Assumptions!$C$93,Debt!$C$9)))</f>
        <v>283748.629158377</v>
      </c>
      <c r="F118" s="15" t="n">
        <f aca="false">((('Operating Model'!$B$43+((212.5-Assumptions!$C$36)*12*'Unit Mix'!$C$10)*Assumptions!$C$38)+((212.5-Assumptions!$C$36)*12*'Unit Mix'!$C$10))-(-PMT(Assumptions!$C$88,Assumptions!$C$93,Debt!$C$9)))</f>
        <v>283748.629158377</v>
      </c>
      <c r="G118" s="15" t="n">
        <f aca="false">((('Operating Model'!$B$43+((212.5-Assumptions!$C$36)*12*'Unit Mix'!$C$10)*Assumptions!$C$38)+((212.5-Assumptions!$C$36)*12*'Unit Mix'!$C$10))-(-PMT(Assumptions!$C$88,Assumptions!$C$93,Debt!$C$9))+((((('Operating Model'!$B$43+((212.5-Assumptions!$C$36)*12*'Unit Mix'!$C$10)*Assumptions!$C$38)+((212.5-Assumptions!$C$36)*12*'Unit Mix'!$C$10))*(1+Assumptions!$C$53))/(Returns!$B$6+Returns!$B$8))*(1-Assumptions!$C$99)-(Debt!$C$9+CUMPRINC(Assumptions!$C$88,Assumptions!$C$93,Debt!$C$9,1,3,0))))</f>
        <v>2482832.5530106</v>
      </c>
      <c r="H118" s="17" t="n">
        <f aca="false">IFERROR(IRR(B118:G118),"N/A")</f>
        <v>-0.0823536615596951</v>
      </c>
      <c r="I118" s="18" t="n">
        <f aca="false">SUM(C118:G118)/((Capital!$B$12+(('Unit Mix'!$C$10*(Assumptions!$C$34*(1+-0.2)))-'Unit Mix'!$D$18)))</f>
        <v>0.69865094186217</v>
      </c>
    </row>
    <row r="119" customFormat="false" ht="15" hidden="false" customHeight="false" outlineLevel="0" collapsed="false">
      <c r="A119" s="2" t="s">
        <v>376</v>
      </c>
      <c r="B119" s="15" t="n">
        <f aca="false">-((Capital!$B$12+(('Unit Mix'!$C$10*(Assumptions!$C$34*(1+-0.1)))-'Unit Mix'!$D$18)))</f>
        <v>-5478936</v>
      </c>
      <c r="C119" s="15" t="n">
        <f aca="false">(('Operating Model'!$B$43+((212.5-Assumptions!$C$36)*12*'Unit Mix'!$C$10)*Assumptions!$C$38)-(Debt!$C$9*Assumptions!$C$88))</f>
        <v>366213.714813</v>
      </c>
      <c r="D119" s="15" t="n">
        <f aca="false">((('Operating Model'!$B$43+((212.5-Assumptions!$C$36)*12*'Unit Mix'!$C$10)*Assumptions!$C$38)+((212.5-Assumptions!$C$36)*12*'Unit Mix'!$C$10))-(Debt!$C$9*Assumptions!$C$88))</f>
        <v>377013.714813</v>
      </c>
      <c r="E119" s="15" t="n">
        <f aca="false">((('Operating Model'!$B$43+((212.5-Assumptions!$C$36)*12*'Unit Mix'!$C$10)*Assumptions!$C$38)+((212.5-Assumptions!$C$36)*12*'Unit Mix'!$C$10))-(-PMT(Assumptions!$C$88,Assumptions!$C$93,Debt!$C$9)))</f>
        <v>283748.629158377</v>
      </c>
      <c r="F119" s="15" t="n">
        <f aca="false">((('Operating Model'!$B$43+((212.5-Assumptions!$C$36)*12*'Unit Mix'!$C$10)*Assumptions!$C$38)+((212.5-Assumptions!$C$36)*12*'Unit Mix'!$C$10))-(-PMT(Assumptions!$C$88,Assumptions!$C$93,Debt!$C$9)))</f>
        <v>283748.629158377</v>
      </c>
      <c r="G119" s="15" t="n">
        <f aca="false">((('Operating Model'!$B$43+((212.5-Assumptions!$C$36)*12*'Unit Mix'!$C$10)*Assumptions!$C$38)+((212.5-Assumptions!$C$36)*12*'Unit Mix'!$C$10))-(-PMT(Assumptions!$C$88,Assumptions!$C$93,Debt!$C$9))+((((('Operating Model'!$B$43+((212.5-Assumptions!$C$36)*12*'Unit Mix'!$C$10)*Assumptions!$C$38)+((212.5-Assumptions!$C$36)*12*'Unit Mix'!$C$10))*(1+Assumptions!$C$53))/(Returns!$B$6+Returns!$B$8))*(1-Assumptions!$C$99)-(Debt!$C$9+CUMPRINC(Assumptions!$C$88,Assumptions!$C$93,Debt!$C$9,1,3,0))))</f>
        <v>2482832.5530106</v>
      </c>
      <c r="H119" s="17" t="n">
        <f aca="false">IFERROR(IRR(B119:G119),"N/A")</f>
        <v>-0.0842947647910973</v>
      </c>
      <c r="I119" s="18" t="n">
        <f aca="false">SUM(C119:G119)/((Capital!$B$12+(('Unit Mix'!$C$10*(Assumptions!$C$34*(1+-0.1)))-'Unit Mix'!$D$18)))</f>
        <v>0.692389405708216</v>
      </c>
    </row>
    <row r="120" customFormat="false" ht="15" hidden="false" customHeight="false" outlineLevel="0" collapsed="false">
      <c r="A120" s="2" t="s">
        <v>377</v>
      </c>
      <c r="B120" s="15" t="n">
        <f aca="false">-((Capital!$B$12+(('Unit Mix'!$C$10*(Assumptions!$C$34*(1+0)))-'Unit Mix'!$D$18)))</f>
        <v>-5528040</v>
      </c>
      <c r="C120" s="15" t="n">
        <f aca="false">(('Operating Model'!$B$43+((212.5-Assumptions!$C$36)*12*'Unit Mix'!$C$10)*Assumptions!$C$38)-(Debt!$C$9*Assumptions!$C$88))</f>
        <v>366213.714813</v>
      </c>
      <c r="D120" s="15" t="n">
        <f aca="false">((('Operating Model'!$B$43+((212.5-Assumptions!$C$36)*12*'Unit Mix'!$C$10)*Assumptions!$C$38)+((212.5-Assumptions!$C$36)*12*'Unit Mix'!$C$10))-(Debt!$C$9*Assumptions!$C$88))</f>
        <v>377013.714813</v>
      </c>
      <c r="E120" s="15" t="n">
        <f aca="false">((('Operating Model'!$B$43+((212.5-Assumptions!$C$36)*12*'Unit Mix'!$C$10)*Assumptions!$C$38)+((212.5-Assumptions!$C$36)*12*'Unit Mix'!$C$10))-(-PMT(Assumptions!$C$88,Assumptions!$C$93,Debt!$C$9)))</f>
        <v>283748.629158377</v>
      </c>
      <c r="F120" s="15" t="n">
        <f aca="false">((('Operating Model'!$B$43+((212.5-Assumptions!$C$36)*12*'Unit Mix'!$C$10)*Assumptions!$C$38)+((212.5-Assumptions!$C$36)*12*'Unit Mix'!$C$10))-(-PMT(Assumptions!$C$88,Assumptions!$C$93,Debt!$C$9)))</f>
        <v>283748.629158377</v>
      </c>
      <c r="G120" s="15" t="n">
        <f aca="false">((('Operating Model'!$B$43+((212.5-Assumptions!$C$36)*12*'Unit Mix'!$C$10)*Assumptions!$C$38)+((212.5-Assumptions!$C$36)*12*'Unit Mix'!$C$10))-(-PMT(Assumptions!$C$88,Assumptions!$C$93,Debt!$C$9))+((((('Operating Model'!$B$43+((212.5-Assumptions!$C$36)*12*'Unit Mix'!$C$10)*Assumptions!$C$38)+((212.5-Assumptions!$C$36)*12*'Unit Mix'!$C$10))*(1+Assumptions!$C$53))/(Returns!$B$6+Returns!$B$8))*(1-Assumptions!$C$99)-(Debt!$C$9+CUMPRINC(Assumptions!$C$88,Assumptions!$C$93,Debt!$C$9,1,3,0))))</f>
        <v>2482832.5530106</v>
      </c>
      <c r="H120" s="17" t="n">
        <f aca="false">IFERROR(IRR(B120:G120),"N/A")</f>
        <v>-0.0862128901036781</v>
      </c>
      <c r="I120" s="18" t="n">
        <f aca="false">SUM(C120:G120)/((Capital!$B$12+(('Unit Mix'!$C$10*(Assumptions!$C$34*(1+0)))-'Unit Mix'!$D$18)))</f>
        <v>0.686239108427824</v>
      </c>
    </row>
    <row r="121" customFormat="false" ht="15" hidden="false" customHeight="false" outlineLevel="0" collapsed="false">
      <c r="A121" s="2" t="s">
        <v>378</v>
      </c>
      <c r="B121" s="15" t="n">
        <f aca="false">-((Capital!$B$12+(('Unit Mix'!$C$10*(Assumptions!$C$34*(1+0.1)))-'Unit Mix'!$D$18)))</f>
        <v>-5577144</v>
      </c>
      <c r="C121" s="15" t="n">
        <f aca="false">(('Operating Model'!$B$43+((212.5-Assumptions!$C$36)*12*'Unit Mix'!$C$10)*Assumptions!$C$38)-(Debt!$C$9*Assumptions!$C$88))</f>
        <v>366213.714813</v>
      </c>
      <c r="D121" s="15" t="n">
        <f aca="false">((('Operating Model'!$B$43+((212.5-Assumptions!$C$36)*12*'Unit Mix'!$C$10)*Assumptions!$C$38)+((212.5-Assumptions!$C$36)*12*'Unit Mix'!$C$10))-(Debt!$C$9*Assumptions!$C$88))</f>
        <v>377013.714813</v>
      </c>
      <c r="E121" s="15" t="n">
        <f aca="false">((('Operating Model'!$B$43+((212.5-Assumptions!$C$36)*12*'Unit Mix'!$C$10)*Assumptions!$C$38)+((212.5-Assumptions!$C$36)*12*'Unit Mix'!$C$10))-(-PMT(Assumptions!$C$88,Assumptions!$C$93,Debt!$C$9)))</f>
        <v>283748.629158377</v>
      </c>
      <c r="F121" s="15" t="n">
        <f aca="false">((('Operating Model'!$B$43+((212.5-Assumptions!$C$36)*12*'Unit Mix'!$C$10)*Assumptions!$C$38)+((212.5-Assumptions!$C$36)*12*'Unit Mix'!$C$10))-(-PMT(Assumptions!$C$88,Assumptions!$C$93,Debt!$C$9)))</f>
        <v>283748.629158377</v>
      </c>
      <c r="G121" s="15" t="n">
        <f aca="false">((('Operating Model'!$B$43+((212.5-Assumptions!$C$36)*12*'Unit Mix'!$C$10)*Assumptions!$C$38)+((212.5-Assumptions!$C$36)*12*'Unit Mix'!$C$10))-(-PMT(Assumptions!$C$88,Assumptions!$C$93,Debt!$C$9))+((((('Operating Model'!$B$43+((212.5-Assumptions!$C$36)*12*'Unit Mix'!$C$10)*Assumptions!$C$38)+((212.5-Assumptions!$C$36)*12*'Unit Mix'!$C$10))*(1+Assumptions!$C$53))/(Returns!$B$6+Returns!$B$8))*(1-Assumptions!$C$99)-(Debt!$C$9+CUMPRINC(Assumptions!$C$88,Assumptions!$C$93,Debt!$C$9,1,3,0))))</f>
        <v>2482832.5530106</v>
      </c>
      <c r="H121" s="17" t="n">
        <f aca="false">IFERROR(IRR(B121:G121),"N/A")</f>
        <v>-0.0881085223381404</v>
      </c>
      <c r="I121" s="18" t="n">
        <f aca="false">SUM(C121:G121)/((Capital!$B$12+(('Unit Mix'!$C$10*(Assumptions!$C$34*(1+0.1)))-'Unit Mix'!$D$18)))</f>
        <v>0.680197111810875</v>
      </c>
    </row>
    <row r="122" customFormat="false" ht="15" hidden="false" customHeight="false" outlineLevel="0" collapsed="false">
      <c r="A122" s="2" t="s">
        <v>379</v>
      </c>
      <c r="B122" s="15" t="n">
        <f aca="false">-((Capital!$B$12+(('Unit Mix'!$C$10*(Assumptions!$C$34*(1+0.2)))-'Unit Mix'!$D$18)))</f>
        <v>-5626248</v>
      </c>
      <c r="C122" s="15" t="n">
        <f aca="false">(('Operating Model'!$B$43+((212.5-Assumptions!$C$36)*12*'Unit Mix'!$C$10)*Assumptions!$C$38)-(Debt!$C$9*Assumptions!$C$88))</f>
        <v>366213.714813</v>
      </c>
      <c r="D122" s="15" t="n">
        <f aca="false">((('Operating Model'!$B$43+((212.5-Assumptions!$C$36)*12*'Unit Mix'!$C$10)*Assumptions!$C$38)+((212.5-Assumptions!$C$36)*12*'Unit Mix'!$C$10))-(Debt!$C$9*Assumptions!$C$88))</f>
        <v>377013.714813</v>
      </c>
      <c r="E122" s="15" t="n">
        <f aca="false">((('Operating Model'!$B$43+((212.5-Assumptions!$C$36)*12*'Unit Mix'!$C$10)*Assumptions!$C$38)+((212.5-Assumptions!$C$36)*12*'Unit Mix'!$C$10))-(-PMT(Assumptions!$C$88,Assumptions!$C$93,Debt!$C$9)))</f>
        <v>283748.629158377</v>
      </c>
      <c r="F122" s="15" t="n">
        <f aca="false">((('Operating Model'!$B$43+((212.5-Assumptions!$C$36)*12*'Unit Mix'!$C$10)*Assumptions!$C$38)+((212.5-Assumptions!$C$36)*12*'Unit Mix'!$C$10))-(-PMT(Assumptions!$C$88,Assumptions!$C$93,Debt!$C$9)))</f>
        <v>283748.629158377</v>
      </c>
      <c r="G122" s="15" t="n">
        <f aca="false">((('Operating Model'!$B$43+((212.5-Assumptions!$C$36)*12*'Unit Mix'!$C$10)*Assumptions!$C$38)+((212.5-Assumptions!$C$36)*12*'Unit Mix'!$C$10))-(-PMT(Assumptions!$C$88,Assumptions!$C$93,Debt!$C$9))+((((('Operating Model'!$B$43+((212.5-Assumptions!$C$36)*12*'Unit Mix'!$C$10)*Assumptions!$C$38)+((212.5-Assumptions!$C$36)*12*'Unit Mix'!$C$10))*(1+Assumptions!$C$53))/(Returns!$B$6+Returns!$B$8))*(1-Assumptions!$C$99)-(Debt!$C$9+CUMPRINC(Assumptions!$C$88,Assumptions!$C$93,Debt!$C$9,1,3,0))))</f>
        <v>2482832.5530106</v>
      </c>
      <c r="H122" s="17" t="n">
        <f aca="false">IFERROR(IRR(B122:G122),"N/A")</f>
        <v>-0.0899821317424673</v>
      </c>
      <c r="I122" s="18" t="n">
        <f aca="false">SUM(C122:G122)/((Capital!$B$12+(('Unit Mix'!$C$10*(Assumptions!$C$34*(1+0.2)))-'Unit Mix'!$D$18)))</f>
        <v>0.674260580222086</v>
      </c>
    </row>
    <row r="123" customFormat="false" ht="15" hidden="false" customHeight="false" outlineLevel="0" collapsed="false">
      <c r="A123" s="2" t="s">
        <v>380</v>
      </c>
      <c r="B123" s="15" t="n">
        <f aca="false">-((Capital!$B$12+(('Unit Mix'!$C$10*(Assumptions!$C$34*(1+-0.2)))-'Unit Mix'!$D$18)))</f>
        <v>-5429832</v>
      </c>
      <c r="C123" s="15" t="n">
        <f aca="false">(('Operating Model'!$B$43+((250-Assumptions!$C$36)*12*'Unit Mix'!$C$10)*Assumptions!$C$38)-(Debt!$C$9*Assumptions!$C$88))</f>
        <v>371613.714813</v>
      </c>
      <c r="D123" s="15" t="n">
        <f aca="false">((('Operating Model'!$B$43+((250-Assumptions!$C$36)*12*'Unit Mix'!$C$10)*Assumptions!$C$38)+((250-Assumptions!$C$36)*12*'Unit Mix'!$C$10))-(Debt!$C$9*Assumptions!$C$88))</f>
        <v>393213.714813</v>
      </c>
      <c r="E123" s="15" t="n">
        <f aca="false">((('Operating Model'!$B$43+((250-Assumptions!$C$36)*12*'Unit Mix'!$C$10)*Assumptions!$C$38)+((250-Assumptions!$C$36)*12*'Unit Mix'!$C$10))-(-PMT(Assumptions!$C$88,Assumptions!$C$93,Debt!$C$9)))</f>
        <v>299948.629158377</v>
      </c>
      <c r="F123" s="15" t="n">
        <f aca="false">((('Operating Model'!$B$43+((250-Assumptions!$C$36)*12*'Unit Mix'!$C$10)*Assumptions!$C$38)+((250-Assumptions!$C$36)*12*'Unit Mix'!$C$10))-(-PMT(Assumptions!$C$88,Assumptions!$C$93,Debt!$C$9)))</f>
        <v>299948.629158377</v>
      </c>
      <c r="G123" s="15" t="n">
        <f aca="false">((('Operating Model'!$B$43+((250-Assumptions!$C$36)*12*'Unit Mix'!$C$10)*Assumptions!$C$38)+((250-Assumptions!$C$36)*12*'Unit Mix'!$C$10))-(-PMT(Assumptions!$C$88,Assumptions!$C$93,Debt!$C$9))+((((('Operating Model'!$B$43+((250-Assumptions!$C$36)*12*'Unit Mix'!$C$10)*Assumptions!$C$38)+((250-Assumptions!$C$36)*12*'Unit Mix'!$C$10))*(1+Assumptions!$C$53))/(Returns!$B$6+Returns!$B$8))*(1-Assumptions!$C$99)-(Debt!$C$9+CUMPRINC(Assumptions!$C$88,Assumptions!$C$93,Debt!$C$9,1,3,0))))</f>
        <v>2672698.46450312</v>
      </c>
      <c r="H123" s="17" t="n">
        <f aca="false">IFERROR(IRR(B123:G123),"N/A")</f>
        <v>-0.0683887101893623</v>
      </c>
      <c r="I123" s="18" t="n">
        <f aca="false">SUM(C123:G123)/((Capital!$B$12+(('Unit Mix'!$C$10*(Assumptions!$C$34*(1+-0.2)))-'Unit Mix'!$D$18)))</f>
        <v>0.743563180674075</v>
      </c>
    </row>
    <row r="124" customFormat="false" ht="15" hidden="false" customHeight="false" outlineLevel="0" collapsed="false">
      <c r="A124" s="2" t="s">
        <v>381</v>
      </c>
      <c r="B124" s="15" t="n">
        <f aca="false">-((Capital!$B$12+(('Unit Mix'!$C$10*(Assumptions!$C$34*(1+-0.1)))-'Unit Mix'!$D$18)))</f>
        <v>-5478936</v>
      </c>
      <c r="C124" s="15" t="n">
        <f aca="false">(('Operating Model'!$B$43+((250-Assumptions!$C$36)*12*'Unit Mix'!$C$10)*Assumptions!$C$38)-(Debt!$C$9*Assumptions!$C$88))</f>
        <v>371613.714813</v>
      </c>
      <c r="D124" s="15" t="n">
        <f aca="false">((('Operating Model'!$B$43+((250-Assumptions!$C$36)*12*'Unit Mix'!$C$10)*Assumptions!$C$38)+((250-Assumptions!$C$36)*12*'Unit Mix'!$C$10))-(Debt!$C$9*Assumptions!$C$88))</f>
        <v>393213.714813</v>
      </c>
      <c r="E124" s="15" t="n">
        <f aca="false">((('Operating Model'!$B$43+((250-Assumptions!$C$36)*12*'Unit Mix'!$C$10)*Assumptions!$C$38)+((250-Assumptions!$C$36)*12*'Unit Mix'!$C$10))-(-PMT(Assumptions!$C$88,Assumptions!$C$93,Debt!$C$9)))</f>
        <v>299948.629158377</v>
      </c>
      <c r="F124" s="15" t="n">
        <f aca="false">((('Operating Model'!$B$43+((250-Assumptions!$C$36)*12*'Unit Mix'!$C$10)*Assumptions!$C$38)+((250-Assumptions!$C$36)*12*'Unit Mix'!$C$10))-(-PMT(Assumptions!$C$88,Assumptions!$C$93,Debt!$C$9)))</f>
        <v>299948.629158377</v>
      </c>
      <c r="G124" s="15" t="n">
        <f aca="false">((('Operating Model'!$B$43+((250-Assumptions!$C$36)*12*'Unit Mix'!$C$10)*Assumptions!$C$38)+((250-Assumptions!$C$36)*12*'Unit Mix'!$C$10))-(-PMT(Assumptions!$C$88,Assumptions!$C$93,Debt!$C$9))+((((('Operating Model'!$B$43+((250-Assumptions!$C$36)*12*'Unit Mix'!$C$10)*Assumptions!$C$38)+((250-Assumptions!$C$36)*12*'Unit Mix'!$C$10))*(1+Assumptions!$C$53))/(Returns!$B$6+Returns!$B$8))*(1-Assumptions!$C$99)-(Debt!$C$9+CUMPRINC(Assumptions!$C$88,Assumptions!$C$93,Debt!$C$9,1,3,0))))</f>
        <v>2672698.46450312</v>
      </c>
      <c r="H124" s="17" t="n">
        <f aca="false">IFERROR(IRR(B124:G124),"N/A")</f>
        <v>-0.0703611319179342</v>
      </c>
      <c r="I124" s="18" t="n">
        <f aca="false">SUM(C124:G124)/((Capital!$B$12+(('Unit Mix'!$C$10*(Assumptions!$C$34*(1+-0.1)))-'Unit Mix'!$D$18)))</f>
        <v>0.736899126481104</v>
      </c>
    </row>
    <row r="125" customFormat="false" ht="15" hidden="false" customHeight="false" outlineLevel="0" collapsed="false">
      <c r="A125" s="2" t="s">
        <v>382</v>
      </c>
      <c r="B125" s="15" t="n">
        <f aca="false">-((Capital!$B$12+(('Unit Mix'!$C$10*(Assumptions!$C$34*(1+0)))-'Unit Mix'!$D$18)))</f>
        <v>-5528040</v>
      </c>
      <c r="C125" s="15" t="n">
        <f aca="false">(('Operating Model'!$B$43+((250-Assumptions!$C$36)*12*'Unit Mix'!$C$10)*Assumptions!$C$38)-(Debt!$C$9*Assumptions!$C$88))</f>
        <v>371613.714813</v>
      </c>
      <c r="D125" s="15" t="n">
        <f aca="false">((('Operating Model'!$B$43+((250-Assumptions!$C$36)*12*'Unit Mix'!$C$10)*Assumptions!$C$38)+((250-Assumptions!$C$36)*12*'Unit Mix'!$C$10))-(Debt!$C$9*Assumptions!$C$88))</f>
        <v>393213.714813</v>
      </c>
      <c r="E125" s="15" t="n">
        <f aca="false">((('Operating Model'!$B$43+((250-Assumptions!$C$36)*12*'Unit Mix'!$C$10)*Assumptions!$C$38)+((250-Assumptions!$C$36)*12*'Unit Mix'!$C$10))-(-PMT(Assumptions!$C$88,Assumptions!$C$93,Debt!$C$9)))</f>
        <v>299948.629158377</v>
      </c>
      <c r="F125" s="15" t="n">
        <f aca="false">((('Operating Model'!$B$43+((250-Assumptions!$C$36)*12*'Unit Mix'!$C$10)*Assumptions!$C$38)+((250-Assumptions!$C$36)*12*'Unit Mix'!$C$10))-(-PMT(Assumptions!$C$88,Assumptions!$C$93,Debt!$C$9)))</f>
        <v>299948.629158377</v>
      </c>
      <c r="G125" s="15" t="n">
        <f aca="false">((('Operating Model'!$B$43+((250-Assumptions!$C$36)*12*'Unit Mix'!$C$10)*Assumptions!$C$38)+((250-Assumptions!$C$36)*12*'Unit Mix'!$C$10))-(-PMT(Assumptions!$C$88,Assumptions!$C$93,Debt!$C$9))+((((('Operating Model'!$B$43+((250-Assumptions!$C$36)*12*'Unit Mix'!$C$10)*Assumptions!$C$38)+((250-Assumptions!$C$36)*12*'Unit Mix'!$C$10))*(1+Assumptions!$C$53))/(Returns!$B$6+Returns!$B$8))*(1-Assumptions!$C$99)-(Debt!$C$9+CUMPRINC(Assumptions!$C$88,Assumptions!$C$93,Debt!$C$9,1,3,0))))</f>
        <v>2672698.46450312</v>
      </c>
      <c r="H125" s="17" t="n">
        <f aca="false">IFERROR(IRR(B125:G125),"N/A")</f>
        <v>-0.0723101935522196</v>
      </c>
      <c r="I125" s="18" t="n">
        <f aca="false">SUM(C125:G125)/((Capital!$B$12+(('Unit Mix'!$C$10*(Assumptions!$C$34*(1+0)))-'Unit Mix'!$D$18)))</f>
        <v>0.730353462067183</v>
      </c>
    </row>
    <row r="126" customFormat="false" ht="15" hidden="false" customHeight="false" outlineLevel="0" collapsed="false">
      <c r="A126" s="2" t="s">
        <v>383</v>
      </c>
      <c r="B126" s="15" t="n">
        <f aca="false">-((Capital!$B$12+(('Unit Mix'!$C$10*(Assumptions!$C$34*(1+0.1)))-'Unit Mix'!$D$18)))</f>
        <v>-5577144</v>
      </c>
      <c r="C126" s="15" t="n">
        <f aca="false">(('Operating Model'!$B$43+((250-Assumptions!$C$36)*12*'Unit Mix'!$C$10)*Assumptions!$C$38)-(Debt!$C$9*Assumptions!$C$88))</f>
        <v>371613.714813</v>
      </c>
      <c r="D126" s="15" t="n">
        <f aca="false">((('Operating Model'!$B$43+((250-Assumptions!$C$36)*12*'Unit Mix'!$C$10)*Assumptions!$C$38)+((250-Assumptions!$C$36)*12*'Unit Mix'!$C$10))-(Debt!$C$9*Assumptions!$C$88))</f>
        <v>393213.714813</v>
      </c>
      <c r="E126" s="15" t="n">
        <f aca="false">((('Operating Model'!$B$43+((250-Assumptions!$C$36)*12*'Unit Mix'!$C$10)*Assumptions!$C$38)+((250-Assumptions!$C$36)*12*'Unit Mix'!$C$10))-(-PMT(Assumptions!$C$88,Assumptions!$C$93,Debt!$C$9)))</f>
        <v>299948.629158377</v>
      </c>
      <c r="F126" s="15" t="n">
        <f aca="false">((('Operating Model'!$B$43+((250-Assumptions!$C$36)*12*'Unit Mix'!$C$10)*Assumptions!$C$38)+((250-Assumptions!$C$36)*12*'Unit Mix'!$C$10))-(-PMT(Assumptions!$C$88,Assumptions!$C$93,Debt!$C$9)))</f>
        <v>299948.629158377</v>
      </c>
      <c r="G126" s="15" t="n">
        <f aca="false">((('Operating Model'!$B$43+((250-Assumptions!$C$36)*12*'Unit Mix'!$C$10)*Assumptions!$C$38)+((250-Assumptions!$C$36)*12*'Unit Mix'!$C$10))-(-PMT(Assumptions!$C$88,Assumptions!$C$93,Debt!$C$9))+((((('Operating Model'!$B$43+((250-Assumptions!$C$36)*12*'Unit Mix'!$C$10)*Assumptions!$C$38)+((250-Assumptions!$C$36)*12*'Unit Mix'!$C$10))*(1+Assumptions!$C$53))/(Returns!$B$6+Returns!$B$8))*(1-Assumptions!$C$99)-(Debt!$C$9+CUMPRINC(Assumptions!$C$88,Assumptions!$C$93,Debt!$C$9,1,3,0))))</f>
        <v>2672698.46450312</v>
      </c>
      <c r="H126" s="17" t="n">
        <f aca="false">IFERROR(IRR(B126:G126),"N/A")</f>
        <v>-0.0742363881712281</v>
      </c>
      <c r="I126" s="18" t="n">
        <f aca="false">SUM(C126:G126)/((Capital!$B$12+(('Unit Mix'!$C$10*(Assumptions!$C$34*(1+0.1)))-'Unit Mix'!$D$18)))</f>
        <v>0.723923060341614</v>
      </c>
    </row>
    <row r="127" customFormat="false" ht="15" hidden="false" customHeight="false" outlineLevel="0" collapsed="false">
      <c r="A127" s="2" t="s">
        <v>384</v>
      </c>
      <c r="B127" s="15" t="n">
        <f aca="false">-((Capital!$B$12+(('Unit Mix'!$C$10*(Assumptions!$C$34*(1+0.2)))-'Unit Mix'!$D$18)))</f>
        <v>-5626248</v>
      </c>
      <c r="C127" s="15" t="n">
        <f aca="false">(('Operating Model'!$B$43+((250-Assumptions!$C$36)*12*'Unit Mix'!$C$10)*Assumptions!$C$38)-(Debt!$C$9*Assumptions!$C$88))</f>
        <v>371613.714813</v>
      </c>
      <c r="D127" s="15" t="n">
        <f aca="false">((('Operating Model'!$B$43+((250-Assumptions!$C$36)*12*'Unit Mix'!$C$10)*Assumptions!$C$38)+((250-Assumptions!$C$36)*12*'Unit Mix'!$C$10))-(Debt!$C$9*Assumptions!$C$88))</f>
        <v>393213.714813</v>
      </c>
      <c r="E127" s="15" t="n">
        <f aca="false">((('Operating Model'!$B$43+((250-Assumptions!$C$36)*12*'Unit Mix'!$C$10)*Assumptions!$C$38)+((250-Assumptions!$C$36)*12*'Unit Mix'!$C$10))-(-PMT(Assumptions!$C$88,Assumptions!$C$93,Debt!$C$9)))</f>
        <v>299948.629158377</v>
      </c>
      <c r="F127" s="15" t="n">
        <f aca="false">((('Operating Model'!$B$43+((250-Assumptions!$C$36)*12*'Unit Mix'!$C$10)*Assumptions!$C$38)+((250-Assumptions!$C$36)*12*'Unit Mix'!$C$10))-(-PMT(Assumptions!$C$88,Assumptions!$C$93,Debt!$C$9)))</f>
        <v>299948.629158377</v>
      </c>
      <c r="G127" s="15" t="n">
        <f aca="false">((('Operating Model'!$B$43+((250-Assumptions!$C$36)*12*'Unit Mix'!$C$10)*Assumptions!$C$38)+((250-Assumptions!$C$36)*12*'Unit Mix'!$C$10))-(-PMT(Assumptions!$C$88,Assumptions!$C$93,Debt!$C$9))+((((('Operating Model'!$B$43+((250-Assumptions!$C$36)*12*'Unit Mix'!$C$10)*Assumptions!$C$38)+((250-Assumptions!$C$36)*12*'Unit Mix'!$C$10))*(1+Assumptions!$C$53))/(Returns!$B$6+Returns!$B$8))*(1-Assumptions!$C$99)-(Debt!$C$9+CUMPRINC(Assumptions!$C$88,Assumptions!$C$93,Debt!$C$9,1,3,0))))</f>
        <v>2672698.46450312</v>
      </c>
      <c r="H127" s="17" t="n">
        <f aca="false">IFERROR(IRR(B127:G127),"N/A")</f>
        <v>-0.0761401940091858</v>
      </c>
      <c r="I127" s="18" t="n">
        <f aca="false">SUM(C127:G127)/((Capital!$B$12+(('Unit Mix'!$C$10*(Assumptions!$C$34*(1+0.2)))-'Unit Mix'!$D$18)))</f>
        <v>0.71760490338248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3" min="3" style="0" width="40"/>
  </cols>
  <sheetData>
    <row r="1" customFormat="false" ht="17.35" hidden="false" customHeight="false" outlineLevel="0" collapsed="false">
      <c r="A1" s="1" t="s">
        <v>385</v>
      </c>
    </row>
    <row r="4" customFormat="false" ht="15" hidden="false" customHeight="false" outlineLevel="0" collapsed="false">
      <c r="A4" s="3" t="s">
        <v>386</v>
      </c>
      <c r="B4" s="3"/>
      <c r="C4" s="3"/>
    </row>
    <row r="5" customFormat="false" ht="15" hidden="false" customHeight="false" outlineLevel="0" collapsed="false">
      <c r="A5" s="0" t="s">
        <v>387</v>
      </c>
      <c r="B5" s="19" t="n">
        <f aca="false">Capital!$B$19</f>
        <v>0</v>
      </c>
      <c r="C5" s="0" t="str">
        <f aca="false">IF(ABS(B5)&lt;0.01,"OK","FAIL")</f>
        <v>OK</v>
      </c>
    </row>
    <row r="7" customFormat="false" ht="15" hidden="false" customHeight="false" outlineLevel="0" collapsed="false">
      <c r="A7" s="3" t="s">
        <v>388</v>
      </c>
      <c r="B7" s="3"/>
      <c r="C7" s="3"/>
    </row>
    <row r="8" customFormat="false" ht="15" hidden="false" customHeight="false" outlineLevel="0" collapsed="false">
      <c r="A8" s="0" t="s">
        <v>389</v>
      </c>
      <c r="B8" s="19" t="n">
        <f aca="false">('Operating Model'!B$49-Debt!$E$17)-Returns!C22</f>
        <v>0</v>
      </c>
      <c r="C8" s="0" t="str">
        <f aca="false">IF(ABS(B8)&lt;0.01,"OK","FAIL")</f>
        <v>OK</v>
      </c>
    </row>
    <row r="9" customFormat="false" ht="15" hidden="false" customHeight="false" outlineLevel="0" collapsed="false">
      <c r="A9" s="0" t="s">
        <v>390</v>
      </c>
      <c r="B9" s="19" t="n">
        <f aca="false">('Operating Model'!C$49-Debt!$E$18)-Returns!D22</f>
        <v>0</v>
      </c>
      <c r="C9" s="0" t="str">
        <f aca="false">IF(ABS(B9)&lt;0.01,"OK","FAIL")</f>
        <v>OK</v>
      </c>
    </row>
    <row r="10" customFormat="false" ht="15" hidden="false" customHeight="false" outlineLevel="0" collapsed="false">
      <c r="A10" s="0" t="s">
        <v>391</v>
      </c>
      <c r="B10" s="19" t="n">
        <f aca="false">('Operating Model'!D$49-Debt!$E$19)-Returns!E22</f>
        <v>0</v>
      </c>
      <c r="C10" s="0" t="str">
        <f aca="false">IF(ABS(B10)&lt;0.01,"OK","FAIL")</f>
        <v>OK</v>
      </c>
    </row>
    <row r="11" customFormat="false" ht="15" hidden="false" customHeight="false" outlineLevel="0" collapsed="false">
      <c r="A11" s="0" t="s">
        <v>392</v>
      </c>
      <c r="B11" s="19" t="n">
        <f aca="false">('Operating Model'!E$49-Debt!$E$20)-Returns!F22</f>
        <v>0</v>
      </c>
      <c r="C11" s="0" t="str">
        <f aca="false">IF(ABS(B11)&lt;0.01,"OK","FAIL")</f>
        <v>OK</v>
      </c>
    </row>
    <row r="12" customFormat="false" ht="15" hidden="false" customHeight="false" outlineLevel="0" collapsed="false">
      <c r="A12" s="0" t="s">
        <v>393</v>
      </c>
      <c r="B12" s="19" t="n">
        <f aca="false">('Operating Model'!F$49-Debt!$E$21)-Returns!G22</f>
        <v>0</v>
      </c>
      <c r="C12" s="0" t="str">
        <f aca="false">IF(ABS(B12)&lt;0.01,"OK","FAIL")</f>
        <v>OK</v>
      </c>
    </row>
    <row r="14" customFormat="false" ht="15" hidden="false" customHeight="false" outlineLevel="0" collapsed="false">
      <c r="A14" s="3" t="s">
        <v>394</v>
      </c>
      <c r="B14" s="3"/>
      <c r="C14" s="3"/>
    </row>
    <row r="15" customFormat="false" ht="15" hidden="false" customHeight="false" outlineLevel="0" collapsed="false">
      <c r="A15" s="0" t="s">
        <v>395</v>
      </c>
      <c r="B15" s="19" t="n">
        <f aca="false">'Operating Model'!B28+'Operating Model'!B41-'Operating Model'!B43</f>
        <v>0</v>
      </c>
      <c r="C15" s="0" t="str">
        <f aca="false">IF(ABS(B15)&lt;0.01,"OK","FAIL")</f>
        <v>OK</v>
      </c>
    </row>
    <row r="16" customFormat="false" ht="15" hidden="false" customHeight="false" outlineLevel="0" collapsed="false">
      <c r="A16" s="0" t="s">
        <v>396</v>
      </c>
      <c r="B16" s="19" t="n">
        <f aca="false">'Operating Model'!C28+'Operating Model'!C41-'Operating Model'!C43</f>
        <v>0</v>
      </c>
      <c r="C16" s="0" t="str">
        <f aca="false">IF(ABS(B16)&lt;0.01,"OK","FAIL")</f>
        <v>OK</v>
      </c>
    </row>
    <row r="17" customFormat="false" ht="15" hidden="false" customHeight="false" outlineLevel="0" collapsed="false">
      <c r="A17" s="0" t="s">
        <v>397</v>
      </c>
      <c r="B17" s="19" t="n">
        <f aca="false">'Operating Model'!D28+'Operating Model'!D41-'Operating Model'!D43</f>
        <v>0</v>
      </c>
      <c r="C17" s="0" t="str">
        <f aca="false">IF(ABS(B17)&lt;0.01,"OK","FAIL")</f>
        <v>OK</v>
      </c>
    </row>
    <row r="18" customFormat="false" ht="15" hidden="false" customHeight="false" outlineLevel="0" collapsed="false">
      <c r="A18" s="0" t="s">
        <v>398</v>
      </c>
      <c r="B18" s="19" t="n">
        <f aca="false">'Operating Model'!E28+'Operating Model'!E41-'Operating Model'!E43</f>
        <v>0</v>
      </c>
      <c r="C18" s="0" t="str">
        <f aca="false">IF(ABS(B18)&lt;0.01,"OK","FAIL")</f>
        <v>OK</v>
      </c>
    </row>
    <row r="19" customFormat="false" ht="15" hidden="false" customHeight="false" outlineLevel="0" collapsed="false">
      <c r="A19" s="0" t="s">
        <v>399</v>
      </c>
      <c r="B19" s="19" t="n">
        <f aca="false">'Operating Model'!F28+'Operating Model'!F41-'Operating Model'!F43</f>
        <v>0</v>
      </c>
      <c r="C19" s="0" t="str">
        <f aca="false">IF(ABS(B19)&lt;0.01,"OK","FAIL")</f>
        <v>OK</v>
      </c>
    </row>
    <row r="21" customFormat="false" ht="15" hidden="false" customHeight="false" outlineLevel="0" collapsed="false">
      <c r="A21" s="3" t="s">
        <v>400</v>
      </c>
      <c r="B21" s="3"/>
      <c r="C21" s="3"/>
    </row>
    <row r="22" customFormat="false" ht="15" hidden="false" customHeight="false" outlineLevel="0" collapsed="false">
      <c r="A22" s="0" t="s">
        <v>401</v>
      </c>
      <c r="B22" s="19" t="n">
        <f aca="false">Waterfall!C34</f>
        <v>0</v>
      </c>
      <c r="C22" s="0" t="str">
        <f aca="false">IF(ABS(B22)&lt;0.01,"OK","FAIL")</f>
        <v>OK</v>
      </c>
    </row>
    <row r="23" customFormat="false" ht="15" hidden="false" customHeight="false" outlineLevel="0" collapsed="false">
      <c r="A23" s="0" t="s">
        <v>402</v>
      </c>
      <c r="B23" s="19" t="n">
        <f aca="false">Waterfall!D34</f>
        <v>0</v>
      </c>
      <c r="C23" s="0" t="str">
        <f aca="false">IF(ABS(B23)&lt;0.01,"OK","FAIL")</f>
        <v>OK</v>
      </c>
    </row>
    <row r="24" customFormat="false" ht="15" hidden="false" customHeight="false" outlineLevel="0" collapsed="false">
      <c r="A24" s="0" t="s">
        <v>403</v>
      </c>
      <c r="B24" s="19" t="n">
        <f aca="false">Waterfall!E34</f>
        <v>0</v>
      </c>
      <c r="C24" s="0" t="str">
        <f aca="false">IF(ABS(B24)&lt;0.01,"OK","FAIL")</f>
        <v>OK</v>
      </c>
    </row>
    <row r="25" customFormat="false" ht="15" hidden="false" customHeight="false" outlineLevel="0" collapsed="false">
      <c r="A25" s="0" t="s">
        <v>404</v>
      </c>
      <c r="B25" s="19" t="n">
        <f aca="false">Waterfall!F34</f>
        <v>0</v>
      </c>
      <c r="C25" s="0" t="str">
        <f aca="false">IF(ABS(B25)&lt;0.01,"OK","FAIL")</f>
        <v>OK</v>
      </c>
    </row>
    <row r="26" customFormat="false" ht="15" hidden="false" customHeight="false" outlineLevel="0" collapsed="false">
      <c r="A26" s="0" t="s">
        <v>405</v>
      </c>
      <c r="B26" s="19" t="n">
        <f aca="false">Waterfall!G34</f>
        <v>0</v>
      </c>
      <c r="C26" s="0" t="str">
        <f aca="false">IF(ABS(B26)&lt;0.01,"OK","FAIL")</f>
        <v>OK</v>
      </c>
    </row>
    <row r="28" customFormat="false" ht="15" hidden="false" customHeight="false" outlineLevel="0" collapsed="false">
      <c r="A28" s="3" t="s">
        <v>406</v>
      </c>
      <c r="B28" s="3"/>
      <c r="C28" s="3"/>
    </row>
    <row r="29" customFormat="false" ht="15" hidden="false" customHeight="false" outlineLevel="0" collapsed="false">
      <c r="A29" s="0" t="s">
        <v>407</v>
      </c>
      <c r="B29" s="19" t="n">
        <f aca="false">MIN(Waterfall!C11:G11)</f>
        <v>211804.272785605</v>
      </c>
      <c r="C29" s="0" t="str">
        <f aca="false">IF(B29&gt;=-0.01,"OK","FAIL")</f>
        <v>OK</v>
      </c>
    </row>
    <row r="30" customFormat="false" ht="15" hidden="false" customHeight="false" outlineLevel="0" collapsed="false">
      <c r="A30" s="0" t="s">
        <v>408</v>
      </c>
      <c r="B30" s="19" t="n">
        <f aca="false">MIN(Waterfall!C17:G17)</f>
        <v>1407248.86629257</v>
      </c>
      <c r="C30" s="0" t="str">
        <f aca="false">IF(B30&gt;=-0.01,"OK","FAIL")</f>
        <v>OK</v>
      </c>
    </row>
    <row r="32" customFormat="false" ht="15" hidden="false" customHeight="false" outlineLevel="0" collapsed="false">
      <c r="A32" s="3" t="s">
        <v>409</v>
      </c>
      <c r="B32" s="3"/>
      <c r="C32" s="3"/>
    </row>
    <row r="33" customFormat="false" ht="15" hidden="false" customHeight="false" outlineLevel="0" collapsed="false">
      <c r="A33" s="0" t="s">
        <v>410</v>
      </c>
      <c r="B33" s="19" t="n">
        <f aca="false">Capital!$B$16+Capital!$B$17-Capital!$B$12</f>
        <v>0</v>
      </c>
      <c r="C33" s="0" t="str">
        <f aca="false">IF(ABS(B33)&lt;0.01,"OK","FAIL")</f>
        <v>OK</v>
      </c>
    </row>
    <row r="35" customFormat="false" ht="15" hidden="false" customHeight="false" outlineLevel="0" collapsed="false">
      <c r="A35" s="3" t="s">
        <v>411</v>
      </c>
      <c r="B35" s="3"/>
      <c r="C35" s="3"/>
    </row>
    <row r="36" customFormat="false" ht="15" hidden="false" customHeight="false" outlineLevel="0" collapsed="false">
      <c r="A36" s="0" t="s">
        <v>412</v>
      </c>
      <c r="B36" s="19" t="n">
        <f aca="false">Debt!$C$9-SUM(Debt!D17:D22)-Debt!F22</f>
        <v>0</v>
      </c>
      <c r="C36" s="0" t="str">
        <f aca="false">IF(ABS(B36)&lt;0.01,"OK","FAIL")</f>
        <v>OK</v>
      </c>
    </row>
    <row r="38" customFormat="false" ht="15" hidden="false" customHeight="false" outlineLevel="0" collapsed="false">
      <c r="A38" s="3" t="s">
        <v>413</v>
      </c>
      <c r="B38" s="3"/>
      <c r="C38" s="3"/>
    </row>
    <row r="39" customFormat="false" ht="15" hidden="false" customHeight="false" outlineLevel="0" collapsed="false">
      <c r="A39" s="2" t="s">
        <v>414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40"/>
  </cols>
  <sheetData>
    <row r="1" customFormat="false" ht="17.35" hidden="false" customHeight="false" outlineLevel="0" collapsed="false">
      <c r="A1" s="1" t="s">
        <v>415</v>
      </c>
    </row>
    <row r="3" customFormat="false" ht="45" hidden="false" customHeight="true" outlineLevel="0" collapsed="false">
      <c r="A3" s="20" t="s">
        <v>416</v>
      </c>
    </row>
    <row r="6" customFormat="false" ht="15" hidden="false" customHeight="false" outlineLevel="0" collapsed="false">
      <c r="A6" s="3" t="s">
        <v>417</v>
      </c>
      <c r="B6" s="3"/>
    </row>
    <row r="7" customFormat="false" ht="15" hidden="false" customHeight="false" outlineLevel="0" collapsed="false">
      <c r="A7" s="0" t="s">
        <v>204</v>
      </c>
      <c r="B7" s="15" t="n">
        <f aca="false">Assumptions!$C$7</f>
        <v>13800000</v>
      </c>
    </row>
    <row r="8" customFormat="false" ht="15" hidden="false" customHeight="false" outlineLevel="0" collapsed="false">
      <c r="A8" s="0" t="s">
        <v>418</v>
      </c>
      <c r="B8" s="15" t="n">
        <f aca="false">Capital!$B$8</f>
        <v>14498040</v>
      </c>
    </row>
    <row r="9" customFormat="false" ht="15" hidden="false" customHeight="false" outlineLevel="0" collapsed="false">
      <c r="A9" s="0" t="s">
        <v>419</v>
      </c>
      <c r="B9" s="15" t="n">
        <f aca="false">Debt!$C$9</f>
        <v>8970000</v>
      </c>
    </row>
    <row r="10" customFormat="false" ht="15" hidden="false" customHeight="false" outlineLevel="0" collapsed="false">
      <c r="A10" s="0" t="s">
        <v>420</v>
      </c>
      <c r="B10" s="15" t="n">
        <f aca="false">Capital!$B$12</f>
        <v>5528040</v>
      </c>
    </row>
    <row r="11" customFormat="false" ht="15" hidden="false" customHeight="false" outlineLevel="0" collapsed="false">
      <c r="A11" s="0" t="s">
        <v>421</v>
      </c>
      <c r="B11" s="15" t="n">
        <f aca="false">Capital!$B$16</f>
        <v>4975236</v>
      </c>
    </row>
    <row r="12" customFormat="false" ht="15" hidden="false" customHeight="false" outlineLevel="0" collapsed="false">
      <c r="A12" s="0" t="s">
        <v>422</v>
      </c>
      <c r="B12" s="15" t="n">
        <f aca="false">Capital!$B$17</f>
        <v>552804</v>
      </c>
    </row>
    <row r="14" customFormat="false" ht="15" hidden="false" customHeight="false" outlineLevel="0" collapsed="false">
      <c r="A14" s="3" t="s">
        <v>423</v>
      </c>
      <c r="B14" s="3"/>
    </row>
    <row r="15" customFormat="false" ht="15" hidden="false" customHeight="false" outlineLevel="0" collapsed="false">
      <c r="A15" s="0" t="s">
        <v>7</v>
      </c>
      <c r="B15" s="17" t="n">
        <f aca="false">Assumptions!$C$8</f>
        <v>0.07</v>
      </c>
    </row>
    <row r="16" customFormat="false" ht="15" hidden="false" customHeight="false" outlineLevel="0" collapsed="false">
      <c r="A16" s="0" t="s">
        <v>424</v>
      </c>
      <c r="B16" s="17" t="n">
        <f aca="false">Returns!$B$5</f>
        <v>0.0722959213632609</v>
      </c>
    </row>
    <row r="17" customFormat="false" ht="15" hidden="false" customHeight="false" outlineLevel="0" collapsed="false">
      <c r="A17" s="0" t="s">
        <v>425</v>
      </c>
      <c r="B17" s="17" t="n">
        <f aca="false">Returns!$B$6</f>
        <v>0.0772959213632609</v>
      </c>
    </row>
    <row r="18" customFormat="false" ht="15" hidden="false" customHeight="false" outlineLevel="0" collapsed="false">
      <c r="A18" s="0" t="s">
        <v>426</v>
      </c>
      <c r="B18" s="17" t="n">
        <f aca="false">Debt!C9/Assumptions!$C$7</f>
        <v>0.65</v>
      </c>
    </row>
    <row r="19" customFormat="false" ht="15" hidden="false" customHeight="false" outlineLevel="0" collapsed="false">
      <c r="A19" s="0" t="s">
        <v>427</v>
      </c>
      <c r="B19" s="0" t="str">
        <f aca="false">Debt!C10</f>
        <v>LTV</v>
      </c>
    </row>
    <row r="20" customFormat="false" ht="15" hidden="false" customHeight="false" outlineLevel="0" collapsed="false">
      <c r="A20" s="0" t="s">
        <v>428</v>
      </c>
      <c r="B20" s="21" t="n">
        <f aca="false">Assumptions!$C$96</f>
        <v>5</v>
      </c>
    </row>
    <row r="22" customFormat="false" ht="15" hidden="false" customHeight="false" outlineLevel="0" collapsed="false">
      <c r="A22" s="3" t="s">
        <v>429</v>
      </c>
      <c r="B22" s="3"/>
    </row>
    <row r="23" customFormat="false" ht="15" hidden="false" customHeight="false" outlineLevel="0" collapsed="false">
      <c r="A23" s="0" t="s">
        <v>245</v>
      </c>
      <c r="B23" s="17" t="n">
        <f aca="false">Returns!B29</f>
        <v>0.0502576440792279</v>
      </c>
    </row>
    <row r="24" customFormat="false" ht="15" hidden="false" customHeight="false" outlineLevel="0" collapsed="false">
      <c r="A24" s="0" t="s">
        <v>430</v>
      </c>
      <c r="B24" s="17" t="n">
        <f aca="false">Returns!B30</f>
        <v>0.0449953265622085</v>
      </c>
    </row>
    <row r="25" customFormat="false" ht="15" hidden="false" customHeight="false" outlineLevel="0" collapsed="false">
      <c r="A25" s="0" t="s">
        <v>247</v>
      </c>
      <c r="B25" s="18" t="n">
        <f aca="false">Returns!B31</f>
        <v>1.24490401829805</v>
      </c>
    </row>
    <row r="26" customFormat="false" ht="15" hidden="false" customHeight="false" outlineLevel="0" collapsed="false">
      <c r="A26" s="0" t="s">
        <v>431</v>
      </c>
      <c r="B26" s="18" t="n">
        <f aca="false">Returns!B32</f>
        <v>1.20201535293552</v>
      </c>
    </row>
    <row r="27" customFormat="false" ht="15" hidden="false" customHeight="false" outlineLevel="0" collapsed="false">
      <c r="A27" s="0" t="s">
        <v>275</v>
      </c>
      <c r="B27" s="17" t="n">
        <f aca="false">Waterfall!B37</f>
        <v>0.0722039531254494</v>
      </c>
    </row>
    <row r="28" customFormat="false" ht="15" hidden="false" customHeight="false" outlineLevel="0" collapsed="false">
      <c r="A28" s="0" t="s">
        <v>277</v>
      </c>
      <c r="B28" s="18" t="n">
        <f aca="false">Waterfall!B39</f>
        <v>1.3355726143728</v>
      </c>
    </row>
    <row r="29" customFormat="false" ht="15" hidden="false" customHeight="false" outlineLevel="0" collapsed="false">
      <c r="A29" s="0" t="s">
        <v>276</v>
      </c>
      <c r="B29" s="17" t="str">
        <f aca="false">Waterfall!B38</f>
        <v>N/A - GP receives $0 in this scenario, IRR undefined</v>
      </c>
    </row>
    <row r="30" customFormat="false" ht="15" hidden="false" customHeight="false" outlineLevel="0" collapsed="false">
      <c r="A30" s="0" t="s">
        <v>278</v>
      </c>
      <c r="B30" s="18" t="n">
        <f aca="false">Waterfall!B40</f>
        <v>0</v>
      </c>
    </row>
    <row r="32" customFormat="false" ht="15" hidden="false" customHeight="false" outlineLevel="0" collapsed="false">
      <c r="A32" s="3" t="s">
        <v>432</v>
      </c>
      <c r="B32" s="3"/>
    </row>
    <row r="33" customFormat="false" ht="109.5" hidden="false" customHeight="true" outlineLevel="0" collapsed="false">
      <c r="A33" s="20" t="s">
        <v>433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2026-09-22T13:53:33Z</dcterms:created>
  <dc:creator>openpyxl</dc:creator>
  <dc:description/>
  <dc:language>en-US</dc:language>
  <cp:lastModifiedBy/>
  <dcterms:modified xsi:type="dcterms:W3CDTF">2026-09-22T13:53:33Z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