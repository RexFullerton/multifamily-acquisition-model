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Unit Mix" sheetId="2" state="visible" r:id="rId4"/>
    <sheet name="Operating Model" sheetId="3" state="visible" r:id="rId5"/>
    <sheet name="Debt" sheetId="4" state="visible" r:id="rId6"/>
    <sheet name="Capital" sheetId="5" state="visible" r:id="rId7"/>
    <sheet name="Returns" sheetId="6" state="visible" r:id="rId8"/>
    <sheet name="Debt (Assumed)" sheetId="7" state="visible" r:id="rId9"/>
    <sheet name="Returns (Assumed)" sheetId="8" state="visible" r:id="rId10"/>
    <sheet name="Waterfall" sheetId="9" state="visible" r:id="rId11"/>
    <sheet name="Sensitivity" sheetId="10" state="visible" r:id="rId12"/>
    <sheet name="Checks" sheetId="11" state="visible" r:id="rId13"/>
    <sheet name="Summary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<sst xmlns="http://schemas.openxmlformats.org/spreadsheetml/2006/main" count="654" uniqueCount="568">
  <si>
    <t xml:space="preserve">ASSUMPTIONS — Parkview Crossing, 901-951 NW 8th Ave, Pompano Beach, FL 33060</t>
  </si>
  <si>
    <t xml:space="preserve">Blue = input. Black = formula. Every number elsewhere in this workbook traces back to a cell on this tab or Unit Mix.</t>
  </si>
  <si>
    <t xml:space="preserve">ACQUISITION</t>
  </si>
  <si>
    <t xml:space="preserve">Units (formula = Unit Mix total, not an input)</t>
  </si>
  <si>
    <t xml:space="preserve">Single source of truth: sums the Unit Mix tab = 97. SOURCE: Broward County Property Appraiser, 3 parcels owned by Channel Grove LLC: folio 4842-35-00-0460 (951 NW 8 Ave, 20 units), 4842-35-00-0471 (901 NW 8 Ave, 18 units), 4842-35-00-0480 (930-980 NW 9 Ave, 59 units). The listing unit-type breakdown sums to 98, so one 1BR/1BA unit is removed on the Unit Mix tab pending the actual rent roll.</t>
  </si>
  <si>
    <t xml:space="preserve">Purchase Price ($)</t>
  </si>
  <si>
    <t xml:space="preserve">Broker-stated asking price (LoopNet)</t>
  </si>
  <si>
    <t xml:space="preserve">Broker-Stated Cap Rate</t>
  </si>
  <si>
    <t xml:space="preserve">LoopNet advertised cap rate</t>
  </si>
  <si>
    <t xml:space="preserve">Broker-Implied NOI ($)</t>
  </si>
  <si>
    <t xml:space="preserve">i.e. Price x Broker Cap (not used downstream)</t>
  </si>
  <si>
    <t xml:space="preserve">Closing Costs (% of Price)</t>
  </si>
  <si>
    <t xml:space="preserve">Broward doc stamps $0.70/$100 + title/legal/reports</t>
  </si>
  <si>
    <t xml:space="preserve">Closing Costs ($)</t>
  </si>
  <si>
    <t xml:space="preserve">PROPERTY TAX REASSESSMENT</t>
  </si>
  <si>
    <t xml:space="preserve">Combined Millage Rate</t>
  </si>
  <si>
    <t xml:space="preserve">BCPA millage code 1512 (Pompano Beach), all 3 parcels. 2026 PROPOSED = 20.1710 mills (BCPA 2026 Proposed Millage Rate Table); 2025 FINAL = 20.2573. Using 2026 proposed as closest to the Year-1 (2027) levy; final 2026 rates are adopted at September budget hearings.</t>
  </si>
  <si>
    <t xml:space="preserve">Seller's Current TAXABLE Value ($)</t>
  </si>
  <si>
    <t xml:space="preserve">BCPA-CONFIRMED: 2025 certified taxable value, sum of the 3 folios ($2,166,930 + $2,063,740 + $6,088,030). Matches the LoopNet figure. For reference, BCPA 2026 working just value = $11,650,640 (vs. model's statutory-method reassessment of $11,730,000).</t>
  </si>
  <si>
    <t xml:space="preserve">Cost-of-Sale Factor (DOR customary)</t>
  </si>
  <si>
    <t xml:space="preserve">Fla. Stat. 193.011(8): DOR sales-ratio studies customarily net sale price by 15% cost-of-sale allowance. Set to 100% to run the conservative (full-price) case instead.</t>
  </si>
  <si>
    <t xml:space="preserve">Non-Homestead Annual Assessment Cap</t>
  </si>
  <si>
    <t xml:space="preserve">Fla. Const. Art VII — 10% cap today; Amendment 3 (Nov 2026 ballot) would cut to 5% starting 2027 if passed — NOT modeled</t>
  </si>
  <si>
    <t xml:space="preserve">Reassessed Just Value at Purchase ($)</t>
  </si>
  <si>
    <t xml:space="preserve">i.e. Purchase Price x Cost-of-Sale Factor</t>
  </si>
  <si>
    <t xml:space="preserve">Seller's Current Annual Tax ($)</t>
  </si>
  <si>
    <t xml:space="preserve">Buyer's Year-1 Tax ($)</t>
  </si>
  <si>
    <t xml:space="preserve">RENOVATION PROGRAM — bottom-up scope, per classic unit</t>
  </si>
  <si>
    <t xml:space="preserve">Kitchen (cabinet refacing, counter, appliance pkg)</t>
  </si>
  <si>
    <t xml:space="preserve">Mini-split ductless AC system</t>
  </si>
  <si>
    <t xml:space="preserve">Vinyl slider window replacement (~3 openings)</t>
  </si>
  <si>
    <t xml:space="preserve">Modern lighting fixtures + ceiling fans</t>
  </si>
  <si>
    <t xml:space="preserve">LVP flooring (~700 SF)</t>
  </si>
  <si>
    <t xml:space="preserve">Bathroom refresh (vanity, fixtures, re-caulk)</t>
  </si>
  <si>
    <t xml:space="preserve">Interior paint</t>
  </si>
  <si>
    <t xml:space="preserve">Turnover labor / make-ready cleaning</t>
  </si>
  <si>
    <t xml:space="preserve">Subtotal ($/unit)</t>
  </si>
  <si>
    <t xml:space="preserve">Contingency %</t>
  </si>
  <si>
    <t xml:space="preserve">Contingency ($/unit)</t>
  </si>
  <si>
    <t xml:space="preserve">TOTAL Renovation Cost ($/unit)</t>
  </si>
  <si>
    <t xml:space="preserve">Renovation Pace (units/month)</t>
  </si>
  <si>
    <t xml:space="preserve">Renovated-Unit Rent Premium over Market ($/month)</t>
  </si>
  <si>
    <t xml:space="preserve">Set to $0 (decision 2026-09-29). Renovated classic units reach MARKET rent, the same finish standard the prior owner used on the other 74 units, so a premium above market would double-count. The renovation's value is closing the in-place-to-market gap. Was $175.</t>
  </si>
  <si>
    <t xml:space="preserve">Renovated-Unit Rent Premium ($/year)</t>
  </si>
  <si>
    <t xml:space="preserve">Year-1 Premium Capture % (mid-program convention)</t>
  </si>
  <si>
    <t xml:space="preserve">6-month program starting month 1 of the hold -&gt; average unit captures ~half a year of uplift in Year 1</t>
  </si>
  <si>
    <t xml:space="preserve">OPERATING ASSUMPTIONS</t>
  </si>
  <si>
    <t xml:space="preserve">Physical Vacancy %</t>
  </si>
  <si>
    <t xml:space="preserve">vs. 92% disclosed occupancy; nudged for renovation downtime</t>
  </si>
  <si>
    <t xml:space="preserve">Credit Loss % (of GPR)</t>
  </si>
  <si>
    <t xml:space="preserve">Concessions % (of GPR)</t>
  </si>
  <si>
    <t xml:space="preserve">Other Income ($/unit/month)</t>
  </si>
  <si>
    <t xml:space="preserve">RUBS, pet, parking, admin fees</t>
  </si>
  <si>
    <t xml:space="preserve">Loss-to-Lease Burn-off % per Turnover</t>
  </si>
  <si>
    <t xml:space="preserve">of remaining gap to market rent, closed at each turnover</t>
  </si>
  <si>
    <t xml:space="preserve">Annual Turnover Rate %</t>
  </si>
  <si>
    <t xml:space="preserve">general Class B/C garden-apartment convention, not property-specific</t>
  </si>
  <si>
    <t xml:space="preserve">Prior-Owner-Renovated Units: Starting Capture of Total Uplift</t>
  </si>
  <si>
    <t xml:space="preserve">judgment split of the disclosed 20.76% blended upside between already-renovated (partial capture) and classic (zero capture) units</t>
  </si>
  <si>
    <t xml:space="preserve">MARKET RENT GROWTH SCHEDULE (Broward/Pompano-sourced, capped at 3.0% terminal)</t>
  </si>
  <si>
    <t xml:space="preserve">Year 1 Market Rent Growth</t>
  </si>
  <si>
    <t xml:space="preserve">Yardi Matrix (via MIAMI REALTORS+RWorld South Florida Rental Market Report, May 2026): Broward County Class C/C+ asking rents +0.2% YoY — near-flat current read, nudged to 1.0% for a full forward year</t>
  </si>
  <si>
    <t xml:space="preserve">Year 2 Market Rent Growth</t>
  </si>
  <si>
    <t xml:space="preserve">judgment, gradual convergence</t>
  </si>
  <si>
    <t xml:space="preserve">Year 3 Market Rent Growth</t>
  </si>
  <si>
    <t xml:space="preserve">Year 4 Market Rent Growth</t>
  </si>
  <si>
    <t xml:space="preserve">capped at 3.0% per instruction — no source supports going higher for a multi-year terminal rate</t>
  </si>
  <si>
    <t xml:space="preserve">Year 5 Market Rent Growth</t>
  </si>
  <si>
    <t xml:space="preserve">capped</t>
  </si>
  <si>
    <t xml:space="preserve">Year 6 Market Rent Growth</t>
  </si>
  <si>
    <t xml:space="preserve">Year 7 Market Rent Growth</t>
  </si>
  <si>
    <t xml:space="preserve">Year 8 Market Rent Growth</t>
  </si>
  <si>
    <t xml:space="preserve">Year 9 Market Rent Growth</t>
  </si>
  <si>
    <t xml:space="preserve">Year 10 Market Rent Growth</t>
  </si>
  <si>
    <t xml:space="preserve">EXPENSE GROWTH</t>
  </si>
  <si>
    <t xml:space="preserve">General Expense Growth % (ex-insurance, ex-tax)</t>
  </si>
  <si>
    <t xml:space="preserve">Insurance Growth %</t>
  </si>
  <si>
    <t xml:space="preserve">above general expense growth given the recent ~37% two-year South Florida trend</t>
  </si>
  <si>
    <t xml:space="preserve">OPERATING EXPENSES (Year 1, $/unit/year unless noted)</t>
  </si>
  <si>
    <t xml:space="preserve">Payroll (on-site mgmt + maintenance)</t>
  </si>
  <si>
    <t xml:space="preserve">Repairs &amp; Maintenance</t>
  </si>
  <si>
    <t xml:space="preserve">nudged up for 1958 vintage / undisclosed roof</t>
  </si>
  <si>
    <t xml:space="preserve">Turnover / Make-Ready</t>
  </si>
  <si>
    <t xml:space="preserve">Contract Services (landscaping, pest, trash)</t>
  </si>
  <si>
    <t xml:space="preserve">Utilities (owner-paid common area/vacant)</t>
  </si>
  <si>
    <t xml:space="preserve">Insurance — Base Case ($/unit)</t>
  </si>
  <si>
    <t xml:space="preserve">vintage-risk-adjusted above the general $2,000/unit South Florida average</t>
  </si>
  <si>
    <t xml:space="preserve">Insurance — If Roof Replaced ($/unit)</t>
  </si>
  <si>
    <t xml:space="preserve">scenario only — see Roof section below</t>
  </si>
  <si>
    <t xml:space="preserve">Management Fee (% of EGI)</t>
  </si>
  <si>
    <t xml:space="preserve">Non-Ad Valorem Assessments ($/unit, fire etc.)</t>
  </si>
  <si>
    <t xml:space="preserve">BCPA tax history: 2025 total bills on the 3 folios = $245,413; ad valorem at 20.2573 mills on $10,318,700 taxable = $209,026; remainder $36,387 / 97 units = $375/unit (charged per unit, not on value). Consistent with the city residential fire assessment ($331/unit, $20-30 increases proposed for FY2026).</t>
  </si>
  <si>
    <t xml:space="preserve">G&amp;A / Admin</t>
  </si>
  <si>
    <t xml:space="preserve">Marketing</t>
  </si>
  <si>
    <t xml:space="preserve">Replacement Reserves (below NOI)</t>
  </si>
  <si>
    <t xml:space="preserve">ROOF &amp; RECERTIFICATION — diligence items, not confident estimates</t>
  </si>
  <si>
    <t xml:space="preserve">Roof Replacement Scenario Toggle (1=on, 0=off)</t>
  </si>
  <si>
    <t xml:space="preserve">Roof Replacement Cost ($, one-time, Year 1 if toggled)</t>
  </si>
  <si>
    <t xml:space="preserve">~23,480 SF est. roof area x $8-12/SF hurricane-code TPO/mod-bit; midpoint of $188k-282k range</t>
  </si>
  <si>
    <t xml:space="preserve">Recertification Year (model Year #)</t>
  </si>
  <si>
    <t xml:space="preserve">next 40/50-Year Program cycle due ~2028; Year 2 of the hold if closing is late 2026/early 2027</t>
  </si>
  <si>
    <t xml:space="preserve">Recertification Inspection Cost ($, one-time)</t>
  </si>
  <si>
    <t xml:space="preserve">placeholder — no sourced fee</t>
  </si>
  <si>
    <t xml:space="preserve">Recertification Remediation Contingency ($, one-time)</t>
  </si>
  <si>
    <t xml:space="preserve">placeholder — genuinely unknowable without an engineer's report</t>
  </si>
  <si>
    <t xml:space="preserve">DEBT — SCENARIO B: NEW ACQUISITION DEBT (generic)</t>
  </si>
  <si>
    <t xml:space="preserve">1-Month SOFR</t>
  </si>
  <si>
    <t xml:space="preserve">sofrrate.com, reading as of 9/18/2026</t>
  </si>
  <si>
    <t xml:space="preserve">Spread (bps over SOFR)</t>
  </si>
  <si>
    <t xml:space="preserve">All-In Floating Rate</t>
  </si>
  <si>
    <t xml:space="preserve">Maximum LTV %</t>
  </si>
  <si>
    <t xml:space="preserve">Minimum DSCR</t>
  </si>
  <si>
    <t xml:space="preserve">Minimum Debt Yield %</t>
  </si>
  <si>
    <t xml:space="preserve">Interest-Only Period (years)</t>
  </si>
  <si>
    <t xml:space="preserve">Amortization (years)</t>
  </si>
  <si>
    <t xml:space="preserve">DEBT — SCENARIO A: ASSUMABLE EXISTING DEBT (broker-disclosed, LoopNet/Crexi)</t>
  </si>
  <si>
    <t xml:space="preserve">First Mortgage Balance ($)</t>
  </si>
  <si>
    <t xml:space="preserve">Crexi listing ("Non-Agency"); LoopNet shows $5,908,933.50 -- small discrepancy, likely different as-of dates. Used the Crexi figure since paired with the explicit 4.2% blended-rate confirmation.</t>
  </si>
  <si>
    <t xml:space="preserve">First Mortgage Rate (fixed)</t>
  </si>
  <si>
    <t xml:space="preserve">LoopNet + Crexi, both state 3.0% fixed</t>
  </si>
  <si>
    <t xml:space="preserve">First Mortgage Maturity (model Year #)</t>
  </si>
  <si>
    <t xml:space="preserve">Broker states "fixed until December 2029." If Year 1 = calendar 2027, Dec 2029 falls in model Year 3 -- adjust this cell if your actual closing date shifts the calendar mapping.</t>
  </si>
  <si>
    <t xml:space="preserve">Supplemental Loan Balance ($)</t>
  </si>
  <si>
    <t xml:space="preserve">LoopNet + Crexi, both state $3,563,000</t>
  </si>
  <si>
    <t xml:space="preserve">Supplemental Loan Rate</t>
  </si>
  <si>
    <t xml:space="preserve">LoopNet + Crexi, both state 6.20%</t>
  </si>
  <si>
    <t xml:space="preserve">Blended Rate (formula, weighted avg -- ties to broker's stated 4.2%)</t>
  </si>
  <si>
    <t xml:space="preserve">Both Loans Interest-Only Through First's Maturity (1=yes)</t>
  </si>
  <si>
    <t xml:space="preserve">JUDGMENT -- amortization/IO status is NOT disclosed publicly for either loan. IO is a common structure for non-agency assumable loans marketed on a cash-flow basis, and is roughly consistent with the broker's "almost 10% cash-on-cash Day 1" claim. Flagged, not confirmed.</t>
  </si>
  <si>
    <t xml:space="preserve">Loan Assumption Fee (% of assumed balance)</t>
  </si>
  <si>
    <t xml:space="preserve">JUDGMENT -- not disclosed. 0.5-1.0% is a commonly cited range for CMBS/balance-sheet loan assumption fees; used the low end. Also assumes ~30-60 days of lender consent/underwriting, not separately costed.</t>
  </si>
  <si>
    <t xml:space="preserve">HOLD &amp; EXIT</t>
  </si>
  <si>
    <t xml:space="preserve">Hold Period (years) -- STRUCTURAL, not a live input</t>
  </si>
  <si>
    <t xml:space="preserve">The model is built for a 5-year hold (5 cash-flow columns, exit on Year-6 forward NOI). Changing this cell does NOT change the model -- shown black, not blue, for that reason.</t>
  </si>
  <si>
    <t xml:space="preserve">Exit Cap Spread over Entry — Base Case (bps)</t>
  </si>
  <si>
    <t xml:space="preserve">per instruction: entry + 50bps</t>
  </si>
  <si>
    <t xml:space="preserve">Exit Cap Spread over Entry — Sensitivity Ceiling (bps)</t>
  </si>
  <si>
    <t xml:space="preserve">per instruction: sensitivity extends to +100bps</t>
  </si>
  <si>
    <t xml:space="preserve">Cost of Sale at Exit (%)</t>
  </si>
  <si>
    <t xml:space="preserve">WATERFALL</t>
  </si>
  <si>
    <t xml:space="preserve">Preferred Return % (on ALL investor capital: LP + GP co-invest, pari passu)</t>
  </si>
  <si>
    <t xml:space="preserve">Tier 2 Investor Share (LP + GP co-invest, pro rata)</t>
  </si>
  <si>
    <t xml:space="preserve">Tier 2 GP Promote</t>
  </si>
  <si>
    <t xml:space="preserve">Tier 2 IRR Hurdle (measured on investor capital)</t>
  </si>
  <si>
    <t xml:space="preserve">Tier 3 Investor Share (LP + GP co-invest, pro rata)</t>
  </si>
  <si>
    <t xml:space="preserve">Tier 3 GP Promote</t>
  </si>
  <si>
    <t xml:space="preserve">GP Co-Invest % (pari passu with LP; no fees modeled)</t>
  </si>
  <si>
    <t xml:space="preserve">UNIT MIX / RENT ROLL — 97 units (Broward Property Appraiser); 1BR/1BA reduced 52 -&gt; 51, see note</t>
  </si>
  <si>
    <t xml:space="preserve">75% of units already renovated by prior owner (LoopNet/Crexi). Classic-unit counts below are a proportional allocation of that disclosed 75/25 split across unit types — judgment, not unit-type-level disclosed data. FLAG: total = 97 per Broward Property Appraiser (20 + 18 + 59 units on 3 folios). The listing breakdown (19/52/17/10) sums to 98, so one 1BR/1BA unit (the most common type) was removed, taken from the renovated count. Replace with the actual rent roll.</t>
  </si>
  <si>
    <t xml:space="preserve">Unit Type</t>
  </si>
  <si>
    <t xml:space="preserve">Total Units</t>
  </si>
  <si>
    <t xml:space="preserve">Classic Units</t>
  </si>
  <si>
    <t xml:space="preserve">Renovated Units</t>
  </si>
  <si>
    <t xml:space="preserve">Avg SF</t>
  </si>
  <si>
    <t xml:space="preserve">Classic In-Place Rent/mo</t>
  </si>
  <si>
    <t xml:space="preserve">Renovated In-Place Rent/mo</t>
  </si>
  <si>
    <t xml:space="preserve">Market Rent/mo (at close)</t>
  </si>
  <si>
    <t xml:space="preserve">Studio</t>
  </si>
  <si>
    <t xml:space="preserve">1BR/1BA</t>
  </si>
  <si>
    <t xml:space="preserve">2BR/1BA</t>
  </si>
  <si>
    <t xml:space="preserve">2BR/2BA</t>
  </si>
  <si>
    <t xml:space="preserve">TOTAL / WEIGHTED AVG</t>
  </si>
  <si>
    <t xml:space="preserve">RENOVATION CAPEX BY TYPE (classic units only)</t>
  </si>
  <si>
    <t xml:space="preserve">Cost/Unit</t>
  </si>
  <si>
    <t xml:space="preserve">Total Cost</t>
  </si>
  <si>
    <t xml:space="preserve">TOTAL</t>
  </si>
  <si>
    <t xml:space="preserve">OPERATING MODEL — Annual, 10 Years (property-level, debt-agnostic: identical under Scenario A and B)</t>
  </si>
  <si>
    <t xml:space="preserve">Year</t>
  </si>
  <si>
    <t xml:space="preserve">Calendar Year</t>
  </si>
  <si>
    <t xml:space="preserve">Market Rent Growth (this year)</t>
  </si>
  <si>
    <t xml:space="preserve">MARKET &amp; ACHIEVED RENT BY UNIT TYPE ($/unit/month)</t>
  </si>
  <si>
    <t xml:space="preserve">Studio — Market Rent/mo</t>
  </si>
  <si>
    <t xml:space="preserve">Studio — Classic-Unit Track Rent/mo</t>
  </si>
  <si>
    <t xml:space="preserve">Studio — Prior-Renovated Track Rent/mo</t>
  </si>
  <si>
    <t xml:space="preserve">1BR/1BA — Market Rent/mo</t>
  </si>
  <si>
    <t xml:space="preserve">1BR/1BA — Classic-Unit Track Rent/mo</t>
  </si>
  <si>
    <t xml:space="preserve">1BR/1BA — Prior-Renovated Track Rent/mo</t>
  </si>
  <si>
    <t xml:space="preserve">2BR/1BA — Market Rent/mo</t>
  </si>
  <si>
    <t xml:space="preserve">2BR/1BA — Classic-Unit Track Rent/mo</t>
  </si>
  <si>
    <t xml:space="preserve">2BR/1BA — Prior-Renovated Track Rent/mo</t>
  </si>
  <si>
    <t xml:space="preserve">2BR/2BA — Market Rent/mo</t>
  </si>
  <si>
    <t xml:space="preserve">2BR/2BA — Classic-Unit Track Rent/mo</t>
  </si>
  <si>
    <t xml:space="preserve">2BR/2BA — Prior-Renovated Track Rent/mo</t>
  </si>
  <si>
    <t xml:space="preserve">INCOME</t>
  </si>
  <si>
    <t xml:space="preserve">Gross Potential Rent at Market (all units at market rent)</t>
  </si>
  <si>
    <t xml:space="preserve">Less: Loss-to-Lease (in-place below market; net of renovation premium)</t>
  </si>
  <si>
    <t xml:space="preserve">Gross Scheduled Rent (Market GPR less Loss-to-Lease)</t>
  </si>
  <si>
    <t xml:space="preserve">Less: Physical Vacancy</t>
  </si>
  <si>
    <t xml:space="preserve">Less: Credit Loss</t>
  </si>
  <si>
    <t xml:space="preserve">Less: Concessions</t>
  </si>
  <si>
    <t xml:space="preserve">Plus: Other Income</t>
  </si>
  <si>
    <t xml:space="preserve">Effective Gross Income (EGI)</t>
  </si>
  <si>
    <t xml:space="preserve">OPERATING EXPENSES</t>
  </si>
  <si>
    <t xml:space="preserve">Payroll</t>
  </si>
  <si>
    <t xml:space="preserve">Contract Services</t>
  </si>
  <si>
    <t xml:space="preserve">Utilities (owner-paid)</t>
  </si>
  <si>
    <t xml:space="preserve">Insurance</t>
  </si>
  <si>
    <t xml:space="preserve">Property Tax (reassessed basis, capped growth)</t>
  </si>
  <si>
    <t xml:space="preserve">Non-Ad Valorem Assessments (fire etc., per unit)</t>
  </si>
  <si>
    <t xml:space="preserve">Total Operating Expenses</t>
  </si>
  <si>
    <t xml:space="preserve">NET OPERATING INCOME (NOI)</t>
  </si>
  <si>
    <t xml:space="preserve">  memo: NOI Before Property Tax (for exit valuation)</t>
  </si>
  <si>
    <t xml:space="preserve">BELOW-NOI ITEMS</t>
  </si>
  <si>
    <t xml:space="preserve">Less: Replacement Reserves</t>
  </si>
  <si>
    <t xml:space="preserve">Less: One-Time Capex (roof scenario / recertification)</t>
  </si>
  <si>
    <t xml:space="preserve">UNLEVERED CASH FLOW (before renovation capex, before debt)</t>
  </si>
  <si>
    <t xml:space="preserve">DEBT — SCENARIO B (ALTERNATIVE): new acquisition debt, sized on the binding constraint (no circularity)</t>
  </si>
  <si>
    <t xml:space="preserve">SIZING</t>
  </si>
  <si>
    <t xml:space="preserve">Year 1 NOI (from Operating Model)</t>
  </si>
  <si>
    <t xml:space="preserve">Loan Amount — LTV Constraint</t>
  </si>
  <si>
    <t xml:space="preserve">Loan Amount — Debt Yield Constraint</t>
  </si>
  <si>
    <t xml:space="preserve">Loan Amount — DSCR Constraint (IO-period debt service)</t>
  </si>
  <si>
    <t xml:space="preserve">SIZED LOAN AMOUNT (binding = minimum)</t>
  </si>
  <si>
    <t xml:space="preserve">Binding Constraint</t>
  </si>
  <si>
    <t xml:space="preserve">Resulting LTV</t>
  </si>
  <si>
    <t xml:space="preserve">Resulting Debt Yield</t>
  </si>
  <si>
    <t xml:space="preserve">Resulting DSCR (Year 1, IO)</t>
  </si>
  <si>
    <t xml:space="preserve">AMORTIZATION SCHEDULE (Years 1-5, matching the hold period)</t>
  </si>
  <si>
    <t xml:space="preserve">Beg. Balance</t>
  </si>
  <si>
    <t xml:space="preserve">Interest</t>
  </si>
  <si>
    <t xml:space="preserve">Principal</t>
  </si>
  <si>
    <t xml:space="preserve">Debt Service</t>
  </si>
  <si>
    <t xml:space="preserve">End Balance</t>
  </si>
  <si>
    <t xml:space="preserve">Annual P&amp;I Payment (post-IO)</t>
  </si>
  <si>
    <t xml:space="preserve">CAPITAL — Sources &amp; Uses, SCENARIO B (ALTERNATIVE: new debt). Scenario A S&amp;U is on Returns (Assumed).</t>
  </si>
  <si>
    <t xml:space="preserve">USES</t>
  </si>
  <si>
    <t xml:space="preserve">Purchase Price</t>
  </si>
  <si>
    <t xml:space="preserve">Closing Costs</t>
  </si>
  <si>
    <t xml:space="preserve">Renovation Capex (24 classic units)</t>
  </si>
  <si>
    <t xml:space="preserve">TOTAL USES</t>
  </si>
  <si>
    <t xml:space="preserve">SOURCES</t>
  </si>
  <si>
    <t xml:space="preserve">Senior Loan (sized on Debt tab)</t>
  </si>
  <si>
    <t xml:space="preserve">Sponsor Equity (plug)</t>
  </si>
  <si>
    <t xml:space="preserve">TOTAL SOURCES</t>
  </si>
  <si>
    <t xml:space="preserve">EQUITY SPLIT</t>
  </si>
  <si>
    <t xml:space="preserve">LP Equity</t>
  </si>
  <si>
    <t xml:space="preserve">GP Equity (co-invest)</t>
  </si>
  <si>
    <t xml:space="preserve">CHECK: Sources - Uses</t>
  </si>
  <si>
    <t xml:space="preserve">RETURNS — Unlevered (debt-agnostic) &amp; Levered SCENARIO B (ALTERNATIVE: new debt), 5-Year Hold</t>
  </si>
  <si>
    <t xml:space="preserve">NOI BRIDGE — Broker-Stated -&gt; True In-Place (Day 0) -&gt; Year-1 Forward</t>
  </si>
  <si>
    <t xml:space="preserve">Day-0 = raw in-place rents from Unit Mix, no growth/burn-off/renovation credit. Year-1 Forward = the Operating Model's Year-1 column (includes a partial year of business-plan execution). These are two different concepts; only Day-0 is a conventional 'going-in' NOI.</t>
  </si>
  <si>
    <t xml:space="preserve">Day-0 Gross Potential Rent (raw in-place, no growth/burnoff/capture)</t>
  </si>
  <si>
    <t xml:space="preserve">Day-0 Effective Gross Income</t>
  </si>
  <si>
    <t xml:space="preserve">Fixed Opex Lines (payroll..marketing, ex-mgmt-fee -- identical to Year 1, no growth applied in Year 1)</t>
  </si>
  <si>
    <t xml:space="preserve">Management Fee (3.5% of Day-0 EGI)</t>
  </si>
  <si>
    <t xml:space="preserve">DAY-0 IN-PLACE NOI (reassessed-tax basis)</t>
  </si>
  <si>
    <t xml:space="preserve">Decomposition of the gap to Year-1 Forward NOI (each effect isolated via live counterfactual, not estimated)</t>
  </si>
  <si>
    <t xml:space="preserve">Counterfactual S2 = burn-off ON (55% turnover x 50% burn-off, on the 73 prior-renovated units, toward Year-1's growth-adjusted market rent) but renovation-premium capture OFF (24 classic units stay at raw in-place). Isolates the burn-off effect cleanly because market-rent growth only enters Year-1 GPR THROUGH the burn-off and capture mechanisms -- with both off, growth alone has zero effect on Year-1 (verified).</t>
  </si>
  <si>
    <t xml:space="preserve">  S2 GPR: Day-0 classic (raw in-place) + burn-off-adjusted prior-renovated tracks</t>
  </si>
  <si>
    <t xml:space="preserve">  S2 EGI (same vacancy/credit-loss/concessions/%/other-income rates as Day-0)</t>
  </si>
  <si>
    <t xml:space="preserve">  S2 NOI (Day-0 fixed opex + mgmt fee on S2 EGI)</t>
  </si>
  <si>
    <t xml:space="preserve">  Day-0 In-Place NOI</t>
  </si>
  <si>
    <t xml:space="preserve">  + Loss-to-lease burn-off effect (isolated: S2 NOI - Day-0 NOI)</t>
  </si>
  <si>
    <t xml:space="preserve">  + Renovation-premium partial-year capture effect (isolated: Year-1 actual - S2 NOI)</t>
  </si>
  <si>
    <t xml:space="preserve">  = YEAR-1 FORWARD NOI (Operating Model, ties out exactly)</t>
  </si>
  <si>
    <t xml:space="preserve">CAP RATE, THREE WAYS</t>
  </si>
  <si>
    <t xml:space="preserve">1. Broker-Stated Cap Rate (seller's current tax basis)</t>
  </si>
  <si>
    <t xml:space="preserve">2. In-Place Cap Rate, Day-0, REASSESSED tax (the true going-in number)</t>
  </si>
  <si>
    <t xml:space="preserve">3. Year-1 FORWARD Cap Rate (includes partial-year business plan execution -- NOT a going-in number)</t>
  </si>
  <si>
    <t xml:space="preserve">EXIT VALUATION — tax-adjusted</t>
  </si>
  <si>
    <t xml:space="preserve">Entry Cap Rate ANCHOR for exit-spread convention = #2 above: In-Place, Day-0, reassessed tax (primary/cost-of-sale method)</t>
  </si>
  <si>
    <t xml:space="preserve">Exit Cap Rate — base case (in-place entry + 50bps)</t>
  </si>
  <si>
    <t xml:space="preserve">Exit Cap Rate — sensitivity ceiling (in-place entry + 100bps)</t>
  </si>
  <si>
    <t xml:space="preserve">Effective Tax Rate at Exit (same cost-of-sale factor as entry)</t>
  </si>
  <si>
    <t xml:space="preserve">Forward NOI Before Property Tax (Year 6, for exit)</t>
  </si>
  <si>
    <t xml:space="preserve">EXIT PRICE = Fwd NOI pretax / (Exit Cap + Eff. Tax Rate)</t>
  </si>
  <si>
    <t xml:space="preserve">Less: Cost of Sale</t>
  </si>
  <si>
    <t xml:space="preserve">Less: Loan Payoff (Scenario B Debt tab, End Balance Year 5)</t>
  </si>
  <si>
    <t xml:space="preserve">NET SALE PROCEEDS TO EQUITY — SCENARIO B</t>
  </si>
  <si>
    <t xml:space="preserve">Net Sale Proceeds, UNLEVERED (no loan payoff)</t>
  </si>
  <si>
    <t xml:space="preserve">CASH FLOWS ($) — Year 0 = closing, Years 1-5 = operations + exit in Year 5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</si>
  <si>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</si>
  <si>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</si>
  <si>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</si>
  <si>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</si>
  <si>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</si>
  <si>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</si>
  <si>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Unlevered CF (NOI + reserves + roof/recert capex)</t>
  </si>
  <si>
    <t xml:space="preserve">+ Net Sale Proceeds (Year 5 only, unlevered)</t>
  </si>
  <si>
    <t xml:space="preserve">TOTAL UNLEVERED CASH FLOW TO EQUITY</t>
  </si>
  <si>
    <t xml:space="preserve">Less: Debt Service (Scenario B)</t>
  </si>
  <si>
    <t xml:space="preserve">Levered CF from Operations (Scenario B)</t>
  </si>
  <si>
    <t xml:space="preserve">+ Net Sale Proceeds (Year 5 only, levered, Scenario B)</t>
  </si>
  <si>
    <t xml:space="preserve">TOTAL LEVERED CASH FLOW TO EQUITY — SCENARIO B</t>
  </si>
  <si>
    <t xml:space="preserve">RETURNS SUMMARY</t>
  </si>
  <si>
    <t xml:space="preserve">Total Equity Invested (Year 0, Scenario B)</t>
  </si>
  <si>
    <t xml:space="preserve">Total Uses, All-Cash (Year 0, unlevered basis)</t>
  </si>
  <si>
    <t xml:space="preserve">Unlevered IRR (debt-agnostic)</t>
  </si>
  <si>
    <t xml:space="preserve">Levered IRR — SCENARIO B (alternative, new debt)</t>
  </si>
  <si>
    <t xml:space="preserve">Unlevered Equity Multiple (debt-agnostic)</t>
  </si>
  <si>
    <t xml:space="preserve">Levered Equity Multiple — SCENARIO B (alternative, new debt)</t>
  </si>
  <si>
    <t xml:space="preserve">Peak Equity, Scenario B (single close, no follow-on calls)</t>
  </si>
  <si>
    <t xml:space="preserve">CASH-ON-CASH BY YEAR (levered, Scenario B)</t>
  </si>
  <si>
    <t xml:space="preserve">DEBT (ASSUMED) — SCENARIO A (BASE CASE): broker-disclosed existing loan + refinance at maturity</t>
  </si>
  <si>
    <t xml:space="preserve">First mortgage and supplemental loan sourced from LoopNet/Crexi (see Assumptions). Amortization/IO status is NOT disclosed for either -- Assumptions!assum_io is a labeled judgment toggle. If the first mortgage's maturity (Assumptions!assum_first_maturity_yr) falls inside the 5-year hold, the combined balance is refinanced at that point into new debt sized on Scenario B's generic terms (LTV/DSCR/Debt Yield, whichever binds).</t>
  </si>
  <si>
    <t xml:space="preserve">FIRST MORTGAGE (pre-maturity)</t>
  </si>
  <si>
    <t xml:space="preserve">Beginning Balance</t>
  </si>
  <si>
    <t xml:space="preserve">Principal (0 if IO)</t>
  </si>
  <si>
    <t xml:space="preserve">Ending Balance</t>
  </si>
  <si>
    <t xml:space="preserve">SUPPLEMENTAL LOAN (pre-maturity)</t>
  </si>
  <si>
    <t xml:space="preserve">REFINANCE AT MATURITY (fires the year after Assumptions!assum_first_maturity_yr)</t>
  </si>
  <si>
    <t xml:space="preserve">Payoff Balance (First + Supplemental, at maturity)</t>
  </si>
  <si>
    <t xml:space="preserve">NOI in the refinance year (Operating Model, dynamically indexed)</t>
  </si>
  <si>
    <t xml:space="preserve">Value at Refinance = refi-year NOI / base exit cap (lender appraisal proxy; no reassessment on a refi)</t>
  </si>
  <si>
    <t xml:space="preserve">New Loan — LTV constraint (on value at refinance, not purchase price)</t>
  </si>
  <si>
    <t xml:space="preserve">New Loan — Debt Yield constraint</t>
  </si>
  <si>
    <t xml:space="preserve">New Loan — DSCR constraint (IO-equivalent)</t>
  </si>
  <si>
    <t xml:space="preserve">NEW REFI LOAN AMOUNT (binding = minimum)</t>
  </si>
  <si>
    <t xml:space="preserve">Cash Required / (Released) at Refinance = Payoff - New Loan</t>
  </si>
  <si>
    <t xml:space="preserve">POST-REFINANCE LOAN</t>
  </si>
  <si>
    <t xml:space="preserve">Annual P&amp;I Payment (post-refi IO period)</t>
  </si>
  <si>
    <t xml:space="preserve">Principal (0 during post-refi IO window)</t>
  </si>
  <si>
    <t xml:space="preserve">COMBINED DEBT SERVICE BY YEAR (feeds Returns (Assumed))</t>
  </si>
  <si>
    <t xml:space="preserve">Total Interest</t>
  </si>
  <si>
    <t xml:space="preserve">Total Principal</t>
  </si>
  <si>
    <t xml:space="preserve">TOTAL DEBT SERVICE</t>
  </si>
  <si>
    <t xml:space="preserve">TOTAL ENDING BALANCE</t>
  </si>
  <si>
    <t xml:space="preserve">RETURNS (ASSUMED DEBT) — SCENARIO A (BASE CASE), 5-Year Hold</t>
  </si>
  <si>
    <t xml:space="preserve">Same property, same NOI trajectory as the Scenario B (new-debt) Returns tab -- the only thing that changes here is the debt.</t>
  </si>
  <si>
    <t xml:space="preserve">SOURCES &amp; USES — SCENARIO A</t>
  </si>
  <si>
    <t xml:space="preserve">Loan Assumption Fee</t>
  </si>
  <si>
    <t xml:space="preserve">Total Uses (Scenario B uses + assumption fee)</t>
  </si>
  <si>
    <t xml:space="preserve">Assumed Debt (First + Supplemental, Year-0 balance)</t>
  </si>
  <si>
    <t xml:space="preserve">Sponsor Equity</t>
  </si>
  <si>
    <t xml:space="preserve">  LP Equity (90%)</t>
  </si>
  <si>
    <t xml:space="preserve">  GP Equity (10%, co-invest)</t>
  </si>
  <si>
    <t xml:space="preserve">  memo: vs. Scenario B equity</t>
  </si>
  <si>
    <t xml:space="preserve">EXIT (same NOI/exit-cap mechanics as Scenario B -- only the loan payoff differs)</t>
  </si>
  <si>
    <t xml:space="preserve">Exit Price (same tax-adjusted formula as Scenario B)</t>
  </si>
  <si>
    <t xml:space="preserve">Less: Loan Payoff (Debt (Assumed), Year-5 Total Ending Balance)</t>
  </si>
  <si>
    <t xml:space="preserve">NET SALE PROCEEDS TO EQUITY — SCENARIO A</t>
  </si>
  <si>
    <t xml:space="preserve">Unlevered CF (same as Scenario B -- identical NOI/reserves/capex)</t>
  </si>
  <si>
    <t xml:space="preserve">Less: Debt Service (Debt (Assumed))</t>
  </si>
  <si>
    <t xml:space="preserve">Less: Cash Required at Refinance (new loan &lt; payoff balance; fires in the maturity year only)</t>
  </si>
  <si>
    <t xml:space="preserve">Levered CF from Operations</t>
  </si>
  <si>
    <t xml:space="preserve">+ Net Sale Proceeds (Year 5 only)</t>
  </si>
  <si>
    <t xml:space="preserve">TOTAL LEVERED CASH FLOW TO EQUITY — SCENARIO A</t>
  </si>
  <si>
    <t xml:space="preserve">RETURNS SUMMARY — SCENARIO A (assumed debt)</t>
  </si>
  <si>
    <t xml:space="preserve">Levered IRR — SCENARIO A (BASE CASE)</t>
  </si>
  <si>
    <t xml:space="preserve">Levered Equity Multiple — SCENARIO A (BASE CASE)</t>
  </si>
  <si>
    <t xml:space="preserve">Year-1 Cash-on-Cash — SCENARIO A (BASE CASE)</t>
  </si>
  <si>
    <t xml:space="preserve">Capital Call Required (largest single-year negative levered CF from operations, e.g. refinance shortfall)</t>
  </si>
  <si>
    <t xml:space="preserve">PEAK EQUITY — SCENARIO A (Year-0 equity + capital call)</t>
  </si>
  <si>
    <t xml:space="preserve">WATERFALL — BASE CASE: Scenario A (assumed debt). Pref -&gt; ROC -&gt; Tier 2 -&gt; Tier 3, GP co-invest pari passu</t>
  </si>
  <si>
    <t xml:space="preserve">Structure: all equity (LP 90% + GP co-invest 10%) is ONE investor class, pari passu. Every tier's 'investor' share is split LP/GP pro rata to capital; the GP additionally earns the promote in Tiers 2-3. No fees are modeled. Hurdles are measured on total investor capital with a compounding hurdle balance debited by every investor dollar, which is mathematically the same as the investors reaching exactly that IRR. Tier rates and splits live on Assumptions. A negative year (e.g. the Year-3 refinance capital call) flows through Tier 1 as a pro-rata investor contribution that accrues pref.</t>
  </si>
  <si>
    <t xml:space="preserve">Available Cash for Distribution (Scenario A)</t>
  </si>
  <si>
    <t xml:space="preserve">Investor Capital, Year 0 (LP + GP co-invest)</t>
  </si>
  <si>
    <t xml:space="preserve">  of which LP</t>
  </si>
  <si>
    <t xml:space="preserve">  of which GP co-invest</t>
  </si>
  <si>
    <t xml:space="preserve">TIER 1 — Return of Capital + Preferred Return (100% to investors, pro rata)</t>
  </si>
  <si>
    <t xml:space="preserve">Investor Pref Hurdle Balance, End of Year (compounding at pref rate)</t>
  </si>
  <si>
    <t xml:space="preserve">Tier 1 Distribution to Investors</t>
  </si>
  <si>
    <t xml:space="preserve">Remaining Cash After Tier 1</t>
  </si>
  <si>
    <t xml:space="preserve">TIER 2 — investors / GP promote, until investors reach the Tier 2 IRR hurdle</t>
  </si>
  <si>
    <t xml:space="preserve">Investor Tier-2 Hurdle Balance, End of Year (net of ALL investor $)</t>
  </si>
  <si>
    <t xml:space="preserve">Tier-2 Hurdle Balance After Tier-1 Cash Applied</t>
  </si>
  <si>
    <t xml:space="preserve">Tier 2 Total Distribution</t>
  </si>
  <si>
    <t xml:space="preserve">  Tier 2 to investors</t>
  </si>
  <si>
    <t xml:space="preserve">  Tier 2 GP promote</t>
  </si>
  <si>
    <t xml:space="preserve">Remaining Cash After Tier 2</t>
  </si>
  <si>
    <t xml:space="preserve">TIER 3 — investors / GP promote thereafter</t>
  </si>
  <si>
    <t xml:space="preserve">Tier 3 Total Distribution</t>
  </si>
  <si>
    <t xml:space="preserve">  Tier 3 to investors</t>
  </si>
  <si>
    <t xml:space="preserve">  Tier 3 GP promote</t>
  </si>
  <si>
    <t xml:space="preserve">SPLIT BY PARTY (investor distributions split pro rata to capital; promote to GP)</t>
  </si>
  <si>
    <t xml:space="preserve">Total to Investors (Tier 1 + investor share of Tiers 2-3)</t>
  </si>
  <si>
    <t xml:space="preserve">LP Total Distribution</t>
  </si>
  <si>
    <t xml:space="preserve">GP Co-Invest Distribution (pro rata, same terms as LP)</t>
  </si>
  <si>
    <t xml:space="preserve">GP Promote (Tier 2 + Tier 3)</t>
  </si>
  <si>
    <t xml:space="preserve">GP Total Distribution (co-invest + promote)</t>
  </si>
  <si>
    <t xml:space="preserve">CHECK — LP + GP distributions must equal Available Cash each year</t>
  </si>
  <si>
    <t xml:space="preserve">LP / GP RETURNS (Scenario A)</t>
  </si>
  <si>
    <t xml:space="preserve">LP IRR</t>
  </si>
  <si>
    <t xml:space="preserve">GP IRR (co-invest + promote)</t>
  </si>
  <si>
    <t xml:space="preserve">LP Equity Multiple</t>
  </si>
  <si>
    <t xml:space="preserve">GP Equity Multiple (co-invest + promote)</t>
  </si>
  <si>
    <t xml:space="preserve">Total GP Promote over the hold ($)</t>
  </si>
  <si>
    <t xml:space="preserve">memo: Deal-level Levered IRR (Scenario A) -- LP = GP = this when no promote is earned</t>
  </si>
  <si>
    <t xml:space="preserve">SENSITIVITY — built on SCENARIO B (ALTERNATIVE: new-debt) debt structure; see note</t>
  </si>
  <si>
    <t xml:space="preserve">Each grid is a self-contained proxy calc: Year-1 NOI starts from the Operating Model's base case and is adjusted only for what that table's two axes change (tax, debt sizing, renovation NOI/capex, or a flat rent-growth override); it does not re-run the full unit-by-unit burn-off engine 25 times. Debt is re-sized where price or capex changes; held at the base-case loan where it doesn't. IRR/EM values are pulled from the 'calculation detail' rows near the bottom of this tab. DEBT STRUCTURE IN THESE GRIDS IS SCENARIO B (new debt, 7.10% floating) -- NOT the Scenario A base case. Read them as directional, not as base-case returns.</t>
  </si>
  <si>
    <t xml:space="preserve">TABLE 1 — Exit Cap Rate (rows) x Flat Rent Growth Override (cols) | Levered IRR (top) / Equity Multiple (bottom)</t>
  </si>
  <si>
    <t xml:space="preserve">Exit Cap \ Rent Gr.</t>
  </si>
  <si>
    <t xml:space="preserve">Entry+0bps</t>
  </si>
  <si>
    <t xml:space="preserve">Entry+25bps</t>
  </si>
  <si>
    <t xml:space="preserve">Entry+50bps (base)</t>
  </si>
  <si>
    <t xml:space="preserve">Entry+75bps</t>
  </si>
  <si>
    <t xml:space="preserve">Entry+100bps</t>
  </si>
  <si>
    <t xml:space="preserve">(same grid, Equity Multiple)</t>
  </si>
  <si>
    <t xml:space="preserve">TABLE 2 — Purchase Price (rows) x Exit Cap Spread over Entry (cols) | Levered IRR (top) / Equity Multiple (bottom)</t>
  </si>
  <si>
    <t xml:space="preserve">Price \ Exit Spread</t>
  </si>
  <si>
    <t xml:space="preserve">-10%</t>
  </si>
  <si>
    <t xml:space="preserve">-5%</t>
  </si>
  <si>
    <t xml:space="preserve">Base ($13.8M)</t>
  </si>
  <si>
    <t xml:space="preserve">+5%</t>
  </si>
  <si>
    <t xml:space="preserve">+10%</t>
  </si>
  <si>
    <t xml:space="preserve">TABLE 3 — Renovation Premium/mo (rows) x Renovation Cost/unit (cols) | Levered IRR (top) / Equity Multiple (bottom)</t>
  </si>
  <si>
    <t xml:space="preserve">Premium \ Cost</t>
  </si>
  <si>
    <t xml:space="preserve">-20%</t>
  </si>
  <si>
    <t xml:space="preserve">Base ($20,460)</t>
  </si>
  <si>
    <t xml:space="preserve">+20%</t>
  </si>
  <si>
    <t xml:space="preserve">$0/mo (base)</t>
  </si>
  <si>
    <t xml:space="preserve">$50/mo</t>
  </si>
  <si>
    <t xml:space="preserve">$100/mo</t>
  </si>
  <si>
    <t xml:space="preserve">$175/mo (old base)</t>
  </si>
  <si>
    <t xml:space="preserve">$250/mo</t>
  </si>
  <si>
    <t xml:space="preserve">CALCULATION DETAIL (per-scenario cash flows -- not for review, feeds the grids above)</t>
  </si>
  <si>
    <t xml:space="preserve">Scenario</t>
  </si>
  <si>
    <t xml:space="preserve">IRR</t>
  </si>
  <si>
    <t xml:space="preserve">EM</t>
  </si>
  <si>
    <t xml:space="preserve">T1 Entry+0bps / 1.5%</t>
  </si>
  <si>
    <t xml:space="preserve">T1 Entry+0bps / 2.0%</t>
  </si>
  <si>
    <t xml:space="preserve">T1 Entry+0bps / 2.5%</t>
  </si>
  <si>
    <t xml:space="preserve">T1 Entry+0bps / 3.0%</t>
  </si>
  <si>
    <t xml:space="preserve">T1 Entry+0bps / 3.5%</t>
  </si>
  <si>
    <t xml:space="preserve">T1 Entry+25bps / 1.5%</t>
  </si>
  <si>
    <t xml:space="preserve">T1 Entry+25bps / 2.0%</t>
  </si>
  <si>
    <t xml:space="preserve">T1 Entry+25bps / 2.5%</t>
  </si>
  <si>
    <t xml:space="preserve">T1 Entry+25bps / 3.0%</t>
  </si>
  <si>
    <t xml:space="preserve">T1 Entry+25bps / 3.5%</t>
  </si>
  <si>
    <t xml:space="preserve">T1 Entry+50bps (base) / 1.5%</t>
  </si>
  <si>
    <t xml:space="preserve">T1 Entry+50bps (base) / 2.0%</t>
  </si>
  <si>
    <t xml:space="preserve">T1 Entry+50bps (base) / 2.5%</t>
  </si>
  <si>
    <t xml:space="preserve">T1 Entry+50bps (base) / 3.0%</t>
  </si>
  <si>
    <t xml:space="preserve">T1 Entry+50bps (base) / 3.5%</t>
  </si>
  <si>
    <t xml:space="preserve">T1 Entry+75bps / 1.5%</t>
  </si>
  <si>
    <t xml:space="preserve">T1 Entry+75bps / 2.0%</t>
  </si>
  <si>
    <t xml:space="preserve">T1 Entry+75bps / 2.5%</t>
  </si>
  <si>
    <t xml:space="preserve">T1 Entry+75bps / 3.0%</t>
  </si>
  <si>
    <t xml:space="preserve">T1 Entry+75bps / 3.5%</t>
  </si>
  <si>
    <t xml:space="preserve">T1 Entry+100bps / 1.5%</t>
  </si>
  <si>
    <t xml:space="preserve">T1 Entry+100bps / 2.0%</t>
  </si>
  <si>
    <t xml:space="preserve">T1 Entry+100bps / 2.5%</t>
  </si>
  <si>
    <t xml:space="preserve">T1 Entry+100bps / 3.0%</t>
  </si>
  <si>
    <t xml:space="preserve">T1 Entry+100bps / 3.5%</t>
  </si>
  <si>
    <t xml:space="preserve">T2 -10% / Entry+0bps</t>
  </si>
  <si>
    <t xml:space="preserve">T2 -10% / Entry+25bps</t>
  </si>
  <si>
    <t xml:space="preserve">T2 -10% / Entry+50bps (base)</t>
  </si>
  <si>
    <t xml:space="preserve">T2 -10% / Entry+75bps</t>
  </si>
  <si>
    <t xml:space="preserve">T2 -10% / Entry+100bps</t>
  </si>
  <si>
    <t xml:space="preserve">T2 -5% / Entry+0bps</t>
  </si>
  <si>
    <t xml:space="preserve">T2 -5% / Entry+25bps</t>
  </si>
  <si>
    <t xml:space="preserve">T2 -5% / Entry+50bps (base)</t>
  </si>
  <si>
    <t xml:space="preserve">T2 -5% / Entry+75bps</t>
  </si>
  <si>
    <t xml:space="preserve">T2 -5% / Entry+100bps</t>
  </si>
  <si>
    <t xml:space="preserve">T2 Base ($13.8M) / Entry+0bps</t>
  </si>
  <si>
    <t xml:space="preserve">T2 Base ($13.8M) / Entry+25bps</t>
  </si>
  <si>
    <t xml:space="preserve">T2 Base ($13.8M) / Entry+50bps (base)</t>
  </si>
  <si>
    <t xml:space="preserve">T2 Base ($13.8M) / Entry+75bps</t>
  </si>
  <si>
    <t xml:space="preserve">T2 Base ($13.8M) / Entry+100bps</t>
  </si>
  <si>
    <t xml:space="preserve">T2 +5% / Entry+0bps</t>
  </si>
  <si>
    <t xml:space="preserve">T2 +5% / Entry+25bps</t>
  </si>
  <si>
    <t xml:space="preserve">T2 +5% / Entry+50bps (base)</t>
  </si>
  <si>
    <t xml:space="preserve">T2 +5% / Entry+75bps</t>
  </si>
  <si>
    <t xml:space="preserve">T2 +5% / Entry+100bps</t>
  </si>
  <si>
    <t xml:space="preserve">T2 +10% / Entry+0bps</t>
  </si>
  <si>
    <t xml:space="preserve">T2 +10% / Entry+25bps</t>
  </si>
  <si>
    <t xml:space="preserve">T2 +10% / Entry+50bps (base)</t>
  </si>
  <si>
    <t xml:space="preserve">T2 +10% / Entry+75bps</t>
  </si>
  <si>
    <t xml:space="preserve">T2 +10% / Entry+100bps</t>
  </si>
  <si>
    <t xml:space="preserve">T3 $0/mo (base) / -20%</t>
  </si>
  <si>
    <t xml:space="preserve">T3 $0/mo (base) / -10%</t>
  </si>
  <si>
    <t xml:space="preserve">T3 $0/mo (base) / Base ($20,460)</t>
  </si>
  <si>
    <t xml:space="preserve">T3 $0/mo (base) / +10%</t>
  </si>
  <si>
    <t xml:space="preserve">T3 $0/mo (base) / +20%</t>
  </si>
  <si>
    <t xml:space="preserve">T3 $50/mo / -20%</t>
  </si>
  <si>
    <t xml:space="preserve">T3 $50/mo / -10%</t>
  </si>
  <si>
    <t xml:space="preserve">T3 $50/mo / Base ($20,460)</t>
  </si>
  <si>
    <t xml:space="preserve">T3 $50/mo / +10%</t>
  </si>
  <si>
    <t xml:space="preserve">T3 $50/mo / +20%</t>
  </si>
  <si>
    <t xml:space="preserve">T3 $100/mo / -20%</t>
  </si>
  <si>
    <t xml:space="preserve">T3 $100/mo / -10%</t>
  </si>
  <si>
    <t xml:space="preserve">T3 $100/mo / Base ($20,460)</t>
  </si>
  <si>
    <t xml:space="preserve">T3 $100/mo / +10%</t>
  </si>
  <si>
    <t xml:space="preserve">T3 $100/mo / +20%</t>
  </si>
  <si>
    <t xml:space="preserve">T3 $175/mo (old base) / -20%</t>
  </si>
  <si>
    <t xml:space="preserve">T3 $175/mo (old base) / -10%</t>
  </si>
  <si>
    <t xml:space="preserve">T3 $175/mo (old base) / Base ($20,460)</t>
  </si>
  <si>
    <t xml:space="preserve">T3 $175/mo (old base) / +10%</t>
  </si>
  <si>
    <t xml:space="preserve">T3 $175/mo (old base) / +20%</t>
  </si>
  <si>
    <t xml:space="preserve">T3 $250/mo / -20%</t>
  </si>
  <si>
    <t xml:space="preserve">T3 $250/mo / -10%</t>
  </si>
  <si>
    <t xml:space="preserve">T3 $250/mo / Base ($20,460)</t>
  </si>
  <si>
    <t xml:space="preserve">T3 $250/mo / +10%</t>
  </si>
  <si>
    <t xml:space="preserve">T3 $250/mo / +20%</t>
  </si>
  <si>
    <t xml:space="preserve">CHECKS</t>
  </si>
  <si>
    <t xml:space="preserve">1. SOURCES = USES</t>
  </si>
  <si>
    <t xml:space="preserve">Sources - Uses (Capital tab)</t>
  </si>
  <si>
    <t xml:space="preserve">2. SCENARIO B: LEVERED CF REBUILT FROM OPERATING + DEBT TABS (each year)</t>
  </si>
  <si>
    <t xml:space="preserve">Year 1: (Operating UCF - Debt Svc) - Returns Levered-from-Ops</t>
  </si>
  <si>
    <t xml:space="preserve">Year 2: (Operating UCF - Debt Svc) - Returns Levered-from-Ops</t>
  </si>
  <si>
    <t xml:space="preserve">Year 3: (Operating UCF - Debt Svc) - Returns Levered-from-Ops</t>
  </si>
  <si>
    <t xml:space="preserve">Year 4: (Operating UCF - Debt Svc) - Returns Levered-from-Ops</t>
  </si>
  <si>
    <t xml:space="preserve">Year 5: (Operating UCF - Debt Svc) - Returns Levered-from-Ops</t>
  </si>
  <si>
    <t xml:space="preserve">3. NOI RECOMPUTATION (EGI + Opex - NOI, each year)</t>
  </si>
  <si>
    <t xml:space="preserve">Year 1: EGI+OpexTotal-NOI</t>
  </si>
  <si>
    <t xml:space="preserve">Year 2: EGI+OpexTotal-NOI</t>
  </si>
  <si>
    <t xml:space="preserve">Year 3: EGI+OpexTotal-NOI</t>
  </si>
  <si>
    <t xml:space="preserve">Year 4: EGI+OpexTotal-NOI</t>
  </si>
  <si>
    <t xml:space="preserve">Year 5: EGI+OpexTotal-NOI</t>
  </si>
  <si>
    <t xml:space="preserve">4. SCENARIO A (BASE CASE) WATERFALL DISTRIBUTIONS = AVAILABLE CASH (each year)</t>
  </si>
  <si>
    <t xml:space="preserve">Year 1: LP+GP-Available</t>
  </si>
  <si>
    <t xml:space="preserve">Year 2: LP+GP-Available</t>
  </si>
  <si>
    <t xml:space="preserve">Year 3: LP+GP-Available</t>
  </si>
  <si>
    <t xml:space="preserve">Year 4: LP+GP-Available</t>
  </si>
  <si>
    <t xml:space="preserve">Year 5: LP+GP-Available</t>
  </si>
  <si>
    <t xml:space="preserve">5. SCENARIO A (BASE CASE) WATERFALL HURDLE BALANCES NEVER GO NEGATIVE</t>
  </si>
  <si>
    <t xml:space="preserve">MIN Tier-1 hurdle balance (should be &gt;= 0)</t>
  </si>
  <si>
    <t xml:space="preserve">MIN Tier-2 hurdle balance (should be &gt;= 0)</t>
  </si>
  <si>
    <t xml:space="preserve">6. LP EQUITY + GP EQUITY = TOTAL EQUITY</t>
  </si>
  <si>
    <t xml:space="preserve">Scenario B (Capital tab): LP+GP Equity - Total Equity</t>
  </si>
  <si>
    <t xml:space="preserve">Scenario A (base case, Returns (Assumed) tab): LP+GP Equity - Total Equity</t>
  </si>
  <si>
    <t xml:space="preserve">7. SCENARIO B DEBT SCHEDULE INTERNAL CONSISTENCY</t>
  </si>
  <si>
    <t xml:space="preserve">Loan - Cumulative Principal Paid - Year5 End Balance</t>
  </si>
  <si>
    <t xml:space="preserve">8. NOI BRIDGE TIES OUT (Day-0 + burn-off + capture = Year-1 Forward)</t>
  </si>
  <si>
    <t xml:space="preserve">Bridge sum - Operating Model Year-1 NOI</t>
  </si>
  <si>
    <t xml:space="preserve">9. SCENARIO A DEBT (ASSUMED) SCHEDULE INTERNAL CONSISTENCY (post-refi sub-loan)</t>
  </si>
  <si>
    <t xml:space="preserve">Refi Loan - Cumulative Post-Refi Principal - Year5 Refi End Balance</t>
  </si>
  <si>
    <t xml:space="preserve">10. FORMULA ERROR SCAN</t>
  </si>
  <si>
    <t xml:space="preserve">See Phase 3 verification report for a full-workbook #REF!/#DIV/0!/#VALUE!/#NAME? scan (done via LibreOffice headless recalculation + openpyxl re-read, not a formula on this tab).</t>
  </si>
  <si>
    <t xml:space="preserve">SUMMARY — Parkview Crossing</t>
  </si>
  <si>
    <t xml:space="preserve">97-unit garden apartment community (unit count per Broward Property Appraiser), Pompano Beach, FL, built 1958. Light value-add / core-plus: 75% of units already renovated by the prior owner; this plan finishes the remaining ~24 classic units, burns off loss-to-lease on the rest, and underwrites Florida's post-sale property-tax reassessment (and a tax-adjusted exit) explicitly rather than ignoring them.</t>
  </si>
  <si>
    <t xml:space="preserve">SOURCES &amp; USES — BASE CASE: Scenario A, assumed debt</t>
  </si>
  <si>
    <t xml:space="preserve">Total Uses (incl. loan assumption fee)</t>
  </si>
  <si>
    <t xml:space="preserve">Assumed Debt (First + Supplemental, Year-0)</t>
  </si>
  <si>
    <t xml:space="preserve">  GP Equity (10%)</t>
  </si>
  <si>
    <t xml:space="preserve">Year-3 Capital Call at Refinance (Scenario A)</t>
  </si>
  <si>
    <t xml:space="preserve">PEAK EQUITY (Scenario A)</t>
  </si>
  <si>
    <t xml:space="preserve">KEY METRICS (property-level, same under both debt scenarios unless labeled)</t>
  </si>
  <si>
    <t xml:space="preserve">2. In-Place Cap Rate, Day-0, reassessed tax (TRUE going-in -- anchors the exit cap below)</t>
  </si>
  <si>
    <t xml:space="preserve">3. Year-1 Forward Cap Rate (includes partial-yr business plan -- NOT used for exit-spread convention)</t>
  </si>
  <si>
    <t xml:space="preserve">Exit Cap Rate (base case, In-Place entry + 50bps -- see NOI Bridge on Returns tab)</t>
  </si>
  <si>
    <t xml:space="preserve">Assumed-Debt LTV at Close (fixed balance, not sized)</t>
  </si>
  <si>
    <t xml:space="preserve">Hold Period (structural)</t>
  </si>
  <si>
    <t xml:space="preserve">RETURNS — BASE CASE: Scenario A, assumed debt</t>
  </si>
  <si>
    <t xml:space="preserve">Levered IRR (deal-level, Scenario A)</t>
  </si>
  <si>
    <t xml:space="preserve">Levered Equity Multiple (deal-level, Scenario A)</t>
  </si>
  <si>
    <t xml:space="preserve">LP IRR (Scenario A)</t>
  </si>
  <si>
    <t xml:space="preserve">LP Equity Multiple (Scenario A)</t>
  </si>
  <si>
    <t xml:space="preserve">GP IRR (Scenario A)</t>
  </si>
  <si>
    <t xml:space="preserve">GP Equity Multiple (Scenario A)</t>
  </si>
  <si>
    <t xml:space="preserve">GP Promote earned over hold ($, Scenario A)</t>
  </si>
  <si>
    <t xml:space="preserve">DEBT SCENARIO COMPARISON — deal-level (pre-promote) returns</t>
  </si>
  <si>
    <t xml:space="preserve">A: Assumed Debt (BASE CASE)</t>
  </si>
  <si>
    <t xml:space="preserve">B: New Debt (alternative)</t>
  </si>
  <si>
    <t xml:space="preserve">Year-0 Loan Amount</t>
  </si>
  <si>
    <t xml:space="preserve">Rate</t>
  </si>
  <si>
    <t xml:space="preserve">Sponsor Equity Required</t>
  </si>
  <si>
    <t xml:space="preserve">Levered IRR (deal-level)</t>
  </si>
  <si>
    <t xml:space="preserve">Levered Equity Multiple (deal-level)</t>
  </si>
  <si>
    <t xml:space="preserve">Year-1 Cash-on-Cash</t>
  </si>
  <si>
    <t xml:space="preserve">BID PRICE — max price by target return, BOTH debt scenarios (exit cap frozen at base-case market level)</t>
  </si>
  <si>
    <t xml:space="preserve">Reported from price_solve.py (repo root), which runs the same engine verify_model.py checks line by line against this workbook. Not live formulas: goal-seek is not expressible as static Excel formulas. Re-run the script after any assumption change. Held fixed: exit cap (market level at asking price), assumed loan balances, rents, other opex, reno capex. Moves with price: reassessed tax, closing costs, Scenario B loan (65% LTV), equity (plug).</t>
  </si>
  <si>
    <t xml:space="preserve">Scenario / Target</t>
  </si>
  <si>
    <t xml:space="preserve">Max Price</t>
  </si>
  <si>
    <t xml:space="preserve">$/Unit</t>
  </si>
  <si>
    <t xml:space="preserve">vs $13.8M</t>
  </si>
  <si>
    <t xml:space="preserve">Going-In (In-Place) Cap</t>
  </si>
  <si>
    <t xml:space="preserve">Deal IRR</t>
  </si>
  <si>
    <t xml:space="preserve">Price if exit cap floats</t>
  </si>
  <si>
    <t xml:space="preserve">A (base): LP IRR = 8%</t>
  </si>
  <si>
    <t xml:space="preserve">A (base): Levered IRR = 12%</t>
  </si>
  <si>
    <t xml:space="preserve">A (base): Levered IRR = 15%</t>
  </si>
  <si>
    <t xml:space="preserve">B (alt): LP IRR = 8%</t>
  </si>
  <si>
    <t xml:space="preserve">B (alt): Levered IRR = 12%</t>
  </si>
  <si>
    <t xml:space="preserve">B (alt): Levered IRR = 15%</t>
  </si>
  <si>
    <t xml:space="preserve">All six targets are reachable. Scenario A equity turns negative below ~$8.78M (the fixed $9.45M assumed loan would exceed Total Uses); no solved price is near that floor. With pari passu capital, LP IRR = deal IRR until the 8% pref is met, so target (a) is the same price as an 8% deal IRR.</t>
  </si>
  <si>
    <t xml:space="preserve">DEAL THESIS</t>
  </si>
  <si>
    <t xml:space="preserve">Light value-add / core-plus acquisition of a 1958-vintage, 97-unit Broward County garden apartment community that is 75% already renovated. Return drivers: (1) finishing the ~24 remaining classic units on a bottom-up $20,460/unit scope, (2) loss-to-lease burn-off on units still priced below the broker-disclosed 20.76% market gap, (3) modest, Broward-Class-C-sourced market rent growth capped at 3.0% terminal, and (4) expense discipline given real insurance and property-tax exposure on a 68-year-old building. Property tax is modeled on Florida's actual post-sale reassessment mechanic (Fla. Stat. 193.011(8) cost-of-sale method), and exit value uses a tax-adjusted formula so the exit buyer's own reassessment isn't ignored. Roof condition and the building's 40/50-Year recertification status are undisclosed and treated as flagged diligence items, not assumptions.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</si>
</sst>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\$#,##0"/>
    <numFmt numFmtId="167" formatCode="0.0%"/>
    <numFmt numFmtId="168" formatCode="0.000000"/>
    <numFmt numFmtId="169" formatCode="0.00\x"/>
    <numFmt numFmtId="170" formatCode="0.00\x"/>
    <numFmt numFmtId="171" formatCode="#,##0.00"/>
    <numFmt numFmtId="172" formatCode="0&quot; years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0" t="s">
        <v>3</v>
      </c>
      <c r="C6" s="4" t="n">
        <f aca="false">'Unit Mix'!$B$10</f>
        <v>97</v>
      </c>
      <c r="E6" s="2" t="s">
        <v>4</v>
      </c>
    </row>
    <row r="7" customFormat="false" ht="15" hidden="false" customHeight="false" outlineLevel="0" collapsed="false">
      <c r="A7" s="0" t="s">
        <v>5</v>
      </c>
      <c r="C7" s="5" t="n">
        <v>13800000</v>
      </c>
      <c r="E7" s="2" t="s">
        <v>6</v>
      </c>
    </row>
    <row r="8" customFormat="false" ht="15" hidden="false" customHeight="false" outlineLevel="0" collapsed="false">
      <c r="A8" s="0" t="s">
        <v>7</v>
      </c>
      <c r="C8" s="6" t="n">
        <v>0.07</v>
      </c>
      <c r="E8" s="2" t="s">
        <v>8</v>
      </c>
    </row>
    <row r="9" customFormat="false" ht="15" hidden="false" customHeight="false" outlineLevel="0" collapsed="false">
      <c r="A9" s="0" t="s">
        <v>9</v>
      </c>
      <c r="C9" s="7" t="n">
        <f aca="false">Assumptions!$C$7*Assumptions!$C$8</f>
        <v>966000</v>
      </c>
      <c r="E9" s="2" t="s">
        <v>10</v>
      </c>
    </row>
    <row r="10" customFormat="false" ht="15" hidden="false" customHeight="false" outlineLevel="0" collapsed="false">
      <c r="A10" s="0" t="s">
        <v>11</v>
      </c>
      <c r="C10" s="6" t="n">
        <v>0.015</v>
      </c>
      <c r="E10" s="2" t="s">
        <v>12</v>
      </c>
    </row>
    <row r="11" customFormat="false" ht="15" hidden="false" customHeight="false" outlineLevel="0" collapsed="false">
      <c r="A11" s="0" t="s">
        <v>13</v>
      </c>
      <c r="C11" s="7" t="n">
        <f aca="false">Assumptions!$C$7*Assumptions!$C$10</f>
        <v>207000</v>
      </c>
    </row>
    <row r="13" customFormat="false" ht="15" hidden="false" customHeight="false" outlineLevel="0" collapsed="false">
      <c r="A13" s="3" t="s">
        <v>14</v>
      </c>
      <c r="B13" s="3"/>
      <c r="C13" s="3"/>
      <c r="D13" s="3"/>
      <c r="E13" s="3"/>
      <c r="F13" s="3"/>
    </row>
    <row r="14" customFormat="false" ht="15" hidden="false" customHeight="false" outlineLevel="0" collapsed="false">
      <c r="A14" s="0" t="s">
        <v>15</v>
      </c>
      <c r="C14" s="8" t="n">
        <v>0.020171</v>
      </c>
      <c r="E14" s="2" t="s">
        <v>16</v>
      </c>
    </row>
    <row r="15" customFormat="false" ht="15" hidden="false" customHeight="false" outlineLevel="0" collapsed="false">
      <c r="A15" s="0" t="s">
        <v>17</v>
      </c>
      <c r="C15" s="5" t="n">
        <v>10318700</v>
      </c>
      <c r="E15" s="2" t="s">
        <v>18</v>
      </c>
    </row>
    <row r="16" customFormat="false" ht="15" hidden="false" customHeight="false" outlineLevel="0" collapsed="false">
      <c r="A16" s="0" t="s">
        <v>19</v>
      </c>
      <c r="C16" s="6" t="n">
        <v>0.85</v>
      </c>
      <c r="E16" s="2" t="s">
        <v>20</v>
      </c>
    </row>
    <row r="17" customFormat="false" ht="15" hidden="false" customHeight="false" outlineLevel="0" collapsed="false">
      <c r="A17" s="0" t="s">
        <v>21</v>
      </c>
      <c r="C17" s="6" t="n">
        <v>0.1</v>
      </c>
      <c r="E17" s="2" t="s">
        <v>22</v>
      </c>
    </row>
    <row r="18" customFormat="false" ht="15" hidden="false" customHeight="false" outlineLevel="0" collapsed="false">
      <c r="A18" s="0" t="s">
        <v>23</v>
      </c>
      <c r="C18" s="7" t="n">
        <f aca="false">Assumptions!$C$7*Assumptions!$C$16</f>
        <v>11730000</v>
      </c>
      <c r="E18" s="2" t="s">
        <v>24</v>
      </c>
    </row>
    <row r="19" customFormat="false" ht="15" hidden="false" customHeight="false" outlineLevel="0" collapsed="false">
      <c r="A19" s="0" t="s">
        <v>25</v>
      </c>
      <c r="C19" s="7" t="n">
        <f aca="false">Assumptions!$C$15*Assumptions!$C$14</f>
        <v>208138.4977</v>
      </c>
    </row>
    <row r="20" customFormat="false" ht="15" hidden="false" customHeight="false" outlineLevel="0" collapsed="false">
      <c r="A20" s="0" t="s">
        <v>26</v>
      </c>
      <c r="C20" s="7" t="n">
        <f aca="false">Assumptions!$C$18*Assumptions!$C$14</f>
        <v>236605.83</v>
      </c>
    </row>
    <row r="22" customFormat="false" ht="15" hidden="false" customHeight="false" outlineLevel="0" collapsed="false">
      <c r="A22" s="3" t="s">
        <v>27</v>
      </c>
      <c r="B22" s="3"/>
      <c r="C22" s="3"/>
      <c r="D22" s="3"/>
      <c r="E22" s="3"/>
      <c r="F22" s="3"/>
    </row>
    <row r="23" customFormat="false" ht="15" hidden="false" customHeight="false" outlineLevel="0" collapsed="false">
      <c r="A23" s="0" t="s">
        <v>28</v>
      </c>
      <c r="C23" s="5" t="n">
        <v>7000</v>
      </c>
    </row>
    <row r="24" customFormat="false" ht="15" hidden="false" customHeight="false" outlineLevel="0" collapsed="false">
      <c r="A24" s="0" t="s">
        <v>29</v>
      </c>
      <c r="C24" s="5" t="n">
        <v>3500</v>
      </c>
    </row>
    <row r="25" customFormat="false" ht="15" hidden="false" customHeight="false" outlineLevel="0" collapsed="false">
      <c r="A25" s="0" t="s">
        <v>30</v>
      </c>
      <c r="C25" s="5" t="n">
        <v>1500</v>
      </c>
    </row>
    <row r="26" customFormat="false" ht="15" hidden="false" customHeight="false" outlineLevel="0" collapsed="false">
      <c r="A26" s="0" t="s">
        <v>31</v>
      </c>
      <c r="C26" s="5" t="n">
        <v>400</v>
      </c>
    </row>
    <row r="27" customFormat="false" ht="15" hidden="false" customHeight="false" outlineLevel="0" collapsed="false">
      <c r="A27" s="0" t="s">
        <v>32</v>
      </c>
      <c r="C27" s="5" t="n">
        <v>4000</v>
      </c>
    </row>
    <row r="28" customFormat="false" ht="15" hidden="false" customHeight="false" outlineLevel="0" collapsed="false">
      <c r="A28" s="0" t="s">
        <v>33</v>
      </c>
      <c r="C28" s="5" t="n">
        <v>1200</v>
      </c>
    </row>
    <row r="29" customFormat="false" ht="15" hidden="false" customHeight="false" outlineLevel="0" collapsed="false">
      <c r="A29" s="0" t="s">
        <v>34</v>
      </c>
      <c r="C29" s="5" t="n">
        <v>500</v>
      </c>
    </row>
    <row r="30" customFormat="false" ht="15" hidden="false" customHeight="false" outlineLevel="0" collapsed="false">
      <c r="A30" s="0" t="s">
        <v>35</v>
      </c>
      <c r="C30" s="5" t="n">
        <v>500</v>
      </c>
    </row>
    <row r="31" customFormat="false" ht="15" hidden="false" customHeight="false" outlineLevel="0" collapsed="false">
      <c r="A31" s="0" t="s">
        <v>36</v>
      </c>
      <c r="C31" s="9" t="n">
        <f aca="false">Assumptions!$C$23+Assumptions!$C$24+Assumptions!$C$25+Assumptions!$C$26+Assumptions!$C$27+Assumptions!$C$28+Assumptions!$C$29+Assumptions!$C$30</f>
        <v>18600</v>
      </c>
    </row>
    <row r="32" customFormat="false" ht="15" hidden="false" customHeight="false" outlineLevel="0" collapsed="false">
      <c r="A32" s="0" t="s">
        <v>37</v>
      </c>
      <c r="C32" s="6" t="n">
        <v>0.1</v>
      </c>
    </row>
    <row r="33" customFormat="false" ht="15" hidden="false" customHeight="false" outlineLevel="0" collapsed="false">
      <c r="A33" s="0" t="s">
        <v>38</v>
      </c>
      <c r="C33" s="7" t="n">
        <f aca="false">Assumptions!$C$31*Assumptions!$C$32</f>
        <v>1860</v>
      </c>
    </row>
    <row r="34" customFormat="false" ht="15" hidden="false" customHeight="false" outlineLevel="0" collapsed="false">
      <c r="A34" s="0" t="s">
        <v>39</v>
      </c>
      <c r="C34" s="9" t="n">
        <f aca="false">Assumptions!$C$31+Assumptions!$C$33</f>
        <v>20460</v>
      </c>
    </row>
    <row r="35" customFormat="false" ht="15" hidden="false" customHeight="false" outlineLevel="0" collapsed="false">
      <c r="A35" s="0" t="s">
        <v>40</v>
      </c>
      <c r="C35" s="10" t="n">
        <v>4</v>
      </c>
    </row>
    <row r="36" customFormat="false" ht="15" hidden="false" customHeight="false" outlineLevel="0" collapsed="false">
      <c r="A36" s="0" t="s">
        <v>41</v>
      </c>
      <c r="C36" s="5" t="n">
        <v>0</v>
      </c>
      <c r="E36" s="2" t="s">
        <v>42</v>
      </c>
    </row>
    <row r="37" customFormat="false" ht="15" hidden="false" customHeight="false" outlineLevel="0" collapsed="false">
      <c r="A37" s="0" t="s">
        <v>43</v>
      </c>
      <c r="C37" s="7" t="n">
        <f aca="false">Assumptions!$C$36*12</f>
        <v>0</v>
      </c>
    </row>
    <row r="38" customFormat="false" ht="15" hidden="false" customHeight="false" outlineLevel="0" collapsed="false">
      <c r="A38" s="0" t="s">
        <v>44</v>
      </c>
      <c r="C38" s="6" t="n">
        <v>0.5</v>
      </c>
      <c r="E38" s="2" t="s">
        <v>45</v>
      </c>
    </row>
    <row r="40" customFormat="false" ht="15" hidden="false" customHeight="false" outlineLevel="0" collapsed="false">
      <c r="A40" s="3" t="s">
        <v>46</v>
      </c>
      <c r="B40" s="3"/>
      <c r="C40" s="3"/>
      <c r="D40" s="3"/>
      <c r="E40" s="3"/>
      <c r="F40" s="3"/>
    </row>
    <row r="41" customFormat="false" ht="15" hidden="false" customHeight="false" outlineLevel="0" collapsed="false">
      <c r="A41" s="0" t="s">
        <v>47</v>
      </c>
      <c r="C41" s="6" t="n">
        <v>0.065</v>
      </c>
      <c r="E41" s="2" t="s">
        <v>48</v>
      </c>
    </row>
    <row r="42" customFormat="false" ht="15" hidden="false" customHeight="false" outlineLevel="0" collapsed="false">
      <c r="A42" s="0" t="s">
        <v>49</v>
      </c>
      <c r="C42" s="6" t="n">
        <v>0.01</v>
      </c>
    </row>
    <row r="43" customFormat="false" ht="15" hidden="false" customHeight="false" outlineLevel="0" collapsed="false">
      <c r="A43" s="0" t="s">
        <v>50</v>
      </c>
      <c r="C43" s="6" t="n">
        <v>0.005</v>
      </c>
    </row>
    <row r="44" customFormat="false" ht="15" hidden="false" customHeight="false" outlineLevel="0" collapsed="false">
      <c r="A44" s="0" t="s">
        <v>51</v>
      </c>
      <c r="C44" s="5" t="n">
        <v>35</v>
      </c>
      <c r="E44" s="2" t="s">
        <v>52</v>
      </c>
    </row>
    <row r="45" customFormat="false" ht="15" hidden="false" customHeight="false" outlineLevel="0" collapsed="false">
      <c r="A45" s="0" t="s">
        <v>53</v>
      </c>
      <c r="C45" s="6" t="n">
        <v>0.5</v>
      </c>
      <c r="E45" s="2" t="s">
        <v>54</v>
      </c>
    </row>
    <row r="46" customFormat="false" ht="15" hidden="false" customHeight="false" outlineLevel="0" collapsed="false">
      <c r="A46" s="0" t="s">
        <v>55</v>
      </c>
      <c r="C46" s="6" t="n">
        <v>0.55</v>
      </c>
      <c r="E46" s="2" t="s">
        <v>56</v>
      </c>
    </row>
    <row r="47" customFormat="false" ht="15" hidden="false" customHeight="false" outlineLevel="0" collapsed="false">
      <c r="A47" s="0" t="s">
        <v>57</v>
      </c>
      <c r="C47" s="6" t="n">
        <v>0.65</v>
      </c>
      <c r="E47" s="2" t="s">
        <v>58</v>
      </c>
    </row>
    <row r="49" customFormat="false" ht="15" hidden="false" customHeight="false" outlineLevel="0" collapsed="false">
      <c r="A49" s="3" t="s">
        <v>59</v>
      </c>
      <c r="B49" s="3"/>
      <c r="C49" s="3"/>
      <c r="D49" s="3"/>
      <c r="E49" s="3"/>
      <c r="F49" s="3"/>
    </row>
    <row r="50" customFormat="false" ht="15" hidden="false" customHeight="false" outlineLevel="0" collapsed="false">
      <c r="A50" s="0" t="s">
        <v>60</v>
      </c>
      <c r="C50" s="6" t="n">
        <v>0.01</v>
      </c>
      <c r="E50" s="2" t="s">
        <v>61</v>
      </c>
    </row>
    <row r="51" customFormat="false" ht="15" hidden="false" customHeight="false" outlineLevel="0" collapsed="false">
      <c r="A51" s="0" t="s">
        <v>62</v>
      </c>
      <c r="C51" s="6" t="n">
        <v>0.0175</v>
      </c>
      <c r="E51" s="2" t="s">
        <v>63</v>
      </c>
    </row>
    <row r="52" customFormat="false" ht="15" hidden="false" customHeight="false" outlineLevel="0" collapsed="false">
      <c r="A52" s="0" t="s">
        <v>64</v>
      </c>
      <c r="C52" s="6" t="n">
        <v>0.025</v>
      </c>
      <c r="E52" s="2" t="s">
        <v>63</v>
      </c>
    </row>
    <row r="53" customFormat="false" ht="15" hidden="false" customHeight="false" outlineLevel="0" collapsed="false">
      <c r="A53" s="0" t="s">
        <v>65</v>
      </c>
      <c r="C53" s="6" t="n">
        <v>0.03</v>
      </c>
      <c r="E53" s="2" t="s">
        <v>66</v>
      </c>
    </row>
    <row r="54" customFormat="false" ht="15" hidden="false" customHeight="false" outlineLevel="0" collapsed="false">
      <c r="A54" s="0" t="s">
        <v>67</v>
      </c>
      <c r="C54" s="6" t="n">
        <v>0.03</v>
      </c>
      <c r="E54" s="2" t="s">
        <v>68</v>
      </c>
    </row>
    <row r="55" customFormat="false" ht="15" hidden="false" customHeight="false" outlineLevel="0" collapsed="false">
      <c r="A55" s="0" t="s">
        <v>69</v>
      </c>
      <c r="C55" s="6" t="n">
        <v>0.03</v>
      </c>
      <c r="E55" s="2" t="s">
        <v>68</v>
      </c>
    </row>
    <row r="56" customFormat="false" ht="15" hidden="false" customHeight="false" outlineLevel="0" collapsed="false">
      <c r="A56" s="0" t="s">
        <v>70</v>
      </c>
      <c r="C56" s="6" t="n">
        <v>0.03</v>
      </c>
      <c r="E56" s="2" t="s">
        <v>68</v>
      </c>
    </row>
    <row r="57" customFormat="false" ht="15" hidden="false" customHeight="false" outlineLevel="0" collapsed="false">
      <c r="A57" s="0" t="s">
        <v>71</v>
      </c>
      <c r="C57" s="6" t="n">
        <v>0.03</v>
      </c>
      <c r="E57" s="2" t="s">
        <v>68</v>
      </c>
    </row>
    <row r="58" customFormat="false" ht="15" hidden="false" customHeight="false" outlineLevel="0" collapsed="false">
      <c r="A58" s="0" t="s">
        <v>72</v>
      </c>
      <c r="C58" s="6" t="n">
        <v>0.03</v>
      </c>
      <c r="E58" s="2" t="s">
        <v>68</v>
      </c>
    </row>
    <row r="59" customFormat="false" ht="15" hidden="false" customHeight="false" outlineLevel="0" collapsed="false">
      <c r="A59" s="0" t="s">
        <v>73</v>
      </c>
      <c r="C59" s="6" t="n">
        <v>0.03</v>
      </c>
      <c r="E59" s="2" t="s">
        <v>68</v>
      </c>
    </row>
    <row r="61" customFormat="false" ht="15" hidden="false" customHeight="false" outlineLevel="0" collapsed="false">
      <c r="A61" s="3" t="s">
        <v>74</v>
      </c>
      <c r="B61" s="3"/>
      <c r="C61" s="3"/>
      <c r="D61" s="3"/>
      <c r="E61" s="3"/>
      <c r="F61" s="3"/>
    </row>
    <row r="62" customFormat="false" ht="15" hidden="false" customHeight="false" outlineLevel="0" collapsed="false">
      <c r="A62" s="0" t="s">
        <v>75</v>
      </c>
      <c r="C62" s="6" t="n">
        <v>0.035</v>
      </c>
    </row>
    <row r="63" customFormat="false" ht="15" hidden="false" customHeight="false" outlineLevel="0" collapsed="false">
      <c r="A63" s="0" t="s">
        <v>76</v>
      </c>
      <c r="C63" s="6" t="n">
        <v>0.07</v>
      </c>
      <c r="E63" s="2" t="s">
        <v>77</v>
      </c>
    </row>
    <row r="65" customFormat="false" ht="15" hidden="false" customHeight="false" outlineLevel="0" collapsed="false">
      <c r="A65" s="3" t="s">
        <v>78</v>
      </c>
      <c r="B65" s="3"/>
      <c r="C65" s="3"/>
      <c r="D65" s="3"/>
      <c r="E65" s="3"/>
      <c r="F65" s="3"/>
    </row>
    <row r="66" customFormat="false" ht="15" hidden="false" customHeight="false" outlineLevel="0" collapsed="false">
      <c r="A66" s="0" t="s">
        <v>79</v>
      </c>
      <c r="C66" s="5" t="n">
        <v>1400</v>
      </c>
    </row>
    <row r="67" customFormat="false" ht="15" hidden="false" customHeight="false" outlineLevel="0" collapsed="false">
      <c r="A67" s="0" t="s">
        <v>80</v>
      </c>
      <c r="C67" s="5" t="n">
        <v>1100</v>
      </c>
      <c r="E67" s="2" t="s">
        <v>81</v>
      </c>
    </row>
    <row r="68" customFormat="false" ht="15" hidden="false" customHeight="false" outlineLevel="0" collapsed="false">
      <c r="A68" s="0" t="s">
        <v>82</v>
      </c>
      <c r="C68" s="5" t="n">
        <v>350</v>
      </c>
    </row>
    <row r="69" customFormat="false" ht="15" hidden="false" customHeight="false" outlineLevel="0" collapsed="false">
      <c r="A69" s="0" t="s">
        <v>83</v>
      </c>
      <c r="C69" s="5" t="n">
        <v>450</v>
      </c>
    </row>
    <row r="70" customFormat="false" ht="15" hidden="false" customHeight="false" outlineLevel="0" collapsed="false">
      <c r="A70" s="0" t="s">
        <v>84</v>
      </c>
      <c r="C70" s="5" t="n">
        <v>500</v>
      </c>
    </row>
    <row r="71" customFormat="false" ht="15" hidden="false" customHeight="false" outlineLevel="0" collapsed="false">
      <c r="A71" s="0" t="s">
        <v>85</v>
      </c>
      <c r="C71" s="5" t="n">
        <v>2400</v>
      </c>
      <c r="E71" s="2" t="s">
        <v>86</v>
      </c>
    </row>
    <row r="72" customFormat="false" ht="15" hidden="false" customHeight="false" outlineLevel="0" collapsed="false">
      <c r="A72" s="0" t="s">
        <v>87</v>
      </c>
      <c r="C72" s="5" t="n">
        <v>1900</v>
      </c>
      <c r="E72" s="2" t="s">
        <v>88</v>
      </c>
    </row>
    <row r="73" customFormat="false" ht="15" hidden="false" customHeight="false" outlineLevel="0" collapsed="false">
      <c r="A73" s="0" t="s">
        <v>89</v>
      </c>
      <c r="C73" s="6" t="n">
        <v>0.035</v>
      </c>
    </row>
    <row r="74" customFormat="false" ht="15" hidden="false" customHeight="false" outlineLevel="0" collapsed="false">
      <c r="A74" s="0" t="s">
        <v>90</v>
      </c>
      <c r="C74" s="5" t="n">
        <v>375</v>
      </c>
      <c r="E74" s="2" t="s">
        <v>91</v>
      </c>
    </row>
    <row r="75" customFormat="false" ht="15" hidden="false" customHeight="false" outlineLevel="0" collapsed="false">
      <c r="A75" s="0" t="s">
        <v>92</v>
      </c>
      <c r="C75" s="5" t="n">
        <v>250</v>
      </c>
    </row>
    <row r="76" customFormat="false" ht="15" hidden="false" customHeight="false" outlineLevel="0" collapsed="false">
      <c r="A76" s="0" t="s">
        <v>93</v>
      </c>
      <c r="C76" s="5" t="n">
        <v>150</v>
      </c>
    </row>
    <row r="77" customFormat="false" ht="15" hidden="false" customHeight="false" outlineLevel="0" collapsed="false">
      <c r="A77" s="0" t="s">
        <v>94</v>
      </c>
      <c r="C77" s="5" t="n">
        <v>300</v>
      </c>
    </row>
    <row r="79" customFormat="false" ht="15" hidden="false" customHeight="false" outlineLevel="0" collapsed="false">
      <c r="A79" s="3" t="s">
        <v>95</v>
      </c>
      <c r="B79" s="3"/>
      <c r="C79" s="3"/>
      <c r="D79" s="3"/>
      <c r="E79" s="3"/>
      <c r="F79" s="3"/>
    </row>
    <row r="80" customFormat="false" ht="15" hidden="false" customHeight="false" outlineLevel="0" collapsed="false">
      <c r="A80" s="0" t="s">
        <v>96</v>
      </c>
      <c r="C80" s="10" t="n">
        <v>0</v>
      </c>
    </row>
    <row r="81" customFormat="false" ht="15" hidden="false" customHeight="false" outlineLevel="0" collapsed="false">
      <c r="A81" s="0" t="s">
        <v>97</v>
      </c>
      <c r="C81" s="5" t="n">
        <v>235000</v>
      </c>
      <c r="E81" s="2" t="s">
        <v>98</v>
      </c>
    </row>
    <row r="82" customFormat="false" ht="15" hidden="false" customHeight="false" outlineLevel="0" collapsed="false">
      <c r="A82" s="0" t="s">
        <v>99</v>
      </c>
      <c r="C82" s="10" t="n">
        <v>2</v>
      </c>
      <c r="E82" s="2" t="s">
        <v>100</v>
      </c>
    </row>
    <row r="83" customFormat="false" ht="15" hidden="false" customHeight="false" outlineLevel="0" collapsed="false">
      <c r="A83" s="0" t="s">
        <v>101</v>
      </c>
      <c r="C83" s="5" t="n">
        <v>10000</v>
      </c>
      <c r="E83" s="2" t="s">
        <v>102</v>
      </c>
    </row>
    <row r="84" customFormat="false" ht="15" hidden="false" customHeight="false" outlineLevel="0" collapsed="false">
      <c r="A84" s="0" t="s">
        <v>103</v>
      </c>
      <c r="C84" s="5" t="n">
        <v>150000</v>
      </c>
      <c r="E84" s="2" t="s">
        <v>104</v>
      </c>
    </row>
    <row r="86" customFormat="false" ht="15" hidden="false" customHeight="false" outlineLevel="0" collapsed="false">
      <c r="A86" s="3" t="s">
        <v>105</v>
      </c>
      <c r="B86" s="3"/>
      <c r="C86" s="3"/>
      <c r="D86" s="3"/>
      <c r="E86" s="3"/>
      <c r="F86" s="3"/>
    </row>
    <row r="87" customFormat="false" ht="15" hidden="false" customHeight="false" outlineLevel="0" collapsed="false">
      <c r="A87" s="0" t="s">
        <v>106</v>
      </c>
      <c r="C87" s="6" t="n">
        <v>0.0385</v>
      </c>
      <c r="E87" s="2" t="s">
        <v>107</v>
      </c>
    </row>
    <row r="88" customFormat="false" ht="15" hidden="false" customHeight="false" outlineLevel="0" collapsed="false">
      <c r="A88" s="0" t="s">
        <v>108</v>
      </c>
      <c r="C88" s="6" t="n">
        <v>0.0325</v>
      </c>
    </row>
    <row r="89" customFormat="false" ht="15" hidden="false" customHeight="false" outlineLevel="0" collapsed="false">
      <c r="A89" s="0" t="s">
        <v>109</v>
      </c>
      <c r="C89" s="11" t="n">
        <f aca="false">Assumptions!$C$87+Assumptions!$C$88</f>
        <v>0.071</v>
      </c>
    </row>
    <row r="90" customFormat="false" ht="15" hidden="false" customHeight="false" outlineLevel="0" collapsed="false">
      <c r="A90" s="0" t="s">
        <v>110</v>
      </c>
      <c r="C90" s="6" t="n">
        <v>0.65</v>
      </c>
    </row>
    <row r="91" customFormat="false" ht="15" hidden="false" customHeight="false" outlineLevel="0" collapsed="false">
      <c r="A91" s="0" t="s">
        <v>111</v>
      </c>
      <c r="C91" s="12" t="n">
        <v>1.25</v>
      </c>
    </row>
    <row r="92" customFormat="false" ht="15" hidden="false" customHeight="false" outlineLevel="0" collapsed="false">
      <c r="A92" s="0" t="s">
        <v>112</v>
      </c>
      <c r="C92" s="6" t="n">
        <v>0.08</v>
      </c>
    </row>
    <row r="93" customFormat="false" ht="15" hidden="false" customHeight="false" outlineLevel="0" collapsed="false">
      <c r="A93" s="0" t="s">
        <v>113</v>
      </c>
      <c r="C93" s="10" t="n">
        <v>2</v>
      </c>
    </row>
    <row r="94" customFormat="false" ht="15" hidden="false" customHeight="false" outlineLevel="0" collapsed="false">
      <c r="A94" s="0" t="s">
        <v>114</v>
      </c>
      <c r="C94" s="10" t="n">
        <v>30</v>
      </c>
    </row>
    <row r="96" customFormat="false" ht="15" hidden="false" customHeight="false" outlineLevel="0" collapsed="false">
      <c r="A96" s="3" t="s">
        <v>115</v>
      </c>
      <c r="B96" s="3"/>
      <c r="C96" s="3"/>
      <c r="D96" s="3"/>
      <c r="E96" s="3"/>
      <c r="F96" s="3"/>
    </row>
    <row r="97" customFormat="false" ht="15" hidden="false" customHeight="false" outlineLevel="0" collapsed="false">
      <c r="A97" s="0" t="s">
        <v>116</v>
      </c>
      <c r="C97" s="5" t="n">
        <v>5887000</v>
      </c>
      <c r="E97" s="2" t="s">
        <v>117</v>
      </c>
    </row>
    <row r="98" customFormat="false" ht="15" hidden="false" customHeight="false" outlineLevel="0" collapsed="false">
      <c r="A98" s="0" t="s">
        <v>118</v>
      </c>
      <c r="C98" s="6" t="n">
        <v>0.03</v>
      </c>
      <c r="E98" s="2" t="s">
        <v>119</v>
      </c>
    </row>
    <row r="99" customFormat="false" ht="15" hidden="false" customHeight="false" outlineLevel="0" collapsed="false">
      <c r="A99" s="0" t="s">
        <v>120</v>
      </c>
      <c r="C99" s="10" t="n">
        <v>3</v>
      </c>
      <c r="E99" s="2" t="s">
        <v>121</v>
      </c>
    </row>
    <row r="100" customFormat="false" ht="15" hidden="false" customHeight="false" outlineLevel="0" collapsed="false">
      <c r="A100" s="0" t="s">
        <v>122</v>
      </c>
      <c r="C100" s="5" t="n">
        <v>3563000</v>
      </c>
      <c r="E100" s="2" t="s">
        <v>123</v>
      </c>
    </row>
    <row r="101" customFormat="false" ht="15" hidden="false" customHeight="false" outlineLevel="0" collapsed="false">
      <c r="A101" s="0" t="s">
        <v>124</v>
      </c>
      <c r="C101" s="6" t="n">
        <v>0.062</v>
      </c>
      <c r="E101" s="2" t="s">
        <v>125</v>
      </c>
    </row>
    <row r="102" customFormat="false" ht="15" hidden="false" customHeight="false" outlineLevel="0" collapsed="false">
      <c r="A102" s="0" t="s">
        <v>126</v>
      </c>
      <c r="C102" s="13" t="n">
        <f aca="false">(Assumptions!$C$97*Assumptions!$C$98+Assumptions!$C$100*Assumptions!$C$101)/(Assumptions!$C$97+Assumptions!$C$100)</f>
        <v>0.0420651851851852</v>
      </c>
    </row>
    <row r="103" customFormat="false" ht="15" hidden="false" customHeight="false" outlineLevel="0" collapsed="false">
      <c r="A103" s="0" t="s">
        <v>127</v>
      </c>
      <c r="C103" s="10" t="n">
        <v>1</v>
      </c>
      <c r="E103" s="2" t="s">
        <v>128</v>
      </c>
    </row>
    <row r="104" customFormat="false" ht="15" hidden="false" customHeight="false" outlineLevel="0" collapsed="false">
      <c r="A104" s="0" t="s">
        <v>129</v>
      </c>
      <c r="C104" s="6" t="n">
        <v>0.005</v>
      </c>
      <c r="E104" s="2" t="s">
        <v>130</v>
      </c>
    </row>
    <row r="106" customFormat="false" ht="15" hidden="false" customHeight="false" outlineLevel="0" collapsed="false">
      <c r="A106" s="3" t="s">
        <v>131</v>
      </c>
      <c r="B106" s="3"/>
      <c r="C106" s="3"/>
      <c r="D106" s="3"/>
      <c r="E106" s="3"/>
      <c r="F106" s="3"/>
    </row>
    <row r="107" customFormat="false" ht="15" hidden="false" customHeight="false" outlineLevel="0" collapsed="false">
      <c r="A107" s="0" t="s">
        <v>132</v>
      </c>
      <c r="C107" s="14" t="n">
        <v>5</v>
      </c>
      <c r="E107" s="2" t="s">
        <v>133</v>
      </c>
    </row>
    <row r="108" customFormat="false" ht="15" hidden="false" customHeight="false" outlineLevel="0" collapsed="false">
      <c r="A108" s="0" t="s">
        <v>134</v>
      </c>
      <c r="C108" s="6" t="n">
        <v>0.005</v>
      </c>
      <c r="E108" s="2" t="s">
        <v>135</v>
      </c>
    </row>
    <row r="109" customFormat="false" ht="15" hidden="false" customHeight="false" outlineLevel="0" collapsed="false">
      <c r="A109" s="0" t="s">
        <v>136</v>
      </c>
      <c r="C109" s="6" t="n">
        <v>0.01</v>
      </c>
      <c r="E109" s="2" t="s">
        <v>137</v>
      </c>
    </row>
    <row r="110" customFormat="false" ht="15" hidden="false" customHeight="false" outlineLevel="0" collapsed="false">
      <c r="A110" s="0" t="s">
        <v>138</v>
      </c>
      <c r="C110" s="6" t="n">
        <v>0.02</v>
      </c>
    </row>
    <row r="112" customFormat="false" ht="15" hidden="false" customHeight="false" outlineLevel="0" collapsed="false">
      <c r="A112" s="3" t="s">
        <v>139</v>
      </c>
      <c r="B112" s="3"/>
      <c r="C112" s="3"/>
      <c r="D112" s="3"/>
      <c r="E112" s="3"/>
      <c r="F112" s="3"/>
    </row>
    <row r="113" customFormat="false" ht="15" hidden="false" customHeight="false" outlineLevel="0" collapsed="false">
      <c r="A113" s="0" t="s">
        <v>140</v>
      </c>
      <c r="C113" s="6" t="n">
        <v>0.08</v>
      </c>
    </row>
    <row r="114" customFormat="false" ht="15" hidden="false" customHeight="false" outlineLevel="0" collapsed="false">
      <c r="A114" s="0" t="s">
        <v>141</v>
      </c>
      <c r="C114" s="6" t="n">
        <v>0.7</v>
      </c>
    </row>
    <row r="115" customFormat="false" ht="15" hidden="false" customHeight="false" outlineLevel="0" collapsed="false">
      <c r="A115" s="0" t="s">
        <v>142</v>
      </c>
      <c r="C115" s="6" t="n">
        <v>0.3</v>
      </c>
    </row>
    <row r="116" customFormat="false" ht="15" hidden="false" customHeight="false" outlineLevel="0" collapsed="false">
      <c r="A116" s="0" t="s">
        <v>143</v>
      </c>
      <c r="C116" s="6" t="n">
        <v>0.12</v>
      </c>
    </row>
    <row r="117" customFormat="false" ht="15" hidden="false" customHeight="false" outlineLevel="0" collapsed="false">
      <c r="A117" s="0" t="s">
        <v>144</v>
      </c>
      <c r="C117" s="6" t="n">
        <v>0.5</v>
      </c>
    </row>
    <row r="118" customFormat="false" ht="15" hidden="false" customHeight="false" outlineLevel="0" collapsed="false">
      <c r="A118" s="0" t="s">
        <v>145</v>
      </c>
      <c r="C118" s="6" t="n">
        <v>0.5</v>
      </c>
    </row>
    <row r="119" customFormat="false" ht="15" hidden="false" customHeight="false" outlineLevel="0" collapsed="false">
      <c r="A119" s="0" t="s">
        <v>146</v>
      </c>
      <c r="C119" s="6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1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147</v>
      </c>
    </row>
    <row r="3" customFormat="false" ht="15" hidden="false" customHeight="false" outlineLevel="0" collapsed="false">
      <c r="A3" s="2" t="s">
        <v>148</v>
      </c>
    </row>
    <row r="5" customFormat="false" ht="15" hidden="false" customHeight="false" outlineLevel="0" collapsed="false">
      <c r="A5" s="15" t="s">
        <v>149</v>
      </c>
      <c r="B5" s="15" t="s">
        <v>150</v>
      </c>
      <c r="C5" s="15" t="s">
        <v>151</v>
      </c>
      <c r="D5" s="15" t="s">
        <v>152</v>
      </c>
      <c r="E5" s="15" t="s">
        <v>153</v>
      </c>
      <c r="F5" s="15" t="s">
        <v>154</v>
      </c>
      <c r="G5" s="15" t="s">
        <v>155</v>
      </c>
      <c r="H5" s="15" t="s">
        <v>156</v>
      </c>
    </row>
    <row r="6" customFormat="false" ht="15" hidden="false" customHeight="false" outlineLevel="0" collapsed="false">
      <c r="A6" s="0" t="s">
        <v>157</v>
      </c>
      <c r="B6" s="10" t="n">
        <v>19</v>
      </c>
      <c r="C6" s="10" t="n">
        <v>5</v>
      </c>
      <c r="D6" s="16" t="n">
        <f aca="false">B6-C6</f>
        <v>14</v>
      </c>
      <c r="E6" s="10" t="n">
        <v>645</v>
      </c>
      <c r="F6" s="5" t="n">
        <v>1275</v>
      </c>
      <c r="G6" s="17" t="n">
        <f aca="false">F6+Assumptions!$C$47*(H6-F6)</f>
        <v>1453.75</v>
      </c>
      <c r="H6" s="5" t="n">
        <v>1550</v>
      </c>
    </row>
    <row r="7" customFormat="false" ht="15" hidden="false" customHeight="false" outlineLevel="0" collapsed="false">
      <c r="A7" s="0" t="s">
        <v>158</v>
      </c>
      <c r="B7" s="10" t="n">
        <v>51</v>
      </c>
      <c r="C7" s="10" t="n">
        <v>13</v>
      </c>
      <c r="D7" s="16" t="n">
        <f aca="false">B7-C7</f>
        <v>38</v>
      </c>
      <c r="E7" s="10" t="n">
        <v>685</v>
      </c>
      <c r="F7" s="5" t="n">
        <v>1475</v>
      </c>
      <c r="G7" s="17" t="n">
        <f aca="false">F7+Assumptions!$C$47*(H7-F7)</f>
        <v>1673.25</v>
      </c>
      <c r="H7" s="5" t="n">
        <v>1780</v>
      </c>
    </row>
    <row r="8" customFormat="false" ht="15" hidden="false" customHeight="false" outlineLevel="0" collapsed="false">
      <c r="A8" s="0" t="s">
        <v>159</v>
      </c>
      <c r="B8" s="10" t="n">
        <v>17</v>
      </c>
      <c r="C8" s="10" t="n">
        <v>4</v>
      </c>
      <c r="D8" s="16" t="n">
        <f aca="false">B8-C8</f>
        <v>13</v>
      </c>
      <c r="E8" s="10" t="n">
        <v>740</v>
      </c>
      <c r="F8" s="5" t="n">
        <v>1700</v>
      </c>
      <c r="G8" s="17" t="n">
        <f aca="false">F8+Assumptions!$C$47*(H8-F8)</f>
        <v>1927.5</v>
      </c>
      <c r="H8" s="5" t="n">
        <v>2050</v>
      </c>
    </row>
    <row r="9" customFormat="false" ht="15" hidden="false" customHeight="false" outlineLevel="0" collapsed="false">
      <c r="A9" s="0" t="s">
        <v>160</v>
      </c>
      <c r="B9" s="10" t="n">
        <v>10</v>
      </c>
      <c r="C9" s="10" t="n">
        <v>2</v>
      </c>
      <c r="D9" s="16" t="n">
        <f aca="false">B9-C9</f>
        <v>8</v>
      </c>
      <c r="E9" s="10" t="n">
        <v>740</v>
      </c>
      <c r="F9" s="5" t="n">
        <v>1825</v>
      </c>
      <c r="G9" s="17" t="n">
        <f aca="false">F9+Assumptions!$C$47*(H9-F9)</f>
        <v>2068.75</v>
      </c>
      <c r="H9" s="5" t="n">
        <v>2200</v>
      </c>
    </row>
    <row r="10" customFormat="false" ht="15" hidden="false" customHeight="false" outlineLevel="0" collapsed="false">
      <c r="A10" s="15" t="s">
        <v>161</v>
      </c>
      <c r="B10" s="4" t="n">
        <f aca="false">SUM(B6:B9)</f>
        <v>97</v>
      </c>
      <c r="C10" s="4" t="n">
        <f aca="false">SUM(C6:C9)</f>
        <v>24</v>
      </c>
      <c r="D10" s="4" t="n">
        <f aca="false">SUM(D6:D9)</f>
        <v>73</v>
      </c>
    </row>
    <row r="12" customFormat="false" ht="15" hidden="false" customHeight="false" outlineLevel="0" collapsed="false">
      <c r="A12" s="3" t="s">
        <v>162</v>
      </c>
      <c r="B12" s="3"/>
      <c r="C12" s="3"/>
      <c r="D12" s="3"/>
    </row>
    <row r="13" customFormat="false" ht="15" hidden="false" customHeight="false" outlineLevel="0" collapsed="false">
      <c r="A13" s="15" t="s">
        <v>149</v>
      </c>
      <c r="B13" s="15" t="s">
        <v>151</v>
      </c>
      <c r="C13" s="15" t="s">
        <v>163</v>
      </c>
      <c r="D13" s="15" t="s">
        <v>164</v>
      </c>
    </row>
    <row r="14" customFormat="false" ht="15" hidden="false" customHeight="false" outlineLevel="0" collapsed="false">
      <c r="A14" s="0" t="s">
        <v>157</v>
      </c>
      <c r="B14" s="16" t="n">
        <f aca="false">C6</f>
        <v>5</v>
      </c>
      <c r="C14" s="17" t="n">
        <f aca="false">Assumptions!$C$34</f>
        <v>20460</v>
      </c>
      <c r="D14" s="17" t="n">
        <f aca="false">B14*C14</f>
        <v>102300</v>
      </c>
    </row>
    <row r="15" customFormat="false" ht="15" hidden="false" customHeight="false" outlineLevel="0" collapsed="false">
      <c r="A15" s="0" t="s">
        <v>158</v>
      </c>
      <c r="B15" s="16" t="n">
        <f aca="false">C7</f>
        <v>13</v>
      </c>
      <c r="C15" s="17" t="n">
        <f aca="false">Assumptions!$C$34</f>
        <v>20460</v>
      </c>
      <c r="D15" s="17" t="n">
        <f aca="false">B15*C15</f>
        <v>265980</v>
      </c>
    </row>
    <row r="16" customFormat="false" ht="15" hidden="false" customHeight="false" outlineLevel="0" collapsed="false">
      <c r="A16" s="0" t="s">
        <v>159</v>
      </c>
      <c r="B16" s="16" t="n">
        <f aca="false">C8</f>
        <v>4</v>
      </c>
      <c r="C16" s="17" t="n">
        <f aca="false">Assumptions!$C$34</f>
        <v>20460</v>
      </c>
      <c r="D16" s="17" t="n">
        <f aca="false">B16*C16</f>
        <v>81840</v>
      </c>
    </row>
    <row r="17" customFormat="false" ht="15" hidden="false" customHeight="false" outlineLevel="0" collapsed="false">
      <c r="A17" s="0" t="s">
        <v>160</v>
      </c>
      <c r="B17" s="16" t="n">
        <f aca="false">C9</f>
        <v>2</v>
      </c>
      <c r="C17" s="17" t="n">
        <f aca="false">Assumptions!$C$34</f>
        <v>20460</v>
      </c>
      <c r="D17" s="17" t="n">
        <f aca="false">B17*C17</f>
        <v>40920</v>
      </c>
    </row>
    <row r="18" customFormat="false" ht="15" hidden="false" customHeight="false" outlineLevel="0" collapsed="false">
      <c r="A18" s="15" t="s">
        <v>165</v>
      </c>
      <c r="D18" s="9" t="n">
        <f aca="false">SUM(D14:D17)</f>
        <v>491040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1"/>
  </cols>
  <sheetData>
    <row r="1" customFormat="false" ht="17.35" hidden="false" customHeight="false" outlineLevel="0" collapsed="false">
      <c r="A1" s="1" t="s">
        <v>166</v>
      </c>
    </row>
    <row r="4" customFormat="false" ht="15" hidden="false" customHeight="false" outlineLevel="0" collapsed="false">
      <c r="A4" s="15" t="s">
        <v>167</v>
      </c>
      <c r="B4" s="4" t="n">
        <v>1</v>
      </c>
      <c r="C4" s="4" t="n">
        <v>2</v>
      </c>
      <c r="D4" s="4" t="n">
        <v>3</v>
      </c>
      <c r="E4" s="4" t="n">
        <v>4</v>
      </c>
      <c r="F4" s="4" t="n">
        <v>5</v>
      </c>
      <c r="G4" s="4" t="n">
        <v>6</v>
      </c>
      <c r="H4" s="4" t="n">
        <v>7</v>
      </c>
      <c r="I4" s="4" t="n">
        <v>8</v>
      </c>
      <c r="J4" s="4" t="n">
        <v>9</v>
      </c>
      <c r="K4" s="4" t="n">
        <v>10</v>
      </c>
    </row>
    <row r="5" customFormat="false" ht="15" hidden="false" customHeight="false" outlineLevel="0" collapsed="false">
      <c r="A5" s="0" t="s">
        <v>168</v>
      </c>
      <c r="B5" s="10" t="n">
        <v>2027</v>
      </c>
      <c r="C5" s="16" t="n">
        <f aca="false">B5+1</f>
        <v>2028</v>
      </c>
      <c r="D5" s="16" t="n">
        <f aca="false">C5+1</f>
        <v>2029</v>
      </c>
      <c r="E5" s="16" t="n">
        <f aca="false">D5+1</f>
        <v>2030</v>
      </c>
      <c r="F5" s="16" t="n">
        <f aca="false">E5+1</f>
        <v>2031</v>
      </c>
      <c r="G5" s="16" t="n">
        <f aca="false">F5+1</f>
        <v>2032</v>
      </c>
      <c r="H5" s="16" t="n">
        <f aca="false">G5+1</f>
        <v>2033</v>
      </c>
      <c r="I5" s="16" t="n">
        <f aca="false">H5+1</f>
        <v>2034</v>
      </c>
      <c r="J5" s="16" t="n">
        <f aca="false">I5+1</f>
        <v>2035</v>
      </c>
      <c r="K5" s="16" t="n">
        <f aca="false">J5+1</f>
        <v>2036</v>
      </c>
    </row>
    <row r="6" customFormat="false" ht="15" hidden="false" customHeight="false" outlineLevel="0" collapsed="false">
      <c r="A6" s="0" t="s">
        <v>169</v>
      </c>
      <c r="B6" s="18" t="n">
        <f aca="false">Assumptions!$C$50</f>
        <v>0.01</v>
      </c>
      <c r="C6" s="18" t="n">
        <f aca="false">Assumptions!$C$51</f>
        <v>0.0175</v>
      </c>
      <c r="D6" s="18" t="n">
        <f aca="false">Assumptions!$C$52</f>
        <v>0.025</v>
      </c>
      <c r="E6" s="18" t="n">
        <f aca="false">Assumptions!$C$53</f>
        <v>0.03</v>
      </c>
      <c r="F6" s="18" t="n">
        <f aca="false">Assumptions!$C$54</f>
        <v>0.03</v>
      </c>
      <c r="G6" s="18" t="n">
        <f aca="false">Assumptions!$C$55</f>
        <v>0.03</v>
      </c>
      <c r="H6" s="18" t="n">
        <f aca="false">Assumptions!$C$56</f>
        <v>0.03</v>
      </c>
      <c r="I6" s="18" t="n">
        <f aca="false">Assumptions!$C$57</f>
        <v>0.03</v>
      </c>
      <c r="J6" s="18" t="n">
        <f aca="false">Assumptions!$C$58</f>
        <v>0.03</v>
      </c>
      <c r="K6" s="18" t="n">
        <f aca="false">Assumptions!$C$59</f>
        <v>0.03</v>
      </c>
    </row>
    <row r="8" customFormat="false" ht="15" hidden="false" customHeight="false" outlineLevel="0" collapsed="false">
      <c r="A8" s="3" t="s">
        <v>170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false" outlineLevel="0" collapsed="false">
      <c r="A9" s="15" t="s">
        <v>171</v>
      </c>
      <c r="B9" s="17" t="n">
        <f aca="false">'Unit Mix'!$H$6*(1+B$6)</f>
        <v>1565.5</v>
      </c>
      <c r="C9" s="17" t="n">
        <f aca="false">B9*(1+C$6)</f>
        <v>1592.89625</v>
      </c>
      <c r="D9" s="17" t="n">
        <f aca="false">C9*(1+D$6)</f>
        <v>1632.71865625</v>
      </c>
      <c r="E9" s="17" t="n">
        <f aca="false">D9*(1+E$6)</f>
        <v>1681.7002159375</v>
      </c>
      <c r="F9" s="17" t="n">
        <f aca="false">E9*(1+F$6)</f>
        <v>1732.15122241563</v>
      </c>
      <c r="G9" s="17" t="n">
        <f aca="false">F9*(1+G$6)</f>
        <v>1784.11575908809</v>
      </c>
      <c r="H9" s="17" t="n">
        <f aca="false">G9*(1+H$6)</f>
        <v>1837.63923186074</v>
      </c>
      <c r="I9" s="17" t="n">
        <f aca="false">H9*(1+I$6)</f>
        <v>1892.76840881656</v>
      </c>
      <c r="J9" s="17" t="n">
        <f aca="false">I9*(1+J$6)</f>
        <v>1949.55146108106</v>
      </c>
      <c r="K9" s="17" t="n">
        <f aca="false">J9*(1+K$6)</f>
        <v>2008.03800491349</v>
      </c>
    </row>
    <row r="10" customFormat="false" ht="15" hidden="false" customHeight="false" outlineLevel="0" collapsed="false">
      <c r="A10" s="0" t="s">
        <v>172</v>
      </c>
      <c r="B10" s="17" t="n">
        <f aca="false">'Unit Mix'!$F$6*(1-Assumptions!$C$38)+(B9+Assumptions!$C$36)*Assumptions!$C$38</f>
        <v>1420.25</v>
      </c>
      <c r="C10" s="17" t="n">
        <f aca="false">B10*(1+C$6)</f>
        <v>1445.104375</v>
      </c>
      <c r="D10" s="17" t="n">
        <f aca="false">C10*(1+D$6)</f>
        <v>1481.231984375</v>
      </c>
      <c r="E10" s="17" t="n">
        <f aca="false">D10*(1+E$6)</f>
        <v>1525.66894390625</v>
      </c>
      <c r="F10" s="17" t="n">
        <f aca="false">E10*(1+F$6)</f>
        <v>1571.43901222344</v>
      </c>
      <c r="G10" s="17" t="n">
        <f aca="false">F10*(1+G$6)</f>
        <v>1618.58218259014</v>
      </c>
      <c r="H10" s="17" t="n">
        <f aca="false">G10*(1+H$6)</f>
        <v>1667.13964806784</v>
      </c>
      <c r="I10" s="17" t="n">
        <f aca="false">H10*(1+I$6)</f>
        <v>1717.15383750988</v>
      </c>
      <c r="J10" s="17" t="n">
        <f aca="false">I10*(1+J$6)</f>
        <v>1768.66845263518</v>
      </c>
      <c r="K10" s="17" t="n">
        <f aca="false">J10*(1+K$6)</f>
        <v>1821.72850621423</v>
      </c>
    </row>
    <row r="11" customFormat="false" ht="15" hidden="false" customHeight="false" outlineLevel="0" collapsed="false">
      <c r="A11" s="0" t="s">
        <v>173</v>
      </c>
      <c r="B11" s="17" t="n">
        <f aca="false">'Unit Mix'!$G$6+Assumptions!$C$46*Assumptions!$C$45*(B9-'Unit Mix'!$G$6)</f>
        <v>1484.48125</v>
      </c>
      <c r="C11" s="17" t="n">
        <f aca="false">B11+Assumptions!$C$46*Assumptions!$C$45*(C9-B11)</f>
        <v>1514.295375</v>
      </c>
      <c r="D11" s="17" t="n">
        <f aca="false">C11+Assumptions!$C$46*Assumptions!$C$45*(D9-C11)</f>
        <v>1546.86177734375</v>
      </c>
      <c r="E11" s="17" t="n">
        <f aca="false">D11+Assumptions!$C$46*Assumptions!$C$45*(E9-D11)</f>
        <v>1583.94234795703</v>
      </c>
      <c r="F11" s="17" t="n">
        <f aca="false">E11+Assumptions!$C$46*Assumptions!$C$45*(F9-E11)</f>
        <v>1624.69978843314</v>
      </c>
      <c r="G11" s="17" t="n">
        <f aca="false">F11+Assumptions!$C$46*Assumptions!$C$45*(G9-F11)</f>
        <v>1668.53918036326</v>
      </c>
      <c r="H11" s="17" t="n">
        <f aca="false">G11+Assumptions!$C$46*Assumptions!$C$45*(H9-G11)</f>
        <v>1715.04169452506</v>
      </c>
      <c r="I11" s="17" t="n">
        <f aca="false">H11+Assumptions!$C$46*Assumptions!$C$45*(I9-H11)</f>
        <v>1763.91654095522</v>
      </c>
      <c r="J11" s="17" t="n">
        <f aca="false">I11+Assumptions!$C$46*Assumptions!$C$45*(J9-I11)</f>
        <v>1814.96614398983</v>
      </c>
      <c r="K11" s="17" t="n">
        <f aca="false">J11+Assumptions!$C$46*Assumptions!$C$45*(K9-J11)</f>
        <v>1868.06090574383</v>
      </c>
    </row>
    <row r="12" customFormat="false" ht="15" hidden="false" customHeight="false" outlineLevel="0" collapsed="false">
      <c r="A12" s="15" t="s">
        <v>174</v>
      </c>
      <c r="B12" s="17" t="n">
        <f aca="false">'Unit Mix'!$H$7*(1+B$6)</f>
        <v>1797.8</v>
      </c>
      <c r="C12" s="17" t="n">
        <f aca="false">B12*(1+C$6)</f>
        <v>1829.2615</v>
      </c>
      <c r="D12" s="17" t="n">
        <f aca="false">C12*(1+D$6)</f>
        <v>1874.9930375</v>
      </c>
      <c r="E12" s="17" t="n">
        <f aca="false">D12*(1+E$6)</f>
        <v>1931.242828625</v>
      </c>
      <c r="F12" s="17" t="n">
        <f aca="false">E12*(1+F$6)</f>
        <v>1989.18011348375</v>
      </c>
      <c r="G12" s="17" t="n">
        <f aca="false">F12*(1+G$6)</f>
        <v>2048.85551688826</v>
      </c>
      <c r="H12" s="17" t="n">
        <f aca="false">G12*(1+H$6)</f>
        <v>2110.32118239491</v>
      </c>
      <c r="I12" s="17" t="n">
        <f aca="false">H12*(1+I$6)</f>
        <v>2173.63081786676</v>
      </c>
      <c r="J12" s="17" t="n">
        <f aca="false">I12*(1+J$6)</f>
        <v>2238.83974240276</v>
      </c>
      <c r="K12" s="17" t="n">
        <f aca="false">J12*(1+K$6)</f>
        <v>2306.00493467484</v>
      </c>
    </row>
    <row r="13" customFormat="false" ht="15" hidden="false" customHeight="false" outlineLevel="0" collapsed="false">
      <c r="A13" s="0" t="s">
        <v>175</v>
      </c>
      <c r="B13" s="17" t="n">
        <f aca="false">'Unit Mix'!$F$7*(1-Assumptions!$C$38)+(B12+Assumptions!$C$36)*Assumptions!$C$38</f>
        <v>1636.4</v>
      </c>
      <c r="C13" s="17" t="n">
        <f aca="false">B13*(1+C$6)</f>
        <v>1665.037</v>
      </c>
      <c r="D13" s="17" t="n">
        <f aca="false">C13*(1+D$6)</f>
        <v>1706.662925</v>
      </c>
      <c r="E13" s="17" t="n">
        <f aca="false">D13*(1+E$6)</f>
        <v>1757.86281275</v>
      </c>
      <c r="F13" s="17" t="n">
        <f aca="false">E13*(1+F$6)</f>
        <v>1810.5986971325</v>
      </c>
      <c r="G13" s="17" t="n">
        <f aca="false">F13*(1+G$6)</f>
        <v>1864.91665804648</v>
      </c>
      <c r="H13" s="17" t="n">
        <f aca="false">G13*(1+H$6)</f>
        <v>1920.86415778787</v>
      </c>
      <c r="I13" s="17" t="n">
        <f aca="false">H13*(1+I$6)</f>
        <v>1978.49008252151</v>
      </c>
      <c r="J13" s="17" t="n">
        <f aca="false">I13*(1+J$6)</f>
        <v>2037.84478499715</v>
      </c>
      <c r="K13" s="17" t="n">
        <f aca="false">J13*(1+K$6)</f>
        <v>2098.98012854707</v>
      </c>
    </row>
    <row r="14" customFormat="false" ht="15" hidden="false" customHeight="false" outlineLevel="0" collapsed="false">
      <c r="A14" s="0" t="s">
        <v>176</v>
      </c>
      <c r="B14" s="17" t="n">
        <f aca="false">'Unit Mix'!$G$7+Assumptions!$C$46*Assumptions!$C$45*(B12-'Unit Mix'!$G$7)</f>
        <v>1707.50125</v>
      </c>
      <c r="C14" s="17" t="n">
        <f aca="false">B14+Assumptions!$C$46*Assumptions!$C$45*(C12-B14)</f>
        <v>1740.98531875</v>
      </c>
      <c r="D14" s="17" t="n">
        <f aca="false">C14+Assumptions!$C$46*Assumptions!$C$45*(D12-C14)</f>
        <v>1777.83744140625</v>
      </c>
      <c r="E14" s="17" t="n">
        <f aca="false">D14+Assumptions!$C$46*Assumptions!$C$45*(E12-D14)</f>
        <v>1820.02392289141</v>
      </c>
      <c r="F14" s="17" t="n">
        <f aca="false">E14+Assumptions!$C$46*Assumptions!$C$45*(F12-E14)</f>
        <v>1866.5418753043</v>
      </c>
      <c r="G14" s="17" t="n">
        <f aca="false">F14+Assumptions!$C$46*Assumptions!$C$45*(G12-F14)</f>
        <v>1916.67812673989</v>
      </c>
      <c r="H14" s="17" t="n">
        <f aca="false">G14+Assumptions!$C$46*Assumptions!$C$45*(H12-G14)</f>
        <v>1969.92996704502</v>
      </c>
      <c r="I14" s="17" t="n">
        <f aca="false">H14+Assumptions!$C$46*Assumptions!$C$45*(I12-H14)</f>
        <v>2025.947701021</v>
      </c>
      <c r="J14" s="17" t="n">
        <f aca="false">I14+Assumptions!$C$46*Assumptions!$C$45*(J12-I14)</f>
        <v>2084.49301240098</v>
      </c>
      <c r="K14" s="17" t="n">
        <f aca="false">J14+Assumptions!$C$46*Assumptions!$C$45*(K12-J14)</f>
        <v>2145.40879102629</v>
      </c>
    </row>
    <row r="15" customFormat="false" ht="15" hidden="false" customHeight="false" outlineLevel="0" collapsed="false">
      <c r="A15" s="15" t="s">
        <v>177</v>
      </c>
      <c r="B15" s="17" t="n">
        <f aca="false">'Unit Mix'!$H$8*(1+B$6)</f>
        <v>2070.5</v>
      </c>
      <c r="C15" s="17" t="n">
        <f aca="false">B15*(1+C$6)</f>
        <v>2106.73375</v>
      </c>
      <c r="D15" s="17" t="n">
        <f aca="false">C15*(1+D$6)</f>
        <v>2159.40209375</v>
      </c>
      <c r="E15" s="17" t="n">
        <f aca="false">D15*(1+E$6)</f>
        <v>2224.1841565625</v>
      </c>
      <c r="F15" s="17" t="n">
        <f aca="false">E15*(1+F$6)</f>
        <v>2290.90968125938</v>
      </c>
      <c r="G15" s="17" t="n">
        <f aca="false">F15*(1+G$6)</f>
        <v>2359.63697169716</v>
      </c>
      <c r="H15" s="17" t="n">
        <f aca="false">G15*(1+H$6)</f>
        <v>2430.42608084807</v>
      </c>
      <c r="I15" s="17" t="n">
        <f aca="false">H15*(1+I$6)</f>
        <v>2503.33886327351</v>
      </c>
      <c r="J15" s="17" t="n">
        <f aca="false">I15*(1+J$6)</f>
        <v>2578.43902917172</v>
      </c>
      <c r="K15" s="17" t="n">
        <f aca="false">J15*(1+K$6)</f>
        <v>2655.79220004687</v>
      </c>
    </row>
    <row r="16" customFormat="false" ht="15" hidden="false" customHeight="false" outlineLevel="0" collapsed="false">
      <c r="A16" s="0" t="s">
        <v>178</v>
      </c>
      <c r="B16" s="17" t="n">
        <f aca="false">'Unit Mix'!$F$8*(1-Assumptions!$C$38)+(B15+Assumptions!$C$36)*Assumptions!$C$38</f>
        <v>1885.25</v>
      </c>
      <c r="C16" s="17" t="n">
        <f aca="false">B16*(1+C$6)</f>
        <v>1918.241875</v>
      </c>
      <c r="D16" s="17" t="n">
        <f aca="false">C16*(1+D$6)</f>
        <v>1966.197921875</v>
      </c>
      <c r="E16" s="17" t="n">
        <f aca="false">D16*(1+E$6)</f>
        <v>2025.18385953125</v>
      </c>
      <c r="F16" s="17" t="n">
        <f aca="false">E16*(1+F$6)</f>
        <v>2085.93937531719</v>
      </c>
      <c r="G16" s="17" t="n">
        <f aca="false">F16*(1+G$6)</f>
        <v>2148.5175565767</v>
      </c>
      <c r="H16" s="17" t="n">
        <f aca="false">G16*(1+H$6)</f>
        <v>2212.973083274</v>
      </c>
      <c r="I16" s="17" t="n">
        <f aca="false">H16*(1+I$6)</f>
        <v>2279.36227577222</v>
      </c>
      <c r="J16" s="17" t="n">
        <f aca="false">I16*(1+J$6)</f>
        <v>2347.74314404539</v>
      </c>
      <c r="K16" s="17" t="n">
        <f aca="false">J16*(1+K$6)</f>
        <v>2418.17543836675</v>
      </c>
    </row>
    <row r="17" customFormat="false" ht="15" hidden="false" customHeight="false" outlineLevel="0" collapsed="false">
      <c r="A17" s="0" t="s">
        <v>179</v>
      </c>
      <c r="B17" s="17" t="n">
        <f aca="false">'Unit Mix'!$G$8+Assumptions!$C$46*Assumptions!$C$45*(B15-'Unit Mix'!$G$8)</f>
        <v>1966.825</v>
      </c>
      <c r="C17" s="17" t="n">
        <f aca="false">B17+Assumptions!$C$46*Assumptions!$C$45*(C15-B17)</f>
        <v>2005.29990625</v>
      </c>
      <c r="D17" s="17" t="n">
        <f aca="false">C17+Assumptions!$C$46*Assumptions!$C$45*(D15-C17)</f>
        <v>2047.6780078125</v>
      </c>
      <c r="E17" s="17" t="n">
        <f aca="false">D17+Assumptions!$C$46*Assumptions!$C$45*(E15-D17)</f>
        <v>2096.21719871875</v>
      </c>
      <c r="F17" s="17" t="n">
        <f aca="false">E17+Assumptions!$C$46*Assumptions!$C$45*(F15-E17)</f>
        <v>2149.75763141742</v>
      </c>
      <c r="G17" s="17" t="n">
        <f aca="false">F17+Assumptions!$C$46*Assumptions!$C$45*(G15-F17)</f>
        <v>2207.47444999435</v>
      </c>
      <c r="H17" s="17" t="n">
        <f aca="false">G17+Assumptions!$C$46*Assumptions!$C$45*(H15-G17)</f>
        <v>2268.78614847912</v>
      </c>
      <c r="I17" s="17" t="n">
        <f aca="false">H17+Assumptions!$C$46*Assumptions!$C$45*(I15-H17)</f>
        <v>2333.28814504758</v>
      </c>
      <c r="J17" s="17" t="n">
        <f aca="false">I17+Assumptions!$C$46*Assumptions!$C$45*(J15-I17)</f>
        <v>2400.70463818172</v>
      </c>
      <c r="K17" s="17" t="n">
        <f aca="false">J17+Assumptions!$C$46*Assumptions!$C$45*(K15-J17)</f>
        <v>2470.85371769464</v>
      </c>
    </row>
    <row r="18" customFormat="false" ht="15" hidden="false" customHeight="false" outlineLevel="0" collapsed="false">
      <c r="A18" s="15" t="s">
        <v>180</v>
      </c>
      <c r="B18" s="17" t="n">
        <f aca="false">'Unit Mix'!$H$9*(1+B$6)</f>
        <v>2222</v>
      </c>
      <c r="C18" s="17" t="n">
        <f aca="false">B18*(1+C$6)</f>
        <v>2260.885</v>
      </c>
      <c r="D18" s="17" t="n">
        <f aca="false">C18*(1+D$6)</f>
        <v>2317.407125</v>
      </c>
      <c r="E18" s="17" t="n">
        <f aca="false">D18*(1+E$6)</f>
        <v>2386.92933875</v>
      </c>
      <c r="F18" s="17" t="n">
        <f aca="false">E18*(1+F$6)</f>
        <v>2458.5372189125</v>
      </c>
      <c r="G18" s="17" t="n">
        <f aca="false">F18*(1+G$6)</f>
        <v>2532.29333547988</v>
      </c>
      <c r="H18" s="17" t="n">
        <f aca="false">G18*(1+H$6)</f>
        <v>2608.26213554427</v>
      </c>
      <c r="I18" s="17" t="n">
        <f aca="false">H18*(1+I$6)</f>
        <v>2686.5099996106</v>
      </c>
      <c r="J18" s="17" t="n">
        <f aca="false">I18*(1+J$6)</f>
        <v>2767.10529959892</v>
      </c>
      <c r="K18" s="17" t="n">
        <f aca="false">J18*(1+K$6)</f>
        <v>2850.11845858689</v>
      </c>
    </row>
    <row r="19" customFormat="false" ht="15" hidden="false" customHeight="false" outlineLevel="0" collapsed="false">
      <c r="A19" s="0" t="s">
        <v>181</v>
      </c>
      <c r="B19" s="17" t="n">
        <f aca="false">'Unit Mix'!$F$9*(1-Assumptions!$C$38)+(B18+Assumptions!$C$36)*Assumptions!$C$38</f>
        <v>2023.5</v>
      </c>
      <c r="C19" s="17" t="n">
        <f aca="false">B19*(1+C$6)</f>
        <v>2058.91125</v>
      </c>
      <c r="D19" s="17" t="n">
        <f aca="false">C19*(1+D$6)</f>
        <v>2110.38403125</v>
      </c>
      <c r="E19" s="17" t="n">
        <f aca="false">D19*(1+E$6)</f>
        <v>2173.6955521875</v>
      </c>
      <c r="F19" s="17" t="n">
        <f aca="false">E19*(1+F$6)</f>
        <v>2238.90641875313</v>
      </c>
      <c r="G19" s="17" t="n">
        <f aca="false">F19*(1+G$6)</f>
        <v>2306.07361131572</v>
      </c>
      <c r="H19" s="17" t="n">
        <f aca="false">G19*(1+H$6)</f>
        <v>2375.25581965519</v>
      </c>
      <c r="I19" s="17" t="n">
        <f aca="false">H19*(1+I$6)</f>
        <v>2446.51349424485</v>
      </c>
      <c r="J19" s="17" t="n">
        <f aca="false">I19*(1+J$6)</f>
        <v>2519.90889907219</v>
      </c>
      <c r="K19" s="17" t="n">
        <f aca="false">J19*(1+K$6)</f>
        <v>2595.50616604436</v>
      </c>
    </row>
    <row r="20" customFormat="false" ht="15" hidden="false" customHeight="false" outlineLevel="0" collapsed="false">
      <c r="A20" s="0" t="s">
        <v>182</v>
      </c>
      <c r="B20" s="17" t="n">
        <f aca="false">'Unit Mix'!$G$9+Assumptions!$C$46*Assumptions!$C$45*(B18-'Unit Mix'!$G$9)</f>
        <v>2110.89375</v>
      </c>
      <c r="C20" s="17" t="n">
        <f aca="false">B20+Assumptions!$C$46*Assumptions!$C$45*(C18-B20)</f>
        <v>2152.14134375</v>
      </c>
      <c r="D20" s="17" t="n">
        <f aca="false">C20+Assumptions!$C$46*Assumptions!$C$45*(D18-C20)</f>
        <v>2197.58943359375</v>
      </c>
      <c r="E20" s="17" t="n">
        <f aca="false">D20+Assumptions!$C$46*Assumptions!$C$45*(E18-D20)</f>
        <v>2249.65790751172</v>
      </c>
      <c r="F20" s="17" t="n">
        <f aca="false">E20+Assumptions!$C$46*Assumptions!$C$45*(F18-E20)</f>
        <v>2307.09971814693</v>
      </c>
      <c r="G20" s="17" t="n">
        <f aca="false">F20+Assumptions!$C$46*Assumptions!$C$45*(G18-F20)</f>
        <v>2369.02796291349</v>
      </c>
      <c r="H20" s="17" t="n">
        <f aca="false">G20+Assumptions!$C$46*Assumptions!$C$45*(H18-G20)</f>
        <v>2434.81736038696</v>
      </c>
      <c r="I20" s="17" t="n">
        <f aca="false">H20+Assumptions!$C$46*Assumptions!$C$45*(I18-H20)</f>
        <v>2504.03283617346</v>
      </c>
      <c r="J20" s="17" t="n">
        <f aca="false">I20+Assumptions!$C$46*Assumptions!$C$45*(J18-I20)</f>
        <v>2576.37776361546</v>
      </c>
      <c r="K20" s="17" t="n">
        <f aca="false">J20+Assumptions!$C$46*Assumptions!$C$45*(K18-J20)</f>
        <v>2651.6564547326</v>
      </c>
    </row>
    <row r="22" customFormat="false" ht="15" hidden="false" customHeight="false" outlineLevel="0" collapsed="false">
      <c r="A22" s="3" t="s">
        <v>183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false" outlineLevel="0" collapsed="false">
      <c r="A23" s="15" t="s">
        <v>184</v>
      </c>
      <c r="B23" s="9" t="n">
        <f aca="false">('Unit Mix'!$B$6*B9+'Unit Mix'!$B$7*B12+'Unit Mix'!$B$8*B15+'Unit Mix'!$B$9*B18)*12</f>
        <v>2146209.6</v>
      </c>
      <c r="C23" s="9" t="n">
        <f aca="false">('Unit Mix'!$B$6*C9+'Unit Mix'!$B$7*C12+'Unit Mix'!$B$8*C15+'Unit Mix'!$B$9*C18)*12</f>
        <v>2183768.268</v>
      </c>
      <c r="D23" s="9" t="n">
        <f aca="false">('Unit Mix'!$B$6*D9+'Unit Mix'!$B$7*D12+'Unit Mix'!$B$8*D15+'Unit Mix'!$B$9*D18)*12</f>
        <v>2238362.4747</v>
      </c>
      <c r="E23" s="9" t="n">
        <f aca="false">('Unit Mix'!$B$6*E9+'Unit Mix'!$B$7*E12+'Unit Mix'!$B$8*E15+'Unit Mix'!$B$9*E18)*12</f>
        <v>2305513.348941</v>
      </c>
      <c r="F23" s="9" t="n">
        <f aca="false">('Unit Mix'!$B$6*F9+'Unit Mix'!$B$7*F12+'Unit Mix'!$B$8*F15+'Unit Mix'!$B$9*F18)*12</f>
        <v>2374678.74940923</v>
      </c>
      <c r="G23" s="9" t="n">
        <f aca="false">('Unit Mix'!$B$6*G9+'Unit Mix'!$B$7*G12+'Unit Mix'!$B$8*G15+'Unit Mix'!$B$9*G18)*12</f>
        <v>2445919.11189151</v>
      </c>
      <c r="H23" s="9" t="n">
        <f aca="false">('Unit Mix'!$B$6*H9+'Unit Mix'!$B$7*H12+'Unit Mix'!$B$8*H15+'Unit Mix'!$B$9*H18)*12</f>
        <v>2519296.68524825</v>
      </c>
      <c r="I23" s="9" t="n">
        <f aca="false">('Unit Mix'!$B$6*I9+'Unit Mix'!$B$7*I12+'Unit Mix'!$B$8*I15+'Unit Mix'!$B$9*I18)*12</f>
        <v>2594875.5858057</v>
      </c>
      <c r="J23" s="9" t="n">
        <f aca="false">('Unit Mix'!$B$6*J9+'Unit Mix'!$B$7*J12+'Unit Mix'!$B$8*J15+'Unit Mix'!$B$9*J18)*12</f>
        <v>2672721.85337987</v>
      </c>
      <c r="K23" s="9" t="n">
        <f aca="false">('Unit Mix'!$B$6*K9+'Unit Mix'!$B$7*K12+'Unit Mix'!$B$8*K15+'Unit Mix'!$B$9*K18)*12</f>
        <v>2752903.50898127</v>
      </c>
    </row>
    <row r="24" customFormat="false" ht="15" hidden="false" customHeight="false" outlineLevel="0" collapsed="false">
      <c r="A24" s="0" t="s">
        <v>185</v>
      </c>
      <c r="B24" s="17" t="n">
        <f aca="false">B25-B23</f>
        <v>-129176.28</v>
      </c>
      <c r="C24" s="17" t="n">
        <f aca="false">C25-C23</f>
        <v>-128103.470775</v>
      </c>
      <c r="D24" s="17" t="n">
        <f aca="false">D25-D23</f>
        <v>-137249.41561875</v>
      </c>
      <c r="E24" s="17" t="n">
        <f aca="false">E25-E23</f>
        <v>-151358.829591113</v>
      </c>
      <c r="F24" s="17" t="n">
        <f aca="false">F25-F23</f>
        <v>-163143.744819101</v>
      </c>
      <c r="G24" s="17" t="n">
        <f aca="false">G25-G23</f>
        <v>-173290.066160359</v>
      </c>
      <c r="H24" s="17" t="n">
        <f aca="false">H25-H23</f>
        <v>-182296.474667766</v>
      </c>
      <c r="I24" s="17" t="n">
        <f aca="false">I25-I23</f>
        <v>-190525.956136682</v>
      </c>
      <c r="J24" s="17" t="n">
        <f aca="false">J25-J23</f>
        <v>-198243.160561722</v>
      </c>
      <c r="K24" s="17" t="n">
        <f aca="false">K25-K23</f>
        <v>-205641.489040755</v>
      </c>
    </row>
    <row r="25" customFormat="false" ht="15" hidden="false" customHeight="false" outlineLevel="0" collapsed="false">
      <c r="A25" s="15" t="s">
        <v>186</v>
      </c>
      <c r="B25" s="9" t="n">
        <f aca="false">('Unit Mix'!$C$6*B10+'Unit Mix'!$D$6*B11+'Unit Mix'!$C$7*B13+'Unit Mix'!$D$7*B14+'Unit Mix'!$C$8*B16+'Unit Mix'!$D$8*B17+'Unit Mix'!$C$9*B19+'Unit Mix'!$D$9*B20)*12</f>
        <v>2017033.32</v>
      </c>
      <c r="C25" s="9" t="n">
        <f aca="false">('Unit Mix'!$C$6*C10+'Unit Mix'!$D$6*C11+'Unit Mix'!$C$7*C13+'Unit Mix'!$D$7*C14+'Unit Mix'!$C$8*C16+'Unit Mix'!$D$8*C17+'Unit Mix'!$C$9*C19+'Unit Mix'!$D$9*C20)*12</f>
        <v>2055664.797225</v>
      </c>
      <c r="D25" s="9" t="n">
        <f aca="false">('Unit Mix'!$C$6*D10+'Unit Mix'!$D$6*D11+'Unit Mix'!$C$7*D13+'Unit Mix'!$D$7*D14+'Unit Mix'!$C$8*D16+'Unit Mix'!$D$8*D17+'Unit Mix'!$C$9*D19+'Unit Mix'!$D$9*D20)*12</f>
        <v>2101113.05908125</v>
      </c>
      <c r="E25" s="9" t="n">
        <f aca="false">('Unit Mix'!$C$6*E10+'Unit Mix'!$D$6*E11+'Unit Mix'!$C$7*E13+'Unit Mix'!$D$7*E14+'Unit Mix'!$C$8*E16+'Unit Mix'!$D$8*E17+'Unit Mix'!$C$9*E19+'Unit Mix'!$D$9*E20)*12</f>
        <v>2154154.51934989</v>
      </c>
      <c r="F25" s="9" t="n">
        <f aca="false">('Unit Mix'!$C$6*F10+'Unit Mix'!$D$6*F11+'Unit Mix'!$C$7*F13+'Unit Mix'!$D$7*F14+'Unit Mix'!$C$8*F16+'Unit Mix'!$D$8*F17+'Unit Mix'!$C$9*F19+'Unit Mix'!$D$9*F20)*12</f>
        <v>2211535.00459013</v>
      </c>
      <c r="G25" s="9" t="n">
        <f aca="false">('Unit Mix'!$C$6*G10+'Unit Mix'!$D$6*G11+'Unit Mix'!$C$7*G13+'Unit Mix'!$D$7*G14+'Unit Mix'!$C$8*G16+'Unit Mix'!$D$8*G17+'Unit Mix'!$C$9*G19+'Unit Mix'!$D$9*G20)*12</f>
        <v>2272629.04573115</v>
      </c>
      <c r="H25" s="9" t="n">
        <f aca="false">('Unit Mix'!$C$6*H10+'Unit Mix'!$D$6*H11+'Unit Mix'!$C$7*H13+'Unit Mix'!$D$7*H14+'Unit Mix'!$C$8*H16+'Unit Mix'!$D$8*H17+'Unit Mix'!$C$9*H19+'Unit Mix'!$D$9*H20)*12</f>
        <v>2337000.21058049</v>
      </c>
      <c r="I25" s="9" t="n">
        <f aca="false">('Unit Mix'!$C$6*I10+'Unit Mix'!$D$6*I11+'Unit Mix'!$C$7*I13+'Unit Mix'!$D$7*I14+'Unit Mix'!$C$8*I16+'Unit Mix'!$D$8*I17+'Unit Mix'!$C$9*I19+'Unit Mix'!$D$9*I20)*12</f>
        <v>2404349.62966902</v>
      </c>
      <c r="J25" s="9" t="n">
        <f aca="false">('Unit Mix'!$C$6*J10+'Unit Mix'!$D$6*J11+'Unit Mix'!$C$7*J13+'Unit Mix'!$D$7*J14+'Unit Mix'!$C$8*J16+'Unit Mix'!$D$8*J17+'Unit Mix'!$C$9*J19+'Unit Mix'!$D$9*J20)*12</f>
        <v>2474478.69281815</v>
      </c>
      <c r="K25" s="9" t="n">
        <f aca="false">('Unit Mix'!$C$6*K10+'Unit Mix'!$D$6*K11+'Unit Mix'!$C$7*K13+'Unit Mix'!$D$7*K14+'Unit Mix'!$C$8*K16+'Unit Mix'!$D$8*K17+'Unit Mix'!$C$9*K19+'Unit Mix'!$D$9*K20)*12</f>
        <v>2547262.01994051</v>
      </c>
    </row>
    <row r="26" customFormat="false" ht="15" hidden="false" customHeight="false" outlineLevel="0" collapsed="false">
      <c r="A26" s="0" t="s">
        <v>187</v>
      </c>
      <c r="B26" s="17" t="n">
        <f aca="false">-B25*Assumptions!$C$41</f>
        <v>-131107.1658</v>
      </c>
      <c r="C26" s="17" t="n">
        <f aca="false">-C25*Assumptions!$C$41</f>
        <v>-133618.211819625</v>
      </c>
      <c r="D26" s="17" t="n">
        <f aca="false">-D25*Assumptions!$C$41</f>
        <v>-136572.348840281</v>
      </c>
      <c r="E26" s="17" t="n">
        <f aca="false">-E25*Assumptions!$C$41</f>
        <v>-140020.043757743</v>
      </c>
      <c r="F26" s="17" t="n">
        <f aca="false">-F25*Assumptions!$C$41</f>
        <v>-143749.775298358</v>
      </c>
      <c r="G26" s="17" t="n">
        <f aca="false">-G25*Assumptions!$C$41</f>
        <v>-147720.887972525</v>
      </c>
      <c r="H26" s="17" t="n">
        <f aca="false">-H25*Assumptions!$C$41</f>
        <v>-151905.013687732</v>
      </c>
      <c r="I26" s="17" t="n">
        <f aca="false">-I25*Assumptions!$C$41</f>
        <v>-156282.725928486</v>
      </c>
      <c r="J26" s="17" t="n">
        <f aca="false">-J25*Assumptions!$C$41</f>
        <v>-160841.11503318</v>
      </c>
      <c r="K26" s="17" t="n">
        <f aca="false">-K25*Assumptions!$C$41</f>
        <v>-165572.031296133</v>
      </c>
    </row>
    <row r="27" customFormat="false" ht="15" hidden="false" customHeight="false" outlineLevel="0" collapsed="false">
      <c r="A27" s="0" t="s">
        <v>188</v>
      </c>
      <c r="B27" s="17" t="n">
        <f aca="false">-B25*Assumptions!$C$42</f>
        <v>-20170.3332</v>
      </c>
      <c r="C27" s="17" t="n">
        <f aca="false">-C25*Assumptions!$C$42</f>
        <v>-20556.64797225</v>
      </c>
      <c r="D27" s="17" t="n">
        <f aca="false">-D25*Assumptions!$C$42</f>
        <v>-21011.1305908125</v>
      </c>
      <c r="E27" s="17" t="n">
        <f aca="false">-E25*Assumptions!$C$42</f>
        <v>-21541.5451934989</v>
      </c>
      <c r="F27" s="17" t="n">
        <f aca="false">-F25*Assumptions!$C$42</f>
        <v>-22115.3500459013</v>
      </c>
      <c r="G27" s="17" t="n">
        <f aca="false">-G25*Assumptions!$C$42</f>
        <v>-22726.2904573115</v>
      </c>
      <c r="H27" s="17" t="n">
        <f aca="false">-H25*Assumptions!$C$42</f>
        <v>-23370.0021058049</v>
      </c>
      <c r="I27" s="17" t="n">
        <f aca="false">-I25*Assumptions!$C$42</f>
        <v>-24043.4962966902</v>
      </c>
      <c r="J27" s="17" t="n">
        <f aca="false">-J25*Assumptions!$C$42</f>
        <v>-24744.7869281815</v>
      </c>
      <c r="K27" s="17" t="n">
        <f aca="false">-K25*Assumptions!$C$42</f>
        <v>-25472.6201994051</v>
      </c>
    </row>
    <row r="28" customFormat="false" ht="15" hidden="false" customHeight="false" outlineLevel="0" collapsed="false">
      <c r="A28" s="0" t="s">
        <v>189</v>
      </c>
      <c r="B28" s="17" t="n">
        <f aca="false">-B25*Assumptions!$C$43</f>
        <v>-10085.1666</v>
      </c>
      <c r="C28" s="17" t="n">
        <f aca="false">-C25*Assumptions!$C$43</f>
        <v>-10278.323986125</v>
      </c>
      <c r="D28" s="17" t="n">
        <f aca="false">-D25*Assumptions!$C$43</f>
        <v>-10505.5652954063</v>
      </c>
      <c r="E28" s="17" t="n">
        <f aca="false">-E25*Assumptions!$C$43</f>
        <v>-10770.7725967494</v>
      </c>
      <c r="F28" s="17" t="n">
        <f aca="false">-F25*Assumptions!$C$43</f>
        <v>-11057.6750229506</v>
      </c>
      <c r="G28" s="17" t="n">
        <f aca="false">-G25*Assumptions!$C$43</f>
        <v>-11363.1452286557</v>
      </c>
      <c r="H28" s="17" t="n">
        <f aca="false">-H25*Assumptions!$C$43</f>
        <v>-11685.0010529024</v>
      </c>
      <c r="I28" s="17" t="n">
        <f aca="false">-I25*Assumptions!$C$43</f>
        <v>-12021.7481483451</v>
      </c>
      <c r="J28" s="17" t="n">
        <f aca="false">-J25*Assumptions!$C$43</f>
        <v>-12372.3934640907</v>
      </c>
      <c r="K28" s="17" t="n">
        <f aca="false">-K25*Assumptions!$C$43</f>
        <v>-12736.3100997026</v>
      </c>
    </row>
    <row r="29" customFormat="false" ht="15" hidden="false" customHeight="false" outlineLevel="0" collapsed="false">
      <c r="A29" s="0" t="s">
        <v>190</v>
      </c>
      <c r="B29" s="17" t="n">
        <f aca="false">Assumptions!$C$6*Assumptions!$C$44*12*(1+Assumptions!$C$62)^(B$4-1)</f>
        <v>40740</v>
      </c>
      <c r="C29" s="17" t="n">
        <f aca="false">Assumptions!$C$6*Assumptions!$C$44*12*(1+Assumptions!$C$62)^(C$4-1)</f>
        <v>42165.9</v>
      </c>
      <c r="D29" s="17" t="n">
        <f aca="false">Assumptions!$C$6*Assumptions!$C$44*12*(1+Assumptions!$C$62)^(D$4-1)</f>
        <v>43641.7065</v>
      </c>
      <c r="E29" s="17" t="n">
        <f aca="false">Assumptions!$C$6*Assumptions!$C$44*12*(1+Assumptions!$C$62)^(E$4-1)</f>
        <v>45169.1662275</v>
      </c>
      <c r="F29" s="17" t="n">
        <f aca="false">Assumptions!$C$6*Assumptions!$C$44*12*(1+Assumptions!$C$62)^(F$4-1)</f>
        <v>46750.0870454625</v>
      </c>
      <c r="G29" s="17" t="n">
        <f aca="false">Assumptions!$C$6*Assumptions!$C$44*12*(1+Assumptions!$C$62)^(G$4-1)</f>
        <v>48386.3400920537</v>
      </c>
      <c r="H29" s="17" t="n">
        <f aca="false">Assumptions!$C$6*Assumptions!$C$44*12*(1+Assumptions!$C$62)^(H$4-1)</f>
        <v>50079.8619952755</v>
      </c>
      <c r="I29" s="17" t="n">
        <f aca="false">Assumptions!$C$6*Assumptions!$C$44*12*(1+Assumptions!$C$62)^(I$4-1)</f>
        <v>51832.6571651102</v>
      </c>
      <c r="J29" s="17" t="n">
        <f aca="false">Assumptions!$C$6*Assumptions!$C$44*12*(1+Assumptions!$C$62)^(J$4-1)</f>
        <v>53646.800165889</v>
      </c>
      <c r="K29" s="17" t="n">
        <f aca="false">Assumptions!$C$6*Assumptions!$C$44*12*(1+Assumptions!$C$62)^(K$4-1)</f>
        <v>55524.4381716952</v>
      </c>
    </row>
    <row r="30" customFormat="false" ht="15" hidden="false" customHeight="false" outlineLevel="0" collapsed="false">
      <c r="A30" s="15" t="s">
        <v>191</v>
      </c>
      <c r="B30" s="9" t="n">
        <f aca="false">SUM(B25:B29)</f>
        <v>1896410.6544</v>
      </c>
      <c r="C30" s="9" t="n">
        <f aca="false">SUM(C25:C29)</f>
        <v>1933377.513447</v>
      </c>
      <c r="D30" s="9" t="n">
        <f aca="false">SUM(D25:D29)</f>
        <v>1976665.72085475</v>
      </c>
      <c r="E30" s="9" t="n">
        <f aca="false">SUM(E25:E29)</f>
        <v>2026991.3240294</v>
      </c>
      <c r="F30" s="9" t="n">
        <f aca="false">SUM(F25:F29)</f>
        <v>2081362.29126838</v>
      </c>
      <c r="G30" s="9" t="n">
        <f aca="false">SUM(G25:G29)</f>
        <v>2139205.06216471</v>
      </c>
      <c r="H30" s="9" t="n">
        <f aca="false">SUM(H25:H29)</f>
        <v>2200120.05572932</v>
      </c>
      <c r="I30" s="9" t="n">
        <f aca="false">SUM(I25:I29)</f>
        <v>2263834.31646061</v>
      </c>
      <c r="J30" s="9" t="n">
        <f aca="false">SUM(J25:J29)</f>
        <v>2330167.19755859</v>
      </c>
      <c r="K30" s="9" t="n">
        <f aca="false">SUM(K25:K29)</f>
        <v>2399005.49651697</v>
      </c>
    </row>
    <row r="32" customFormat="false" ht="15" hidden="false" customHeight="false" outlineLevel="0" collapsed="false">
      <c r="A32" s="3" t="s">
        <v>192</v>
      </c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false" outlineLevel="0" collapsed="false">
      <c r="A33" s="0" t="s">
        <v>193</v>
      </c>
      <c r="B33" s="17" t="n">
        <f aca="false">-Assumptions!$C$6*Assumptions!$C$66*(1+Assumptions!$C$62)^(B$4-1)</f>
        <v>-135800</v>
      </c>
      <c r="C33" s="17" t="n">
        <f aca="false">-Assumptions!$C$6*Assumptions!$C$66*(1+Assumptions!$C$62)^(C$4-1)</f>
        <v>-140553</v>
      </c>
      <c r="D33" s="17" t="n">
        <f aca="false">-Assumptions!$C$6*Assumptions!$C$66*(1+Assumptions!$C$62)^(D$4-1)</f>
        <v>-145472.355</v>
      </c>
      <c r="E33" s="17" t="n">
        <f aca="false">-Assumptions!$C$6*Assumptions!$C$66*(1+Assumptions!$C$62)^(E$4-1)</f>
        <v>-150563.887425</v>
      </c>
      <c r="F33" s="17" t="n">
        <f aca="false">-Assumptions!$C$6*Assumptions!$C$66*(1+Assumptions!$C$62)^(F$4-1)</f>
        <v>-155833.623484875</v>
      </c>
      <c r="G33" s="17" t="n">
        <f aca="false">-Assumptions!$C$6*Assumptions!$C$66*(1+Assumptions!$C$62)^(G$4-1)</f>
        <v>-161287.800306846</v>
      </c>
      <c r="H33" s="17" t="n">
        <f aca="false">-Assumptions!$C$6*Assumptions!$C$66*(1+Assumptions!$C$62)^(H$4-1)</f>
        <v>-166932.873317585</v>
      </c>
      <c r="I33" s="17" t="n">
        <f aca="false">-Assumptions!$C$6*Assumptions!$C$66*(1+Assumptions!$C$62)^(I$4-1)</f>
        <v>-172775.523883701</v>
      </c>
      <c r="J33" s="17" t="n">
        <f aca="false">-Assumptions!$C$6*Assumptions!$C$66*(1+Assumptions!$C$62)^(J$4-1)</f>
        <v>-178822.66721963</v>
      </c>
      <c r="K33" s="17" t="n">
        <f aca="false">-Assumptions!$C$6*Assumptions!$C$66*(1+Assumptions!$C$62)^(K$4-1)</f>
        <v>-185081.460572317</v>
      </c>
    </row>
    <row r="34" customFormat="false" ht="15" hidden="false" customHeight="false" outlineLevel="0" collapsed="false">
      <c r="A34" s="0" t="s">
        <v>80</v>
      </c>
      <c r="B34" s="17" t="n">
        <f aca="false">-Assumptions!$C$6*Assumptions!$C$67*(1+Assumptions!$C$62)^(B$4-1)</f>
        <v>-106700</v>
      </c>
      <c r="C34" s="17" t="n">
        <f aca="false">-Assumptions!$C$6*Assumptions!$C$67*(1+Assumptions!$C$62)^(C$4-1)</f>
        <v>-110434.5</v>
      </c>
      <c r="D34" s="17" t="n">
        <f aca="false">-Assumptions!$C$6*Assumptions!$C$67*(1+Assumptions!$C$62)^(D$4-1)</f>
        <v>-114299.7075</v>
      </c>
      <c r="E34" s="17" t="n">
        <f aca="false">-Assumptions!$C$6*Assumptions!$C$67*(1+Assumptions!$C$62)^(E$4-1)</f>
        <v>-118300.1972625</v>
      </c>
      <c r="F34" s="17" t="n">
        <f aca="false">-Assumptions!$C$6*Assumptions!$C$67*(1+Assumptions!$C$62)^(F$4-1)</f>
        <v>-122440.704166687</v>
      </c>
      <c r="G34" s="17" t="n">
        <f aca="false">-Assumptions!$C$6*Assumptions!$C$67*(1+Assumptions!$C$62)^(G$4-1)</f>
        <v>-126726.128812522</v>
      </c>
      <c r="H34" s="17" t="n">
        <f aca="false">-Assumptions!$C$6*Assumptions!$C$67*(1+Assumptions!$C$62)^(H$4-1)</f>
        <v>-131161.54332096</v>
      </c>
      <c r="I34" s="17" t="n">
        <f aca="false">-Assumptions!$C$6*Assumptions!$C$67*(1+Assumptions!$C$62)^(I$4-1)</f>
        <v>-135752.197337193</v>
      </c>
      <c r="J34" s="17" t="n">
        <f aca="false">-Assumptions!$C$6*Assumptions!$C$67*(1+Assumptions!$C$62)^(J$4-1)</f>
        <v>-140503.524243995</v>
      </c>
      <c r="K34" s="17" t="n">
        <f aca="false">-Assumptions!$C$6*Assumptions!$C$67*(1+Assumptions!$C$62)^(K$4-1)</f>
        <v>-145421.147592535</v>
      </c>
    </row>
    <row r="35" customFormat="false" ht="15" hidden="false" customHeight="false" outlineLevel="0" collapsed="false">
      <c r="A35" s="0" t="s">
        <v>82</v>
      </c>
      <c r="B35" s="17" t="n">
        <f aca="false">-Assumptions!$C$6*Assumptions!$C$68*(1+Assumptions!$C$62)^(B$4-1)</f>
        <v>-33950</v>
      </c>
      <c r="C35" s="17" t="n">
        <f aca="false">-Assumptions!$C$6*Assumptions!$C$68*(1+Assumptions!$C$62)^(C$4-1)</f>
        <v>-35138.25</v>
      </c>
      <c r="D35" s="17" t="n">
        <f aca="false">-Assumptions!$C$6*Assumptions!$C$68*(1+Assumptions!$C$62)^(D$4-1)</f>
        <v>-36368.08875</v>
      </c>
      <c r="E35" s="17" t="n">
        <f aca="false">-Assumptions!$C$6*Assumptions!$C$68*(1+Assumptions!$C$62)^(E$4-1)</f>
        <v>-37640.97185625</v>
      </c>
      <c r="F35" s="17" t="n">
        <f aca="false">-Assumptions!$C$6*Assumptions!$C$68*(1+Assumptions!$C$62)^(F$4-1)</f>
        <v>-38958.4058712187</v>
      </c>
      <c r="G35" s="17" t="n">
        <f aca="false">-Assumptions!$C$6*Assumptions!$C$68*(1+Assumptions!$C$62)^(G$4-1)</f>
        <v>-40321.9500767114</v>
      </c>
      <c r="H35" s="17" t="n">
        <f aca="false">-Assumptions!$C$6*Assumptions!$C$68*(1+Assumptions!$C$62)^(H$4-1)</f>
        <v>-41733.2183293963</v>
      </c>
      <c r="I35" s="17" t="n">
        <f aca="false">-Assumptions!$C$6*Assumptions!$C$68*(1+Assumptions!$C$62)^(I$4-1)</f>
        <v>-43193.8809709252</v>
      </c>
      <c r="J35" s="17" t="n">
        <f aca="false">-Assumptions!$C$6*Assumptions!$C$68*(1+Assumptions!$C$62)^(J$4-1)</f>
        <v>-44705.6668049075</v>
      </c>
      <c r="K35" s="17" t="n">
        <f aca="false">-Assumptions!$C$6*Assumptions!$C$68*(1+Assumptions!$C$62)^(K$4-1)</f>
        <v>-46270.3651430793</v>
      </c>
    </row>
    <row r="36" customFormat="false" ht="15" hidden="false" customHeight="false" outlineLevel="0" collapsed="false">
      <c r="A36" s="0" t="s">
        <v>194</v>
      </c>
      <c r="B36" s="17" t="n">
        <f aca="false">-Assumptions!$C$6*Assumptions!$C$69*(1+Assumptions!$C$62)^(B$4-1)</f>
        <v>-43650</v>
      </c>
      <c r="C36" s="17" t="n">
        <f aca="false">-Assumptions!$C$6*Assumptions!$C$69*(1+Assumptions!$C$62)^(C$4-1)</f>
        <v>-45177.75</v>
      </c>
      <c r="D36" s="17" t="n">
        <f aca="false">-Assumptions!$C$6*Assumptions!$C$69*(1+Assumptions!$C$62)^(D$4-1)</f>
        <v>-46758.97125</v>
      </c>
      <c r="E36" s="17" t="n">
        <f aca="false">-Assumptions!$C$6*Assumptions!$C$69*(1+Assumptions!$C$62)^(E$4-1)</f>
        <v>-48395.53524375</v>
      </c>
      <c r="F36" s="17" t="n">
        <f aca="false">-Assumptions!$C$6*Assumptions!$C$69*(1+Assumptions!$C$62)^(F$4-1)</f>
        <v>-50089.3789772812</v>
      </c>
      <c r="G36" s="17" t="n">
        <f aca="false">-Assumptions!$C$6*Assumptions!$C$69*(1+Assumptions!$C$62)^(G$4-1)</f>
        <v>-51842.5072414861</v>
      </c>
      <c r="H36" s="17" t="n">
        <f aca="false">-Assumptions!$C$6*Assumptions!$C$69*(1+Assumptions!$C$62)^(H$4-1)</f>
        <v>-53656.9949949381</v>
      </c>
      <c r="I36" s="17" t="n">
        <f aca="false">-Assumptions!$C$6*Assumptions!$C$69*(1+Assumptions!$C$62)^(I$4-1)</f>
        <v>-55534.9898197609</v>
      </c>
      <c r="J36" s="17" t="n">
        <f aca="false">-Assumptions!$C$6*Assumptions!$C$69*(1+Assumptions!$C$62)^(J$4-1)</f>
        <v>-57478.7144634525</v>
      </c>
      <c r="K36" s="17" t="n">
        <f aca="false">-Assumptions!$C$6*Assumptions!$C$69*(1+Assumptions!$C$62)^(K$4-1)</f>
        <v>-59490.4694696734</v>
      </c>
    </row>
    <row r="37" customFormat="false" ht="15" hidden="false" customHeight="false" outlineLevel="0" collapsed="false">
      <c r="A37" s="0" t="s">
        <v>195</v>
      </c>
      <c r="B37" s="17" t="n">
        <f aca="false">-Assumptions!$C$6*Assumptions!$C$70*(1+Assumptions!$C$62)^(B$4-1)</f>
        <v>-48500</v>
      </c>
      <c r="C37" s="17" t="n">
        <f aca="false">-Assumptions!$C$6*Assumptions!$C$70*(1+Assumptions!$C$62)^(C$4-1)</f>
        <v>-50197.5</v>
      </c>
      <c r="D37" s="17" t="n">
        <f aca="false">-Assumptions!$C$6*Assumptions!$C$70*(1+Assumptions!$C$62)^(D$4-1)</f>
        <v>-51954.4125</v>
      </c>
      <c r="E37" s="17" t="n">
        <f aca="false">-Assumptions!$C$6*Assumptions!$C$70*(1+Assumptions!$C$62)^(E$4-1)</f>
        <v>-53772.8169375</v>
      </c>
      <c r="F37" s="17" t="n">
        <f aca="false">-Assumptions!$C$6*Assumptions!$C$70*(1+Assumptions!$C$62)^(F$4-1)</f>
        <v>-55654.8655303125</v>
      </c>
      <c r="G37" s="17" t="n">
        <f aca="false">-Assumptions!$C$6*Assumptions!$C$70*(1+Assumptions!$C$62)^(G$4-1)</f>
        <v>-57602.7858238734</v>
      </c>
      <c r="H37" s="17" t="n">
        <f aca="false">-Assumptions!$C$6*Assumptions!$C$70*(1+Assumptions!$C$62)^(H$4-1)</f>
        <v>-59618.883327709</v>
      </c>
      <c r="I37" s="17" t="n">
        <f aca="false">-Assumptions!$C$6*Assumptions!$C$70*(1+Assumptions!$C$62)^(I$4-1)</f>
        <v>-61705.5442441788</v>
      </c>
      <c r="J37" s="17" t="n">
        <f aca="false">-Assumptions!$C$6*Assumptions!$C$70*(1+Assumptions!$C$62)^(J$4-1)</f>
        <v>-63865.238292725</v>
      </c>
      <c r="K37" s="17" t="n">
        <f aca="false">-Assumptions!$C$6*Assumptions!$C$70*(1+Assumptions!$C$62)^(K$4-1)</f>
        <v>-66100.5216329704</v>
      </c>
    </row>
    <row r="38" customFormat="false" ht="15" hidden="false" customHeight="false" outlineLevel="0" collapsed="false">
      <c r="A38" s="0" t="s">
        <v>196</v>
      </c>
      <c r="B38" s="17" t="n">
        <f aca="false">-Assumptions!$C$6*(IF(Assumptions!$C$80=1,Assumptions!$C$72,Assumptions!$C$71))*(1+Assumptions!$C$63)^(B$4-1)</f>
        <v>-232800</v>
      </c>
      <c r="C38" s="17" t="n">
        <f aca="false">-Assumptions!$C$6*(IF(Assumptions!$C$80=1,Assumptions!$C$72,Assumptions!$C$71))*(1+Assumptions!$C$63)^(C$4-1)</f>
        <v>-249096</v>
      </c>
      <c r="D38" s="17" t="n">
        <f aca="false">-Assumptions!$C$6*(IF(Assumptions!$C$80=1,Assumptions!$C$72,Assumptions!$C$71))*(1+Assumptions!$C$63)^(D$4-1)</f>
        <v>-266532.72</v>
      </c>
      <c r="E38" s="17" t="n">
        <f aca="false">-Assumptions!$C$6*(IF(Assumptions!$C$80=1,Assumptions!$C$72,Assumptions!$C$71))*(1+Assumptions!$C$63)^(E$4-1)</f>
        <v>-285190.0104</v>
      </c>
      <c r="F38" s="17" t="n">
        <f aca="false">-Assumptions!$C$6*(IF(Assumptions!$C$80=1,Assumptions!$C$72,Assumptions!$C$71))*(1+Assumptions!$C$63)^(F$4-1)</f>
        <v>-305153.311128</v>
      </c>
      <c r="G38" s="17" t="n">
        <f aca="false">-Assumptions!$C$6*(IF(Assumptions!$C$80=1,Assumptions!$C$72,Assumptions!$C$71))*(1+Assumptions!$C$63)^(G$4-1)</f>
        <v>-326514.04290696</v>
      </c>
      <c r="H38" s="17" t="n">
        <f aca="false">-Assumptions!$C$6*(IF(Assumptions!$C$80=1,Assumptions!$C$72,Assumptions!$C$71))*(1+Assumptions!$C$63)^(H$4-1)</f>
        <v>-349370.025910447</v>
      </c>
      <c r="I38" s="17" t="n">
        <f aca="false">-Assumptions!$C$6*(IF(Assumptions!$C$80=1,Assumptions!$C$72,Assumptions!$C$71))*(1+Assumptions!$C$63)^(I$4-1)</f>
        <v>-373825.927724179</v>
      </c>
      <c r="J38" s="17" t="n">
        <f aca="false">-Assumptions!$C$6*(IF(Assumptions!$C$80=1,Assumptions!$C$72,Assumptions!$C$71))*(1+Assumptions!$C$63)^(J$4-1)</f>
        <v>-399993.742664871</v>
      </c>
      <c r="K38" s="17" t="n">
        <f aca="false">-Assumptions!$C$6*(IF(Assumptions!$C$80=1,Assumptions!$C$72,Assumptions!$C$71))*(1+Assumptions!$C$63)^(K$4-1)</f>
        <v>-427993.304651412</v>
      </c>
    </row>
    <row r="39" customFormat="false" ht="15" hidden="false" customHeight="false" outlineLevel="0" collapsed="false">
      <c r="A39" s="0" t="s">
        <v>197</v>
      </c>
      <c r="B39" s="17" t="n">
        <f aca="false">-Assumptions!$C$20</f>
        <v>-236605.83</v>
      </c>
      <c r="C39" s="17" t="n">
        <f aca="false">B39*(1+Assumptions!$C$17)</f>
        <v>-260266.413</v>
      </c>
      <c r="D39" s="17" t="n">
        <f aca="false">C39*(1+Assumptions!$C$17)</f>
        <v>-286293.0543</v>
      </c>
      <c r="E39" s="17" t="n">
        <f aca="false">D39*(1+Assumptions!$C$17)</f>
        <v>-314922.35973</v>
      </c>
      <c r="F39" s="17" t="n">
        <f aca="false">E39*(1+Assumptions!$C$17)</f>
        <v>-346414.595703</v>
      </c>
      <c r="G39" s="17" t="n">
        <f aca="false">F39*(1+Assumptions!$C$17)</f>
        <v>-381056.0552733</v>
      </c>
      <c r="H39" s="17" t="n">
        <f aca="false">G39*(1+Assumptions!$C$17)</f>
        <v>-419161.66080063</v>
      </c>
      <c r="I39" s="17" t="n">
        <f aca="false">H39*(1+Assumptions!$C$17)</f>
        <v>-461077.826880693</v>
      </c>
      <c r="J39" s="17" t="n">
        <f aca="false">I39*(1+Assumptions!$C$17)</f>
        <v>-507185.609568763</v>
      </c>
      <c r="K39" s="17" t="n">
        <f aca="false">J39*(1+Assumptions!$C$17)</f>
        <v>-557904.170525639</v>
      </c>
    </row>
    <row r="40" customFormat="false" ht="15" hidden="false" customHeight="false" outlineLevel="0" collapsed="false">
      <c r="A40" s="0" t="s">
        <v>198</v>
      </c>
      <c r="B40" s="17" t="n">
        <f aca="false">-Assumptions!$C$6*Assumptions!$C$74*(1+Assumptions!$C$62)^(B$4-1)</f>
        <v>-36375</v>
      </c>
      <c r="C40" s="17" t="n">
        <f aca="false">-Assumptions!$C$6*Assumptions!$C$74*(1+Assumptions!$C$62)^(C$4-1)</f>
        <v>-37648.125</v>
      </c>
      <c r="D40" s="17" t="n">
        <f aca="false">-Assumptions!$C$6*Assumptions!$C$74*(1+Assumptions!$C$62)^(D$4-1)</f>
        <v>-38965.809375</v>
      </c>
      <c r="E40" s="17" t="n">
        <f aca="false">-Assumptions!$C$6*Assumptions!$C$74*(1+Assumptions!$C$62)^(E$4-1)</f>
        <v>-40329.612703125</v>
      </c>
      <c r="F40" s="17" t="n">
        <f aca="false">-Assumptions!$C$6*Assumptions!$C$74*(1+Assumptions!$C$62)^(F$4-1)</f>
        <v>-41741.1491477344</v>
      </c>
      <c r="G40" s="17" t="n">
        <f aca="false">-Assumptions!$C$6*Assumptions!$C$74*(1+Assumptions!$C$62)^(G$4-1)</f>
        <v>-43202.0893679051</v>
      </c>
      <c r="H40" s="17" t="n">
        <f aca="false">-Assumptions!$C$6*Assumptions!$C$74*(1+Assumptions!$C$62)^(H$4-1)</f>
        <v>-44714.1624957817</v>
      </c>
      <c r="I40" s="17" t="n">
        <f aca="false">-Assumptions!$C$6*Assumptions!$C$74*(1+Assumptions!$C$62)^(I$4-1)</f>
        <v>-46279.1581831341</v>
      </c>
      <c r="J40" s="17" t="n">
        <f aca="false">-Assumptions!$C$6*Assumptions!$C$74*(1+Assumptions!$C$62)^(J$4-1)</f>
        <v>-47898.9287195438</v>
      </c>
      <c r="K40" s="17" t="n">
        <f aca="false">-Assumptions!$C$6*Assumptions!$C$74*(1+Assumptions!$C$62)^(K$4-1)</f>
        <v>-49575.3912247278</v>
      </c>
    </row>
    <row r="41" customFormat="false" ht="15" hidden="false" customHeight="false" outlineLevel="0" collapsed="false">
      <c r="A41" s="0" t="s">
        <v>89</v>
      </c>
      <c r="B41" s="17" t="n">
        <f aca="false">-B30*Assumptions!$C$73</f>
        <v>-66374.372904</v>
      </c>
      <c r="C41" s="17" t="n">
        <f aca="false">-C30*Assumptions!$C$73</f>
        <v>-67668.212970645</v>
      </c>
      <c r="D41" s="17" t="n">
        <f aca="false">-D30*Assumptions!$C$73</f>
        <v>-69183.3002299163</v>
      </c>
      <c r="E41" s="17" t="n">
        <f aca="false">-E30*Assumptions!$C$73</f>
        <v>-70944.6963410289</v>
      </c>
      <c r="F41" s="17" t="n">
        <f aca="false">-F30*Assumptions!$C$73</f>
        <v>-72847.6801943934</v>
      </c>
      <c r="G41" s="17" t="n">
        <f aca="false">-G30*Assumptions!$C$73</f>
        <v>-74872.1771757649</v>
      </c>
      <c r="H41" s="17" t="n">
        <f aca="false">-H30*Assumptions!$C$73</f>
        <v>-77004.2019505263</v>
      </c>
      <c r="I41" s="17" t="n">
        <f aca="false">-I30*Assumptions!$C$73</f>
        <v>-79234.2010761212</v>
      </c>
      <c r="J41" s="17" t="n">
        <f aca="false">-J30*Assumptions!$C$73</f>
        <v>-81555.8519145505</v>
      </c>
      <c r="K41" s="17" t="n">
        <f aca="false">-K30*Assumptions!$C$73</f>
        <v>-83965.1923780938</v>
      </c>
    </row>
    <row r="42" customFormat="false" ht="15" hidden="false" customHeight="false" outlineLevel="0" collapsed="false">
      <c r="A42" s="0" t="s">
        <v>92</v>
      </c>
      <c r="B42" s="17" t="n">
        <f aca="false">-Assumptions!$C$6*Assumptions!$C$75*(1+Assumptions!$C$62)^(B$4-1)</f>
        <v>-24250</v>
      </c>
      <c r="C42" s="17" t="n">
        <f aca="false">-Assumptions!$C$6*Assumptions!$C$75*(1+Assumptions!$C$62)^(C$4-1)</f>
        <v>-25098.75</v>
      </c>
      <c r="D42" s="17" t="n">
        <f aca="false">-Assumptions!$C$6*Assumptions!$C$75*(1+Assumptions!$C$62)^(D$4-1)</f>
        <v>-25977.20625</v>
      </c>
      <c r="E42" s="17" t="n">
        <f aca="false">-Assumptions!$C$6*Assumptions!$C$75*(1+Assumptions!$C$62)^(E$4-1)</f>
        <v>-26886.40846875</v>
      </c>
      <c r="F42" s="17" t="n">
        <f aca="false">-Assumptions!$C$6*Assumptions!$C$75*(1+Assumptions!$C$62)^(F$4-1)</f>
        <v>-27827.4327651562</v>
      </c>
      <c r="G42" s="17" t="n">
        <f aca="false">-Assumptions!$C$6*Assumptions!$C$75*(1+Assumptions!$C$62)^(G$4-1)</f>
        <v>-28801.3929119367</v>
      </c>
      <c r="H42" s="17" t="n">
        <f aca="false">-Assumptions!$C$6*Assumptions!$C$75*(1+Assumptions!$C$62)^(H$4-1)</f>
        <v>-29809.4416638545</v>
      </c>
      <c r="I42" s="17" t="n">
        <f aca="false">-Assumptions!$C$6*Assumptions!$C$75*(1+Assumptions!$C$62)^(I$4-1)</f>
        <v>-30852.7721220894</v>
      </c>
      <c r="J42" s="17" t="n">
        <f aca="false">-Assumptions!$C$6*Assumptions!$C$75*(1+Assumptions!$C$62)^(J$4-1)</f>
        <v>-31932.6191463625</v>
      </c>
      <c r="K42" s="17" t="n">
        <f aca="false">-Assumptions!$C$6*Assumptions!$C$75*(1+Assumptions!$C$62)^(K$4-1)</f>
        <v>-33050.2608164852</v>
      </c>
    </row>
    <row r="43" customFormat="false" ht="15" hidden="false" customHeight="false" outlineLevel="0" collapsed="false">
      <c r="A43" s="0" t="s">
        <v>93</v>
      </c>
      <c r="B43" s="17" t="n">
        <f aca="false">-Assumptions!$C$6*Assumptions!$C$76*(1+Assumptions!$C$62)^(B$4-1)</f>
        <v>-14550</v>
      </c>
      <c r="C43" s="17" t="n">
        <f aca="false">-Assumptions!$C$6*Assumptions!$C$76*(1+Assumptions!$C$62)^(C$4-1)</f>
        <v>-15059.25</v>
      </c>
      <c r="D43" s="17" t="n">
        <f aca="false">-Assumptions!$C$6*Assumptions!$C$76*(1+Assumptions!$C$62)^(D$4-1)</f>
        <v>-15586.32375</v>
      </c>
      <c r="E43" s="17" t="n">
        <f aca="false">-Assumptions!$C$6*Assumptions!$C$76*(1+Assumptions!$C$62)^(E$4-1)</f>
        <v>-16131.84508125</v>
      </c>
      <c r="F43" s="17" t="n">
        <f aca="false">-Assumptions!$C$6*Assumptions!$C$76*(1+Assumptions!$C$62)^(F$4-1)</f>
        <v>-16696.4596590937</v>
      </c>
      <c r="G43" s="17" t="n">
        <f aca="false">-Assumptions!$C$6*Assumptions!$C$76*(1+Assumptions!$C$62)^(G$4-1)</f>
        <v>-17280.835747162</v>
      </c>
      <c r="H43" s="17" t="n">
        <f aca="false">-Assumptions!$C$6*Assumptions!$C$76*(1+Assumptions!$C$62)^(H$4-1)</f>
        <v>-17885.6649983127</v>
      </c>
      <c r="I43" s="17" t="n">
        <f aca="false">-Assumptions!$C$6*Assumptions!$C$76*(1+Assumptions!$C$62)^(I$4-1)</f>
        <v>-18511.6632732536</v>
      </c>
      <c r="J43" s="17" t="n">
        <f aca="false">-Assumptions!$C$6*Assumptions!$C$76*(1+Assumptions!$C$62)^(J$4-1)</f>
        <v>-19159.5714878175</v>
      </c>
      <c r="K43" s="17" t="n">
        <f aca="false">-Assumptions!$C$6*Assumptions!$C$76*(1+Assumptions!$C$62)^(K$4-1)</f>
        <v>-19830.1564898911</v>
      </c>
    </row>
    <row r="44" customFormat="false" ht="15" hidden="false" customHeight="false" outlineLevel="0" collapsed="false">
      <c r="A44" s="15" t="s">
        <v>199</v>
      </c>
      <c r="B44" s="9" t="n">
        <f aca="false">SUM(B33:B43)</f>
        <v>-979555.202904</v>
      </c>
      <c r="C44" s="9" t="n">
        <f aca="false">SUM(C33:C43)</f>
        <v>-1036337.75097065</v>
      </c>
      <c r="D44" s="9" t="n">
        <f aca="false">SUM(D33:D43)</f>
        <v>-1097391.94890492</v>
      </c>
      <c r="E44" s="9" t="n">
        <f aca="false">SUM(E33:E43)</f>
        <v>-1163078.34144915</v>
      </c>
      <c r="F44" s="9" t="n">
        <f aca="false">SUM(F33:F43)</f>
        <v>-1233657.60662775</v>
      </c>
      <c r="G44" s="9" t="n">
        <f aca="false">SUM(G33:G43)</f>
        <v>-1309507.76564447</v>
      </c>
      <c r="H44" s="9" t="n">
        <f aca="false">SUM(H33:H43)</f>
        <v>-1391048.67111014</v>
      </c>
      <c r="I44" s="9" t="n">
        <f aca="false">SUM(I33:I43)</f>
        <v>-1478743.68551523</v>
      </c>
      <c r="J44" s="9" t="n">
        <f aca="false">SUM(J33:J43)</f>
        <v>-1573102.13452662</v>
      </c>
      <c r="K44" s="9" t="n">
        <f aca="false">SUM(K33:K43)</f>
        <v>-1674682.44049682</v>
      </c>
    </row>
    <row r="46" customFormat="false" ht="15" hidden="false" customHeight="false" outlineLevel="0" collapsed="false">
      <c r="A46" s="15" t="s">
        <v>200</v>
      </c>
      <c r="B46" s="9" t="n">
        <f aca="false">B30+B44</f>
        <v>916855.451496</v>
      </c>
      <c r="C46" s="9" t="n">
        <f aca="false">C30+C44</f>
        <v>897039.762476355</v>
      </c>
      <c r="D46" s="9" t="n">
        <f aca="false">D30+D44</f>
        <v>879273.771949834</v>
      </c>
      <c r="E46" s="9" t="n">
        <f aca="false">E30+E44</f>
        <v>863912.982580243</v>
      </c>
      <c r="F46" s="9" t="n">
        <f aca="false">F30+F44</f>
        <v>847704.684640629</v>
      </c>
      <c r="G46" s="9" t="n">
        <f aca="false">G30+G44</f>
        <v>829697.296520243</v>
      </c>
      <c r="H46" s="9" t="n">
        <f aca="false">H30+H44</f>
        <v>809071.384619182</v>
      </c>
      <c r="I46" s="9" t="n">
        <f aca="false">I30+I44</f>
        <v>785090.630945378</v>
      </c>
      <c r="J46" s="9" t="n">
        <f aca="false">J30+J44</f>
        <v>757065.063031968</v>
      </c>
      <c r="K46" s="9" t="n">
        <f aca="false">K30+K44</f>
        <v>724323.056020142</v>
      </c>
    </row>
    <row r="47" customFormat="false" ht="15" hidden="false" customHeight="false" outlineLevel="0" collapsed="false">
      <c r="A47" s="0" t="s">
        <v>201</v>
      </c>
      <c r="B47" s="17" t="n">
        <f aca="false">B46-B39</f>
        <v>1153461.281496</v>
      </c>
      <c r="C47" s="17" t="n">
        <f aca="false">C46-C39</f>
        <v>1157306.17547636</v>
      </c>
      <c r="D47" s="17" t="n">
        <f aca="false">D46-D39</f>
        <v>1165566.82624983</v>
      </c>
      <c r="E47" s="17" t="n">
        <f aca="false">E46-E39</f>
        <v>1178835.34231024</v>
      </c>
      <c r="F47" s="17" t="n">
        <f aca="false">F46-F39</f>
        <v>1194119.28034363</v>
      </c>
      <c r="G47" s="17" t="n">
        <f aca="false">G46-G39</f>
        <v>1210753.35179354</v>
      </c>
      <c r="H47" s="17" t="n">
        <f aca="false">H46-H39</f>
        <v>1228233.04541981</v>
      </c>
      <c r="I47" s="17" t="n">
        <f aca="false">I46-I39</f>
        <v>1246168.45782607</v>
      </c>
      <c r="J47" s="17" t="n">
        <f aca="false">J46-J39</f>
        <v>1264250.67260073</v>
      </c>
      <c r="K47" s="17" t="n">
        <f aca="false">K46-K39</f>
        <v>1282227.22654578</v>
      </c>
    </row>
    <row r="49" customFormat="false" ht="15" hidden="false" customHeight="false" outlineLevel="0" collapsed="false">
      <c r="A49" s="3" t="s">
        <v>202</v>
      </c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false" outlineLevel="0" collapsed="false">
      <c r="A50" s="0" t="s">
        <v>203</v>
      </c>
      <c r="B50" s="17" t="n">
        <f aca="false">-Assumptions!$C$6*Assumptions!$C$77*(1+Assumptions!$C$62)^(B$4-1)</f>
        <v>-29100</v>
      </c>
      <c r="C50" s="17" t="n">
        <f aca="false">-Assumptions!$C$6*Assumptions!$C$77*(1+Assumptions!$C$62)^(C$4-1)</f>
        <v>-30118.5</v>
      </c>
      <c r="D50" s="17" t="n">
        <f aca="false">-Assumptions!$C$6*Assumptions!$C$77*(1+Assumptions!$C$62)^(D$4-1)</f>
        <v>-31172.6475</v>
      </c>
      <c r="E50" s="17" t="n">
        <f aca="false">-Assumptions!$C$6*Assumptions!$C$77*(1+Assumptions!$C$62)^(E$4-1)</f>
        <v>-32263.6901625</v>
      </c>
      <c r="F50" s="17" t="n">
        <f aca="false">-Assumptions!$C$6*Assumptions!$C$77*(1+Assumptions!$C$62)^(F$4-1)</f>
        <v>-33392.9193181875</v>
      </c>
      <c r="G50" s="17" t="n">
        <f aca="false">-Assumptions!$C$6*Assumptions!$C$77*(1+Assumptions!$C$62)^(G$4-1)</f>
        <v>-34561.6714943241</v>
      </c>
      <c r="H50" s="17" t="n">
        <f aca="false">-Assumptions!$C$6*Assumptions!$C$77*(1+Assumptions!$C$62)^(H$4-1)</f>
        <v>-35771.3299966254</v>
      </c>
      <c r="I50" s="17" t="n">
        <f aca="false">-Assumptions!$C$6*Assumptions!$C$77*(1+Assumptions!$C$62)^(I$4-1)</f>
        <v>-37023.3265465073</v>
      </c>
      <c r="J50" s="17" t="n">
        <f aca="false">-Assumptions!$C$6*Assumptions!$C$77*(1+Assumptions!$C$62)^(J$4-1)</f>
        <v>-38319.142975635</v>
      </c>
      <c r="K50" s="17" t="n">
        <f aca="false">-Assumptions!$C$6*Assumptions!$C$77*(1+Assumptions!$C$62)^(K$4-1)</f>
        <v>-39660.3129797823</v>
      </c>
    </row>
    <row r="51" customFormat="false" ht="15" hidden="false" customHeight="false" outlineLevel="0" collapsed="false">
      <c r="A51" s="0" t="s">
        <v>204</v>
      </c>
      <c r="B51" s="17" t="n">
        <f aca="false">-IF(B$4=1,Assumptions!$C$80*Assumptions!$C$81,0)-IF(B$4=Assumptions!$C$82,Assumptions!$C$83+Assumptions!$C$84,0)</f>
        <v>-0</v>
      </c>
      <c r="C51" s="17" t="n">
        <f aca="false">-IF(C$4=1,Assumptions!$C$80*Assumptions!$C$81,0)-IF(C$4=Assumptions!$C$82,Assumptions!$C$83+Assumptions!$C$84,0)</f>
        <v>-160000</v>
      </c>
      <c r="D51" s="17" t="n">
        <f aca="false">-IF(D$4=1,Assumptions!$C$80*Assumptions!$C$81,0)-IF(D$4=Assumptions!$C$82,Assumptions!$C$83+Assumptions!$C$84,0)</f>
        <v>-0</v>
      </c>
      <c r="E51" s="17" t="n">
        <f aca="false">-IF(E$4=1,Assumptions!$C$80*Assumptions!$C$81,0)-IF(E$4=Assumptions!$C$82,Assumptions!$C$83+Assumptions!$C$84,0)</f>
        <v>-0</v>
      </c>
      <c r="F51" s="17" t="n">
        <f aca="false">-IF(F$4=1,Assumptions!$C$80*Assumptions!$C$81,0)-IF(F$4=Assumptions!$C$82,Assumptions!$C$83+Assumptions!$C$84,0)</f>
        <v>-0</v>
      </c>
      <c r="G51" s="17" t="n">
        <f aca="false">-IF(G$4=1,Assumptions!$C$80*Assumptions!$C$81,0)-IF(G$4=Assumptions!$C$82,Assumptions!$C$83+Assumptions!$C$84,0)</f>
        <v>-0</v>
      </c>
      <c r="H51" s="17" t="n">
        <f aca="false">-IF(H$4=1,Assumptions!$C$80*Assumptions!$C$81,0)-IF(H$4=Assumptions!$C$82,Assumptions!$C$83+Assumptions!$C$84,0)</f>
        <v>-0</v>
      </c>
      <c r="I51" s="17" t="n">
        <f aca="false">-IF(I$4=1,Assumptions!$C$80*Assumptions!$C$81,0)-IF(I$4=Assumptions!$C$82,Assumptions!$C$83+Assumptions!$C$84,0)</f>
        <v>-0</v>
      </c>
      <c r="J51" s="17" t="n">
        <f aca="false">-IF(J$4=1,Assumptions!$C$80*Assumptions!$C$81,0)-IF(J$4=Assumptions!$C$82,Assumptions!$C$83+Assumptions!$C$84,0)</f>
        <v>-0</v>
      </c>
      <c r="K51" s="17" t="n">
        <f aca="false">-IF(K$4=1,Assumptions!$C$80*Assumptions!$C$81,0)-IF(K$4=Assumptions!$C$82,Assumptions!$C$83+Assumptions!$C$84,0)</f>
        <v>-0</v>
      </c>
    </row>
    <row r="52" customFormat="false" ht="15" hidden="false" customHeight="false" outlineLevel="0" collapsed="false">
      <c r="A52" s="15" t="s">
        <v>205</v>
      </c>
      <c r="B52" s="9" t="n">
        <f aca="false">B46+B50+B51</f>
        <v>887755.451496</v>
      </c>
      <c r="C52" s="9" t="n">
        <f aca="false">C46+C50+C51</f>
        <v>706921.262476355</v>
      </c>
      <c r="D52" s="9" t="n">
        <f aca="false">D46+D50+D51</f>
        <v>848101.124449834</v>
      </c>
      <c r="E52" s="9" t="n">
        <f aca="false">E46+E50+E51</f>
        <v>831649.292417743</v>
      </c>
      <c r="F52" s="9" t="n">
        <f aca="false">F46+F50+F51</f>
        <v>814311.765322441</v>
      </c>
      <c r="G52" s="9" t="n">
        <f aca="false">G46+G50+G51</f>
        <v>795135.625025919</v>
      </c>
      <c r="H52" s="9" t="n">
        <f aca="false">H46+H50+H51</f>
        <v>773300.054622556</v>
      </c>
      <c r="I52" s="9" t="n">
        <f aca="false">I46+I50+I51</f>
        <v>748067.30439887</v>
      </c>
      <c r="J52" s="9" t="n">
        <f aca="false">J46+J50+J51</f>
        <v>718745.920056333</v>
      </c>
      <c r="K52" s="9" t="n">
        <f aca="false">K46+K50+K51</f>
        <v>684662.74304036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206</v>
      </c>
    </row>
    <row r="4" customFormat="false" ht="15" hidden="false" customHeight="false" outlineLevel="0" collapsed="false">
      <c r="A4" s="3" t="s">
        <v>207</v>
      </c>
      <c r="B4" s="3"/>
      <c r="C4" s="3"/>
    </row>
    <row r="5" customFormat="false" ht="15" hidden="false" customHeight="false" outlineLevel="0" collapsed="false">
      <c r="A5" s="0" t="s">
        <v>208</v>
      </c>
      <c r="C5" s="17" t="n">
        <f aca="false">'Operating Model'!$B$46</f>
        <v>916855.451496</v>
      </c>
    </row>
    <row r="6" customFormat="false" ht="15" hidden="false" customHeight="false" outlineLevel="0" collapsed="false">
      <c r="A6" s="0" t="s">
        <v>209</v>
      </c>
      <c r="C6" s="17" t="n">
        <f aca="false">Assumptions!$C$7*Assumptions!$C$90</f>
        <v>8970000</v>
      </c>
    </row>
    <row r="7" customFormat="false" ht="15" hidden="false" customHeight="false" outlineLevel="0" collapsed="false">
      <c r="A7" s="0" t="s">
        <v>210</v>
      </c>
      <c r="C7" s="17" t="n">
        <f aca="false">Debt!$C$5/Assumptions!$C$92</f>
        <v>11460693.1437</v>
      </c>
    </row>
    <row r="8" customFormat="false" ht="15" hidden="false" customHeight="false" outlineLevel="0" collapsed="false">
      <c r="A8" s="0" t="s">
        <v>211</v>
      </c>
      <c r="C8" s="17" t="n">
        <f aca="false">Debt!$C$5/(Assumptions!$C$91*Assumptions!$C$89)</f>
        <v>10330765.6506592</v>
      </c>
    </row>
    <row r="9" customFormat="false" ht="15" hidden="false" customHeight="false" outlineLevel="0" collapsed="false">
      <c r="A9" s="15" t="s">
        <v>212</v>
      </c>
      <c r="C9" s="9" t="n">
        <f aca="false">MIN(C6,C7,C8)</f>
        <v>8970000</v>
      </c>
    </row>
    <row r="10" customFormat="false" ht="15" hidden="false" customHeight="false" outlineLevel="0" collapsed="false">
      <c r="A10" s="0" t="s">
        <v>213</v>
      </c>
      <c r="C10" s="0" t="str">
        <f aca="false">IF(C9=C6,"LTV",IF(C9=C7,"Debt Yield","DSCR"))</f>
        <v>LTV</v>
      </c>
    </row>
    <row r="11" customFormat="false" ht="15" hidden="false" customHeight="false" outlineLevel="0" collapsed="false">
      <c r="A11" s="0" t="s">
        <v>214</v>
      </c>
      <c r="C11" s="18" t="n">
        <f aca="false">Debt!$C$9/Assumptions!$C$7</f>
        <v>0.65</v>
      </c>
    </row>
    <row r="12" customFormat="false" ht="15" hidden="false" customHeight="false" outlineLevel="0" collapsed="false">
      <c r="A12" s="0" t="s">
        <v>215</v>
      </c>
      <c r="C12" s="18" t="n">
        <f aca="false">Debt!$C$5/Debt!$C$9</f>
        <v>0.102213539743144</v>
      </c>
    </row>
    <row r="13" customFormat="false" ht="15" hidden="false" customHeight="false" outlineLevel="0" collapsed="false">
      <c r="A13" s="0" t="s">
        <v>216</v>
      </c>
      <c r="C13" s="19" t="n">
        <f aca="false">Debt!$C$5/(Debt!$C$9*Assumptions!$C$89)</f>
        <v>1.43962732032597</v>
      </c>
    </row>
    <row r="15" customFormat="false" ht="15" hidden="false" customHeight="false" outlineLevel="0" collapsed="false">
      <c r="A15" s="3" t="s">
        <v>217</v>
      </c>
      <c r="B15" s="3"/>
      <c r="C15" s="3"/>
      <c r="D15" s="3"/>
      <c r="E15" s="3"/>
      <c r="F15" s="3"/>
    </row>
    <row r="16" customFormat="false" ht="15" hidden="false" customHeight="false" outlineLevel="0" collapsed="false">
      <c r="A16" s="15" t="s">
        <v>167</v>
      </c>
      <c r="B16" s="15" t="s">
        <v>218</v>
      </c>
      <c r="C16" s="15" t="s">
        <v>219</v>
      </c>
      <c r="D16" s="15" t="s">
        <v>220</v>
      </c>
      <c r="E16" s="15" t="s">
        <v>221</v>
      </c>
      <c r="F16" s="15" t="s">
        <v>222</v>
      </c>
    </row>
    <row r="17" customFormat="false" ht="15" hidden="false" customHeight="false" outlineLevel="0" collapsed="false">
      <c r="A17" s="0" t="s">
        <v>223</v>
      </c>
      <c r="B17" s="17" t="n">
        <f aca="false">-PMT(Assumptions!$C$89,Assumptions!$C$94,Debt!$C$9)</f>
        <v>730135.085654623</v>
      </c>
    </row>
    <row r="18" customFormat="false" ht="15" hidden="false" customHeight="false" outlineLevel="0" collapsed="false">
      <c r="A18" s="16" t="n">
        <v>1</v>
      </c>
      <c r="B18" s="17" t="n">
        <f aca="false">Debt!$C$9</f>
        <v>8970000</v>
      </c>
      <c r="C18" s="17" t="n">
        <f aca="false">B18*Assumptions!$C$89</f>
        <v>636870</v>
      </c>
      <c r="D18" s="17" t="n">
        <f aca="false">IF(A18&lt;=Assumptions!$C$93,0,Debt!$B$17-C18)</f>
        <v>0</v>
      </c>
      <c r="E18" s="17" t="n">
        <f aca="false">C18+D18</f>
        <v>636870</v>
      </c>
      <c r="F18" s="17" t="n">
        <f aca="false">B18-D18</f>
        <v>8970000</v>
      </c>
    </row>
    <row r="19" customFormat="false" ht="15" hidden="false" customHeight="false" outlineLevel="0" collapsed="false">
      <c r="A19" s="16" t="n">
        <v>2</v>
      </c>
      <c r="B19" s="17" t="n">
        <f aca="false">F18</f>
        <v>8970000</v>
      </c>
      <c r="C19" s="17" t="n">
        <f aca="false">B19*Assumptions!$C$89</f>
        <v>636870</v>
      </c>
      <c r="D19" s="17" t="n">
        <f aca="false">IF(A19&lt;=Assumptions!$C$93,0,Debt!$B$17-C19)</f>
        <v>0</v>
      </c>
      <c r="E19" s="17" t="n">
        <f aca="false">C19+D19</f>
        <v>636870</v>
      </c>
      <c r="F19" s="17" t="n">
        <f aca="false">B19-D19</f>
        <v>8970000</v>
      </c>
    </row>
    <row r="20" customFormat="false" ht="15" hidden="false" customHeight="false" outlineLevel="0" collapsed="false">
      <c r="A20" s="16" t="n">
        <v>3</v>
      </c>
      <c r="B20" s="17" t="n">
        <f aca="false">F19</f>
        <v>8970000</v>
      </c>
      <c r="C20" s="17" t="n">
        <f aca="false">B20*Assumptions!$C$89</f>
        <v>636870</v>
      </c>
      <c r="D20" s="17" t="n">
        <f aca="false">IF(A20&lt;=Assumptions!$C$93,0,Debt!$B$17-C20)</f>
        <v>93265.0856546231</v>
      </c>
      <c r="E20" s="17" t="n">
        <f aca="false">C20+D20</f>
        <v>730135.085654623</v>
      </c>
      <c r="F20" s="17" t="n">
        <f aca="false">B20-D20</f>
        <v>8876734.91434538</v>
      </c>
    </row>
    <row r="21" customFormat="false" ht="15" hidden="false" customHeight="false" outlineLevel="0" collapsed="false">
      <c r="A21" s="16" t="n">
        <v>4</v>
      </c>
      <c r="B21" s="17" t="n">
        <f aca="false">F20</f>
        <v>8876734.91434538</v>
      </c>
      <c r="C21" s="17" t="n">
        <f aca="false">B21*Assumptions!$C$89</f>
        <v>630248.178918522</v>
      </c>
      <c r="D21" s="17" t="n">
        <f aca="false">IF(A21&lt;=Assumptions!$C$93,0,Debt!$B$17-C21)</f>
        <v>99886.9067361015</v>
      </c>
      <c r="E21" s="17" t="n">
        <f aca="false">C21+D21</f>
        <v>730135.085654623</v>
      </c>
      <c r="F21" s="17" t="n">
        <f aca="false">B21-D21</f>
        <v>8776848.00760927</v>
      </c>
    </row>
    <row r="22" customFormat="false" ht="15" hidden="false" customHeight="false" outlineLevel="0" collapsed="false">
      <c r="A22" s="16" t="n">
        <v>5</v>
      </c>
      <c r="B22" s="17" t="n">
        <f aca="false">F21</f>
        <v>8776848.00760927</v>
      </c>
      <c r="C22" s="17" t="n">
        <f aca="false">B22*Assumptions!$C$89</f>
        <v>623156.208540259</v>
      </c>
      <c r="D22" s="17" t="n">
        <f aca="false">IF(A22&lt;=Assumptions!$C$93,0,Debt!$B$17-C22)</f>
        <v>106978.877114365</v>
      </c>
      <c r="E22" s="17" t="n">
        <f aca="false">C22+D22</f>
        <v>730135.085654623</v>
      </c>
      <c r="F22" s="17" t="n">
        <f aca="false">B22-D22</f>
        <v>8669869.13049491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5"/>
  </cols>
  <sheetData>
    <row r="1" customFormat="false" ht="17.35" hidden="false" customHeight="false" outlineLevel="0" collapsed="false">
      <c r="A1" s="1" t="s">
        <v>224</v>
      </c>
    </row>
    <row r="4" customFormat="false" ht="15" hidden="false" customHeight="false" outlineLevel="0" collapsed="false">
      <c r="A4" s="3" t="s">
        <v>225</v>
      </c>
      <c r="B4" s="3"/>
    </row>
    <row r="5" customFormat="false" ht="15" hidden="false" customHeight="false" outlineLevel="0" collapsed="false">
      <c r="A5" s="0" t="s">
        <v>226</v>
      </c>
      <c r="B5" s="17" t="n">
        <f aca="false">Assumptions!$C$7</f>
        <v>13800000</v>
      </c>
    </row>
    <row r="6" customFormat="false" ht="15" hidden="false" customHeight="false" outlineLevel="0" collapsed="false">
      <c r="A6" s="0" t="s">
        <v>227</v>
      </c>
      <c r="B6" s="17" t="n">
        <f aca="false">Assumptions!$C$11</f>
        <v>207000</v>
      </c>
    </row>
    <row r="7" customFormat="false" ht="15" hidden="false" customHeight="false" outlineLevel="0" collapsed="false">
      <c r="A7" s="0" t="s">
        <v>228</v>
      </c>
      <c r="B7" s="17" t="n">
        <f aca="false">'Unit Mix'!$D$18</f>
        <v>491040</v>
      </c>
    </row>
    <row r="8" customFormat="false" ht="15" hidden="false" customHeight="false" outlineLevel="0" collapsed="false">
      <c r="A8" s="15" t="s">
        <v>229</v>
      </c>
      <c r="B8" s="9" t="n">
        <f aca="false">SUM(B5:B7)</f>
        <v>14498040</v>
      </c>
    </row>
    <row r="10" customFormat="false" ht="15" hidden="false" customHeight="false" outlineLevel="0" collapsed="false">
      <c r="A10" s="3" t="s">
        <v>230</v>
      </c>
      <c r="B10" s="3"/>
    </row>
    <row r="11" customFormat="false" ht="15" hidden="false" customHeight="false" outlineLevel="0" collapsed="false">
      <c r="A11" s="0" t="s">
        <v>231</v>
      </c>
      <c r="B11" s="17" t="n">
        <f aca="false">Debt!$C$9</f>
        <v>8970000</v>
      </c>
    </row>
    <row r="12" customFormat="false" ht="15" hidden="false" customHeight="false" outlineLevel="0" collapsed="false">
      <c r="A12" s="0" t="s">
        <v>232</v>
      </c>
      <c r="B12" s="17" t="n">
        <f aca="false">Capital!$B$8-B11</f>
        <v>5528040</v>
      </c>
    </row>
    <row r="13" customFormat="false" ht="15" hidden="false" customHeight="false" outlineLevel="0" collapsed="false">
      <c r="A13" s="15" t="s">
        <v>233</v>
      </c>
      <c r="B13" s="9" t="n">
        <f aca="false">SUM(B11:B12)</f>
        <v>14498040</v>
      </c>
    </row>
    <row r="15" customFormat="false" ht="15" hidden="false" customHeight="false" outlineLevel="0" collapsed="false">
      <c r="A15" s="3" t="s">
        <v>234</v>
      </c>
      <c r="B15" s="3"/>
    </row>
    <row r="16" customFormat="false" ht="15" hidden="false" customHeight="false" outlineLevel="0" collapsed="false">
      <c r="A16" s="0" t="s">
        <v>235</v>
      </c>
      <c r="B16" s="17" t="n">
        <f aca="false">Capital!$B$12*(1-Assumptions!$C$119)</f>
        <v>4975236</v>
      </c>
    </row>
    <row r="17" customFormat="false" ht="15" hidden="false" customHeight="false" outlineLevel="0" collapsed="false">
      <c r="A17" s="0" t="s">
        <v>236</v>
      </c>
      <c r="B17" s="17" t="n">
        <f aca="false">Capital!$B$12*Assumptions!$C$119</f>
        <v>552804</v>
      </c>
    </row>
    <row r="19" customFormat="false" ht="15" hidden="false" customHeight="false" outlineLevel="0" collapsed="false">
      <c r="A19" s="0" t="s">
        <v>237</v>
      </c>
      <c r="B19" s="17" t="n">
        <f aca="false">Capital!$B$13-Capital!$B$8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238</v>
      </c>
    </row>
    <row r="4" customFormat="false" ht="15" hidden="false" customHeight="false" outlineLevel="0" collapsed="false">
      <c r="A4" s="3" t="s">
        <v>239</v>
      </c>
      <c r="B4" s="3"/>
    </row>
    <row r="5" customFormat="false" ht="15" hidden="false" customHeight="false" outlineLevel="0" collapsed="false">
      <c r="A5" s="2" t="s">
        <v>240</v>
      </c>
    </row>
    <row r="6" customFormat="false" ht="15" hidden="false" customHeight="false" outlineLevel="0" collapsed="false">
      <c r="A6" s="0" t="s">
        <v>241</v>
      </c>
      <c r="B6" s="17" t="n">
        <f aca="false">(SUMPRODUCT('Unit Mix'!$C$6:$C$9,'Unit Mix'!$F$6:$F$9)+SUMPRODUCT('Unit Mix'!$D$6:$D$9,'Unit Mix'!$G$6:$G$9))*12</f>
        <v>1938522</v>
      </c>
    </row>
    <row r="7" customFormat="false" ht="15" hidden="false" customHeight="false" outlineLevel="0" collapsed="false">
      <c r="A7" s="0" t="s">
        <v>187</v>
      </c>
      <c r="B7" s="17" t="n">
        <f aca="false">-Returns!$B$6*Assumptions!$C$41</f>
        <v>-126003.93</v>
      </c>
    </row>
    <row r="8" customFormat="false" ht="15" hidden="false" customHeight="false" outlineLevel="0" collapsed="false">
      <c r="A8" s="0" t="s">
        <v>188</v>
      </c>
      <c r="B8" s="17" t="n">
        <f aca="false">-Returns!$B$6*Assumptions!$C$42</f>
        <v>-19385.22</v>
      </c>
    </row>
    <row r="9" customFormat="false" ht="15" hidden="false" customHeight="false" outlineLevel="0" collapsed="false">
      <c r="A9" s="0" t="s">
        <v>189</v>
      </c>
      <c r="B9" s="17" t="n">
        <f aca="false">-Returns!$B$6*Assumptions!$C$43</f>
        <v>-9692.61</v>
      </c>
    </row>
    <row r="10" customFormat="false" ht="15" hidden="false" customHeight="false" outlineLevel="0" collapsed="false">
      <c r="A10" s="0" t="s">
        <v>190</v>
      </c>
      <c r="B10" s="17" t="n">
        <f aca="false">Assumptions!$C$6*Assumptions!$C$44*12</f>
        <v>40740</v>
      </c>
    </row>
    <row r="11" customFormat="false" ht="15" hidden="false" customHeight="false" outlineLevel="0" collapsed="false">
      <c r="A11" s="15" t="s">
        <v>242</v>
      </c>
      <c r="B11" s="9" t="n">
        <f aca="false">SUM(B6:B10)</f>
        <v>1824180.24</v>
      </c>
    </row>
    <row r="12" customFormat="false" ht="15" hidden="false" customHeight="false" outlineLevel="0" collapsed="false">
      <c r="A12" s="0" t="s">
        <v>243</v>
      </c>
      <c r="B12" s="17" t="n">
        <f aca="false">'Operating Model'!$B$33+'Operating Model'!$B$34+'Operating Model'!$B$35+'Operating Model'!$B$36+'Operating Model'!$B$37+'Operating Model'!$B$38+'Operating Model'!$B$39+'Operating Model'!$B$40+'Operating Model'!$B$42+'Operating Model'!$B$43</f>
        <v>-913180.83</v>
      </c>
    </row>
    <row r="13" customFormat="false" ht="15" hidden="false" customHeight="false" outlineLevel="0" collapsed="false">
      <c r="A13" s="0" t="s">
        <v>244</v>
      </c>
      <c r="B13" s="17" t="n">
        <f aca="false">-Returns!$B$11*Assumptions!$C$73</f>
        <v>-63846.3084</v>
      </c>
    </row>
    <row r="14" customFormat="false" ht="15" hidden="false" customHeight="false" outlineLevel="0" collapsed="false">
      <c r="A14" s="15" t="s">
        <v>245</v>
      </c>
      <c r="B14" s="9" t="n">
        <f aca="false">Returns!$B$11+B12+B13</f>
        <v>847153.1016</v>
      </c>
    </row>
    <row r="16" customFormat="false" ht="15" hidden="false" customHeight="false" outlineLevel="0" collapsed="false">
      <c r="A16" s="3" t="s">
        <v>246</v>
      </c>
      <c r="B16" s="3"/>
    </row>
    <row r="17" customFormat="false" ht="15" hidden="false" customHeight="false" outlineLevel="0" collapsed="false">
      <c r="A17" s="2" t="s">
        <v>247</v>
      </c>
    </row>
    <row r="18" customFormat="false" ht="15" hidden="false" customHeight="false" outlineLevel="0" collapsed="false">
      <c r="A18" s="0" t="s">
        <v>248</v>
      </c>
      <c r="B18" s="17" t="n">
        <f aca="false">(SUMPRODUCT('Unit Mix'!$C$6:$C$9,'Unit Mix'!$F$6:$F$9)+'Unit Mix'!$D$6*('Unit Mix'!$G$6+Assumptions!$C$46*Assumptions!$C$45*('Operating Model'!$B$9-'Unit Mix'!$G$6))+'Unit Mix'!$D$7*('Unit Mix'!$G$7+Assumptions!$C$46*Assumptions!$C$45*('Operating Model'!$B$12-'Unit Mix'!$G$7))+'Unit Mix'!$D$8*('Unit Mix'!$G$8+Assumptions!$C$46*Assumptions!$C$45*('Operating Model'!$B$15-'Unit Mix'!$G$8))+'Unit Mix'!$D$9*('Unit Mix'!$G$9+Assumptions!$C$46*Assumptions!$C$45*('Operating Model'!$B$18-'Unit Mix'!$G$9)))*12</f>
        <v>1969483.92</v>
      </c>
    </row>
    <row r="19" customFormat="false" ht="15" hidden="false" customHeight="false" outlineLevel="0" collapsed="false">
      <c r="A19" s="0" t="s">
        <v>249</v>
      </c>
      <c r="B19" s="17" t="n">
        <f aca="false">Returns!$B$18*(1-Assumptions!$C$41-Assumptions!$C$42-Assumptions!$C$43)+Assumptions!$C$6*Assumptions!$C$44*12</f>
        <v>1852665.2064</v>
      </c>
    </row>
    <row r="20" customFormat="false" ht="15" hidden="false" customHeight="false" outlineLevel="0" collapsed="false">
      <c r="A20" s="0" t="s">
        <v>250</v>
      </c>
      <c r="B20" s="17" t="n">
        <f aca="false">Returns!$B$19+B12-Returns!$B$19*Assumptions!$C$73</f>
        <v>874641.094176</v>
      </c>
    </row>
    <row r="22" customFormat="false" ht="15" hidden="false" customHeight="false" outlineLevel="0" collapsed="false">
      <c r="A22" s="0" t="s">
        <v>251</v>
      </c>
      <c r="B22" s="17" t="n">
        <f aca="false">Returns!$B$14</f>
        <v>847153.1016</v>
      </c>
    </row>
    <row r="23" customFormat="false" ht="15" hidden="false" customHeight="false" outlineLevel="0" collapsed="false">
      <c r="A23" s="0" t="s">
        <v>252</v>
      </c>
      <c r="B23" s="17" t="n">
        <f aca="false">Returns!$B$20-Returns!$B$14</f>
        <v>27487.992576</v>
      </c>
    </row>
    <row r="24" customFormat="false" ht="15" hidden="false" customHeight="false" outlineLevel="0" collapsed="false">
      <c r="A24" s="0" t="s">
        <v>253</v>
      </c>
      <c r="B24" s="17" t="n">
        <f aca="false">'Operating Model'!$B$46-Returns!$B$20</f>
        <v>42214.3573199998</v>
      </c>
    </row>
    <row r="25" customFormat="false" ht="15" hidden="false" customHeight="false" outlineLevel="0" collapsed="false">
      <c r="A25" s="15" t="s">
        <v>254</v>
      </c>
      <c r="B25" s="9" t="n">
        <f aca="false">B22+B23+B24</f>
        <v>916855.451496</v>
      </c>
    </row>
    <row r="27" customFormat="false" ht="15" hidden="false" customHeight="false" outlineLevel="0" collapsed="false">
      <c r="A27" s="3" t="s">
        <v>255</v>
      </c>
      <c r="B27" s="3"/>
    </row>
    <row r="28" customFormat="false" ht="15" hidden="false" customHeight="false" outlineLevel="0" collapsed="false">
      <c r="A28" s="0" t="s">
        <v>256</v>
      </c>
      <c r="B28" s="18" t="n">
        <f aca="false">Assumptions!$C$8</f>
        <v>0.07</v>
      </c>
    </row>
    <row r="29" customFormat="false" ht="15" hidden="false" customHeight="false" outlineLevel="0" collapsed="false">
      <c r="A29" s="15" t="s">
        <v>257</v>
      </c>
      <c r="B29" s="11" t="n">
        <f aca="false">Returns!$B$14/Assumptions!$C$7</f>
        <v>0.0613879059130435</v>
      </c>
    </row>
    <row r="30" customFormat="false" ht="15" hidden="false" customHeight="false" outlineLevel="0" collapsed="false">
      <c r="A30" s="0" t="s">
        <v>258</v>
      </c>
      <c r="B30" s="18" t="n">
        <f aca="false">'Operating Model'!$B$46/Assumptions!$C$7</f>
        <v>0.0664388008330435</v>
      </c>
    </row>
    <row r="32" customFormat="false" ht="15" hidden="false" customHeight="false" outlineLevel="0" collapsed="false">
      <c r="A32" s="3" t="s">
        <v>259</v>
      </c>
      <c r="B32" s="3"/>
    </row>
    <row r="33" customFormat="false" ht="15" hidden="false" customHeight="false" outlineLevel="0" collapsed="false">
      <c r="A33" s="0" t="s">
        <v>260</v>
      </c>
      <c r="B33" s="11" t="n">
        <f aca="false">Returns!$B$29</f>
        <v>0.0613879059130435</v>
      </c>
    </row>
    <row r="34" customFormat="false" ht="15" hidden="false" customHeight="false" outlineLevel="0" collapsed="false">
      <c r="A34" s="0" t="s">
        <v>261</v>
      </c>
      <c r="B34" s="18" t="n">
        <f aca="false">Returns!$B$33+Assumptions!$C$108</f>
        <v>0.0663879059130435</v>
      </c>
    </row>
    <row r="35" customFormat="false" ht="15" hidden="false" customHeight="false" outlineLevel="0" collapsed="false">
      <c r="A35" s="0" t="s">
        <v>262</v>
      </c>
      <c r="B35" s="18" t="n">
        <f aca="false">Returns!$B$33+Assumptions!$C$109</f>
        <v>0.0713879059130435</v>
      </c>
    </row>
    <row r="36" customFormat="false" ht="15" hidden="false" customHeight="false" outlineLevel="0" collapsed="false">
      <c r="A36" s="0" t="s">
        <v>263</v>
      </c>
      <c r="B36" s="18" t="n">
        <f aca="false">Assumptions!$C$14*Assumptions!$C$16</f>
        <v>0.01714535</v>
      </c>
    </row>
    <row r="37" customFormat="false" ht="15" hidden="false" customHeight="false" outlineLevel="0" collapsed="false">
      <c r="A37" s="0" t="s">
        <v>264</v>
      </c>
      <c r="B37" s="17" t="n">
        <f aca="false">'Operating Model'!$G$47</f>
        <v>1210753.35179354</v>
      </c>
    </row>
    <row r="38" customFormat="false" ht="15" hidden="false" customHeight="false" outlineLevel="0" collapsed="false">
      <c r="A38" s="15" t="s">
        <v>265</v>
      </c>
      <c r="B38" s="9" t="n">
        <f aca="false">Returns!$B$37/(Returns!$B$34+Returns!$B$36)</f>
        <v>14494267.4454581</v>
      </c>
    </row>
    <row r="39" customFormat="false" ht="15" hidden="false" customHeight="false" outlineLevel="0" collapsed="false">
      <c r="A39" s="0" t="s">
        <v>266</v>
      </c>
      <c r="B39" s="17" t="n">
        <f aca="false">-Returns!$B$38*Assumptions!$C$110</f>
        <v>-289885.348909161</v>
      </c>
    </row>
    <row r="40" customFormat="false" ht="15" hidden="false" customHeight="false" outlineLevel="0" collapsed="false">
      <c r="A40" s="0" t="s">
        <v>267</v>
      </c>
      <c r="B40" s="17" t="n">
        <f aca="false">-Debt!$F$22</f>
        <v>-8669869.13049491</v>
      </c>
    </row>
    <row r="41" customFormat="false" ht="15" hidden="false" customHeight="false" outlineLevel="0" collapsed="false">
      <c r="A41" s="15" t="s">
        <v>268</v>
      </c>
      <c r="B41" s="9" t="n">
        <f aca="false">Returns!$B$38+Returns!$B$39+Returns!$B$40</f>
        <v>5534512.96605399</v>
      </c>
    </row>
    <row r="42" customFormat="false" ht="15" hidden="false" customHeight="false" outlineLevel="0" collapsed="false">
      <c r="A42" s="0" t="s">
        <v>269</v>
      </c>
      <c r="B42" s="17" t="n">
        <f aca="false">Returns!$B$38+Returns!$B$39</f>
        <v>14204382.0965489</v>
      </c>
    </row>
    <row r="44" customFormat="false" ht="15" hidden="false" customHeight="false" outlineLevel="0" collapsed="false">
      <c r="A44" s="3" t="s">
        <v>270</v>
      </c>
      <c r="B44" s="3"/>
      <c r="C44" s="3"/>
      <c r="D44" s="3"/>
      <c r="E44" s="3"/>
      <c r="F44" s="3"/>
      <c r="G44" s="3"/>
    </row>
    <row r="45" customFormat="false" ht="15" hidden="false" customHeight="false" outlineLevel="0" collapsed="false">
      <c r="A45" s="15"/>
      <c r="B45" s="15" t="s">
        <v>271</v>
      </c>
      <c r="C45" s="15" t="s">
        <v>272</v>
      </c>
      <c r="D45" s="15" t="s">
        <v>273</v>
      </c>
      <c r="E45" s="15" t="s">
        <v>274</v>
      </c>
      <c r="F45" s="15" t="s">
        <v>275</v>
      </c>
      <c r="G45" s="15" t="s">
        <v>276</v>
      </c>
    </row>
    <row r="46" customFormat="false" ht="15" hidden="false" customHeight="false" outlineLevel="0" collapsed="false">
      <c r="A46" s="0" t="s">
        <v>277</v>
      </c>
      <c r="C46" s="17" t="n">
        <f aca="false">'Operating Model'!$B$52</f>
        <v>887755.451496</v>
      </c>
      <c r="D46" s="17" t="n">
        <f aca="false">'Operating Model'!$C$52</f>
        <v>706921.262476355</v>
      </c>
      <c r="E46" s="17" t="n">
        <f aca="false">'Operating Model'!$D$52</f>
        <v>848101.124449834</v>
      </c>
      <c r="F46" s="17" t="n">
        <f aca="false">'Operating Model'!$E$52</f>
        <v>831649.292417743</v>
      </c>
      <c r="G46" s="17" t="n">
        <f aca="false">'Operating Model'!$F$52</f>
        <v>814311.765322441</v>
      </c>
    </row>
    <row r="47" customFormat="false" ht="15" hidden="false" customHeight="false" outlineLevel="0" collapsed="false">
      <c r="A47" s="0" t="s">
        <v>278</v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f aca="false">Returns!$B$42</f>
        <v>14204382.0965489</v>
      </c>
    </row>
    <row r="48" customFormat="false" ht="15" hidden="false" customHeight="false" outlineLevel="0" collapsed="false">
      <c r="A48" s="15" t="s">
        <v>279</v>
      </c>
      <c r="B48" s="9" t="n">
        <f aca="false">-B56</f>
        <v>-14498040</v>
      </c>
      <c r="C48" s="9" t="n">
        <f aca="false">C46+C47</f>
        <v>887755.451496</v>
      </c>
      <c r="D48" s="9" t="n">
        <f aca="false">D46+D47</f>
        <v>706921.262476355</v>
      </c>
      <c r="E48" s="9" t="n">
        <f aca="false">E46+E47</f>
        <v>848101.124449834</v>
      </c>
      <c r="F48" s="9" t="n">
        <f aca="false">F46+F47</f>
        <v>831649.292417743</v>
      </c>
      <c r="G48" s="9" t="n">
        <f aca="false">G46+G47</f>
        <v>15018693.8618713</v>
      </c>
    </row>
    <row r="49" customFormat="false" ht="15" hidden="false" customHeight="false" outlineLevel="0" collapsed="false">
      <c r="A49" s="0" t="s">
        <v>280</v>
      </c>
      <c r="C49" s="17" t="n">
        <f aca="false">-Debt!$E$18</f>
        <v>-636870</v>
      </c>
      <c r="D49" s="17" t="n">
        <f aca="false">-Debt!$E$19</f>
        <v>-636870</v>
      </c>
      <c r="E49" s="17" t="n">
        <f aca="false">-Debt!$E$20</f>
        <v>-730135.085654623</v>
      </c>
      <c r="F49" s="17" t="n">
        <f aca="false">-Debt!$E$21</f>
        <v>-730135.085654623</v>
      </c>
      <c r="G49" s="17" t="n">
        <f aca="false">-Debt!$E$22</f>
        <v>-730135.085654623</v>
      </c>
    </row>
    <row r="50" customFormat="false" ht="15" hidden="false" customHeight="false" outlineLevel="0" collapsed="false">
      <c r="A50" s="0" t="s">
        <v>281</v>
      </c>
      <c r="C50" s="17" t="n">
        <f aca="false">C46+C49</f>
        <v>250885.451496</v>
      </c>
      <c r="D50" s="17" t="n">
        <f aca="false">D46+D49</f>
        <v>70051.2624763553</v>
      </c>
      <c r="E50" s="17" t="n">
        <f aca="false">E46+E49</f>
        <v>117966.03879521</v>
      </c>
      <c r="F50" s="17" t="n">
        <f aca="false">F46+F49</f>
        <v>101514.206763119</v>
      </c>
      <c r="G50" s="17" t="n">
        <f aca="false">G46+G49</f>
        <v>84176.6796678178</v>
      </c>
    </row>
    <row r="51" customFormat="false" ht="15" hidden="false" customHeight="false" outlineLevel="0" collapsed="false">
      <c r="A51" s="0" t="s">
        <v>282</v>
      </c>
      <c r="C51" s="17" t="n">
        <v>0</v>
      </c>
      <c r="D51" s="17" t="n">
        <v>0</v>
      </c>
      <c r="E51" s="17" t="n">
        <v>0</v>
      </c>
      <c r="F51" s="17" t="n">
        <v>0</v>
      </c>
      <c r="G51" s="17" t="n">
        <f aca="false">Returns!$B$41</f>
        <v>5534512.96605399</v>
      </c>
    </row>
    <row r="52" customFormat="false" ht="15" hidden="false" customHeight="false" outlineLevel="0" collapsed="false">
      <c r="A52" s="15" t="s">
        <v>283</v>
      </c>
      <c r="B52" s="9" t="n">
        <f aca="false">-B55</f>
        <v>-5528040</v>
      </c>
      <c r="C52" s="9" t="n">
        <f aca="false">C50+C51</f>
        <v>250885.451496</v>
      </c>
      <c r="D52" s="9" t="n">
        <f aca="false">D50+D51</f>
        <v>70051.2624763553</v>
      </c>
      <c r="E52" s="9" t="n">
        <f aca="false">E50+E51</f>
        <v>117966.03879521</v>
      </c>
      <c r="F52" s="9" t="n">
        <f aca="false">F50+F51</f>
        <v>101514.206763119</v>
      </c>
      <c r="G52" s="9" t="n">
        <f aca="false">G50+G51</f>
        <v>5618689.64572181</v>
      </c>
    </row>
    <row r="54" customFormat="false" ht="15" hidden="false" customHeight="false" outlineLevel="0" collapsed="false">
      <c r="A54" s="3" t="s">
        <v>284</v>
      </c>
      <c r="B54" s="3"/>
    </row>
    <row r="55" customFormat="false" ht="15" hidden="false" customHeight="false" outlineLevel="0" collapsed="false">
      <c r="A55" s="0" t="s">
        <v>285</v>
      </c>
      <c r="B55" s="17" t="n">
        <f aca="false">Capital!$B$12</f>
        <v>5528040</v>
      </c>
    </row>
    <row r="56" customFormat="false" ht="15" hidden="false" customHeight="false" outlineLevel="0" collapsed="false">
      <c r="A56" s="0" t="s">
        <v>286</v>
      </c>
      <c r="B56" s="17" t="n">
        <f aca="false">Capital!$B$8</f>
        <v>14498040</v>
      </c>
    </row>
    <row r="57" customFormat="false" ht="15" hidden="false" customHeight="false" outlineLevel="0" collapsed="false">
      <c r="A57" s="0" t="s">
        <v>287</v>
      </c>
      <c r="B57" s="18" t="n">
        <f aca="false">IFERROR(IRR(B48:G48),"N/A - no sign change / undefined")</f>
        <v>0.0527775689789223</v>
      </c>
    </row>
    <row r="58" customFormat="false" ht="15" hidden="false" customHeight="false" outlineLevel="0" collapsed="false">
      <c r="A58" s="0" t="s">
        <v>288</v>
      </c>
      <c r="B58" s="18" t="n">
        <f aca="false">IFERROR(IRR(B52:G52),"N/A - no sign change / undefined")</f>
        <v>0.0230725436637686</v>
      </c>
    </row>
    <row r="59" customFormat="false" ht="15" hidden="false" customHeight="false" outlineLevel="0" collapsed="false">
      <c r="A59" s="0" t="s">
        <v>289</v>
      </c>
      <c r="B59" s="19" t="n">
        <f aca="false">SUM(C48:G48)/B56</f>
        <v>1.26176510705663</v>
      </c>
    </row>
    <row r="60" customFormat="false" ht="15" hidden="false" customHeight="false" outlineLevel="0" collapsed="false">
      <c r="A60" s="0" t="s">
        <v>290</v>
      </c>
      <c r="B60" s="19" t="n">
        <f aca="false">SUM(C52:G52)/B55</f>
        <v>1.11415738765503</v>
      </c>
    </row>
    <row r="61" customFormat="false" ht="15" hidden="false" customHeight="false" outlineLevel="0" collapsed="false">
      <c r="A61" s="0" t="s">
        <v>291</v>
      </c>
      <c r="B61" s="17" t="n">
        <f aca="false">B55</f>
        <v>5528040</v>
      </c>
    </row>
    <row r="63" customFormat="false" ht="15" hidden="false" customHeight="false" outlineLevel="0" collapsed="false">
      <c r="A63" s="3" t="s">
        <v>292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C64" s="18" t="n">
        <f aca="false">C50/B55</f>
        <v>0.045384159936614</v>
      </c>
      <c r="D64" s="18" t="n">
        <f aca="false">D50/B55</f>
        <v>0.0126719890732258</v>
      </c>
      <c r="E64" s="18" t="n">
        <f aca="false">E50/B55</f>
        <v>0.0213395776432895</v>
      </c>
      <c r="F64" s="18" t="n">
        <f aca="false">F50/B55</f>
        <v>0.0183635079997828</v>
      </c>
      <c r="G64" s="18" t="n">
        <f aca="false">G50/B55</f>
        <v>0.0152272197140067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293</v>
      </c>
    </row>
    <row r="3" customFormat="false" ht="15" hidden="false" customHeight="false" outlineLevel="0" collapsed="false">
      <c r="A3" s="2" t="s">
        <v>294</v>
      </c>
    </row>
    <row r="5" customFormat="false" ht="15" hidden="false" customHeight="false" outlineLevel="0" collapsed="false">
      <c r="A5" s="15"/>
      <c r="B5" s="15" t="s">
        <v>272</v>
      </c>
      <c r="C5" s="15" t="s">
        <v>273</v>
      </c>
      <c r="D5" s="15" t="s">
        <v>274</v>
      </c>
      <c r="E5" s="15" t="s">
        <v>275</v>
      </c>
      <c r="F5" s="15" t="s">
        <v>276</v>
      </c>
    </row>
    <row r="6" customFormat="false" ht="15" hidden="false" customHeight="false" outlineLevel="0" collapsed="false">
      <c r="A6" s="3" t="s">
        <v>295</v>
      </c>
      <c r="B6" s="3"/>
      <c r="C6" s="3"/>
      <c r="D6" s="3"/>
      <c r="E6" s="3"/>
      <c r="F6" s="3"/>
    </row>
    <row r="7" customFormat="false" ht="15" hidden="false" customHeight="false" outlineLevel="0" collapsed="false">
      <c r="A7" s="0" t="s">
        <v>296</v>
      </c>
      <c r="B7" s="17" t="n">
        <f aca="false">Assumptions!$C$97</f>
        <v>5887000</v>
      </c>
      <c r="C7" s="17" t="n">
        <f aca="false">IF('Operating Model'!$C$4&lt;=Assumptions!$C$99,IF('Operating Model'!$B$4&lt;=Assumptions!$C$99,B10,Assumptions!$C$97),0)</f>
        <v>5887000</v>
      </c>
      <c r="D7" s="17" t="n">
        <f aca="false">IF('Operating Model'!$D$4&lt;=Assumptions!$C$99,IF('Operating Model'!$C$4&lt;=Assumptions!$C$99,C10,Assumptions!$C$97),0)</f>
        <v>5887000</v>
      </c>
      <c r="E7" s="17" t="n">
        <f aca="false">IF('Operating Model'!$E$4&lt;=Assumptions!$C$99,IF('Operating Model'!$D$4&lt;=Assumptions!$C$99,D10,Assumptions!$C$97),0)</f>
        <v>0</v>
      </c>
      <c r="F7" s="17" t="n">
        <f aca="false">IF('Operating Model'!$F$4&lt;=Assumptions!$C$99,IF('Operating Model'!$E$4&lt;=Assumptions!$C$99,E10,Assumptions!$C$97),0)</f>
        <v>0</v>
      </c>
    </row>
    <row r="8" customFormat="false" ht="15" hidden="false" customHeight="false" outlineLevel="0" collapsed="false">
      <c r="A8" s="0" t="s">
        <v>219</v>
      </c>
      <c r="B8" s="17" t="n">
        <f aca="false">IF('Operating Model'!$B$4&lt;=Assumptions!$C$99,B7*Assumptions!$C$98,0)</f>
        <v>176610</v>
      </c>
      <c r="C8" s="17" t="n">
        <f aca="false">IF('Operating Model'!$C$4&lt;=Assumptions!$C$99,C7*Assumptions!$C$98,0)</f>
        <v>176610</v>
      </c>
      <c r="D8" s="17" t="n">
        <f aca="false">IF('Operating Model'!$D$4&lt;=Assumptions!$C$99,D7*Assumptions!$C$98,0)</f>
        <v>176610</v>
      </c>
      <c r="E8" s="17" t="n">
        <f aca="false">IF('Operating Model'!$E$4&lt;=Assumptions!$C$99,E7*Assumptions!$C$98,0)</f>
        <v>0</v>
      </c>
      <c r="F8" s="17" t="n">
        <f aca="false">IF('Operating Model'!$F$4&lt;=Assumptions!$C$99,F7*Assumptions!$C$98,0)</f>
        <v>0</v>
      </c>
    </row>
    <row r="9" customFormat="false" ht="15" hidden="false" customHeight="false" outlineLevel="0" collapsed="false">
      <c r="A9" s="0" t="s">
        <v>297</v>
      </c>
      <c r="B9" s="17" t="n">
        <f aca="false">IF('Operating Model'!$B$4&lt;=Assumptions!$C$99,IF(Assumptions!$C$103=1,0,(-PMT(Assumptions!$C$98,Assumptions!$C$94,Assumptions!$C$97)-B8)),0)</f>
        <v>0</v>
      </c>
      <c r="C9" s="17" t="n">
        <f aca="false">IF('Operating Model'!$C$4&lt;=Assumptions!$C$99,IF(Assumptions!$C$103=1,0,(-PMT(Assumptions!$C$98,Assumptions!$C$94,Assumptions!$C$97)-C8)),0)</f>
        <v>0</v>
      </c>
      <c r="D9" s="17" t="n">
        <f aca="false">IF('Operating Model'!$D$4&lt;=Assumptions!$C$99,IF(Assumptions!$C$103=1,0,(-PMT(Assumptions!$C$98,Assumptions!$C$94,Assumptions!$C$97)-D8)),0)</f>
        <v>0</v>
      </c>
      <c r="E9" s="17" t="n">
        <f aca="false">IF('Operating Model'!$E$4&lt;=Assumptions!$C$99,IF(Assumptions!$C$103=1,0,(-PMT(Assumptions!$C$98,Assumptions!$C$94,Assumptions!$C$97)-E8)),0)</f>
        <v>0</v>
      </c>
      <c r="F9" s="17" t="n">
        <f aca="false">IF('Operating Model'!$F$4&lt;=Assumptions!$C$99,IF(Assumptions!$C$103=1,0,(-PMT(Assumptions!$C$98,Assumptions!$C$94,Assumptions!$C$97)-F8)),0)</f>
        <v>0</v>
      </c>
    </row>
    <row r="10" customFormat="false" ht="15" hidden="false" customHeight="false" outlineLevel="0" collapsed="false">
      <c r="A10" s="0" t="s">
        <v>298</v>
      </c>
      <c r="B10" s="17" t="n">
        <f aca="false">IF('Operating Model'!$B$4&lt;=Assumptions!$C$99,B7-B9,0)</f>
        <v>5887000</v>
      </c>
      <c r="C10" s="17" t="n">
        <f aca="false">IF('Operating Model'!$C$4&lt;=Assumptions!$C$99,C7-C9,0)</f>
        <v>5887000</v>
      </c>
      <c r="D10" s="17" t="n">
        <f aca="false">IF('Operating Model'!$D$4&lt;=Assumptions!$C$99,D7-D9,0)</f>
        <v>5887000</v>
      </c>
      <c r="E10" s="17" t="n">
        <f aca="false">IF('Operating Model'!$E$4&lt;=Assumptions!$C$99,E7-E9,0)</f>
        <v>0</v>
      </c>
      <c r="F10" s="17" t="n">
        <f aca="false">IF('Operating Model'!$F$4&lt;=Assumptions!$C$99,F7-F9,0)</f>
        <v>0</v>
      </c>
    </row>
    <row r="12" customFormat="false" ht="15" hidden="false" customHeight="false" outlineLevel="0" collapsed="false">
      <c r="A12" s="3" t="s">
        <v>299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0" t="s">
        <v>296</v>
      </c>
      <c r="B13" s="17" t="n">
        <f aca="false">Assumptions!$C$100</f>
        <v>3563000</v>
      </c>
      <c r="C13" s="17" t="n">
        <f aca="false">IF('Operating Model'!$C$4&lt;=Assumptions!$C$99,IF('Operating Model'!$B$4&lt;=Assumptions!$C$99,B16,Assumptions!$C$100),0)</f>
        <v>3563000</v>
      </c>
      <c r="D13" s="17" t="n">
        <f aca="false">IF('Operating Model'!$D$4&lt;=Assumptions!$C$99,IF('Operating Model'!$C$4&lt;=Assumptions!$C$99,C16,Assumptions!$C$100),0)</f>
        <v>3563000</v>
      </c>
      <c r="E13" s="17" t="n">
        <f aca="false">IF('Operating Model'!$E$4&lt;=Assumptions!$C$99,IF('Operating Model'!$D$4&lt;=Assumptions!$C$99,D16,Assumptions!$C$100),0)</f>
        <v>0</v>
      </c>
      <c r="F13" s="17" t="n">
        <f aca="false">IF('Operating Model'!$F$4&lt;=Assumptions!$C$99,IF('Operating Model'!$E$4&lt;=Assumptions!$C$99,E16,Assumptions!$C$100),0)</f>
        <v>0</v>
      </c>
    </row>
    <row r="14" customFormat="false" ht="15" hidden="false" customHeight="false" outlineLevel="0" collapsed="false">
      <c r="A14" s="0" t="s">
        <v>219</v>
      </c>
      <c r="B14" s="17" t="n">
        <f aca="false">IF('Operating Model'!$B$4&lt;=Assumptions!$C$99,B13*Assumptions!$C$101,0)</f>
        <v>220906</v>
      </c>
      <c r="C14" s="17" t="n">
        <f aca="false">IF('Operating Model'!$C$4&lt;=Assumptions!$C$99,C13*Assumptions!$C$101,0)</f>
        <v>220906</v>
      </c>
      <c r="D14" s="17" t="n">
        <f aca="false">IF('Operating Model'!$D$4&lt;=Assumptions!$C$99,D13*Assumptions!$C$101,0)</f>
        <v>220906</v>
      </c>
      <c r="E14" s="17" t="n">
        <f aca="false">IF('Operating Model'!$E$4&lt;=Assumptions!$C$99,E13*Assumptions!$C$101,0)</f>
        <v>0</v>
      </c>
      <c r="F14" s="17" t="n">
        <f aca="false">IF('Operating Model'!$F$4&lt;=Assumptions!$C$99,F13*Assumptions!$C$101,0)</f>
        <v>0</v>
      </c>
    </row>
    <row r="15" customFormat="false" ht="15" hidden="false" customHeight="false" outlineLevel="0" collapsed="false">
      <c r="A15" s="0" t="s">
        <v>297</v>
      </c>
      <c r="B15" s="17" t="n">
        <f aca="false">IF('Operating Model'!$B$4&lt;=Assumptions!$C$99,IF(Assumptions!$C$103=1,0,(-PMT(Assumptions!$C$101,Assumptions!$C$94,Assumptions!$C$100)-B14)),0)</f>
        <v>0</v>
      </c>
      <c r="C15" s="17" t="n">
        <f aca="false">IF('Operating Model'!$C$4&lt;=Assumptions!$C$99,IF(Assumptions!$C$103=1,0,(-PMT(Assumptions!$C$101,Assumptions!$C$94,Assumptions!$C$100)-C14)),0)</f>
        <v>0</v>
      </c>
      <c r="D15" s="17" t="n">
        <f aca="false">IF('Operating Model'!$D$4&lt;=Assumptions!$C$99,IF(Assumptions!$C$103=1,0,(-PMT(Assumptions!$C$101,Assumptions!$C$94,Assumptions!$C$100)-D14)),0)</f>
        <v>0</v>
      </c>
      <c r="E15" s="17" t="n">
        <f aca="false">IF('Operating Model'!$E$4&lt;=Assumptions!$C$99,IF(Assumptions!$C$103=1,0,(-PMT(Assumptions!$C$101,Assumptions!$C$94,Assumptions!$C$100)-E14)),0)</f>
        <v>0</v>
      </c>
      <c r="F15" s="17" t="n">
        <f aca="false">IF('Operating Model'!$F$4&lt;=Assumptions!$C$99,IF(Assumptions!$C$103=1,0,(-PMT(Assumptions!$C$101,Assumptions!$C$94,Assumptions!$C$100)-F14)),0)</f>
        <v>0</v>
      </c>
    </row>
    <row r="16" customFormat="false" ht="15" hidden="false" customHeight="false" outlineLevel="0" collapsed="false">
      <c r="A16" s="0" t="s">
        <v>298</v>
      </c>
      <c r="B16" s="17" t="n">
        <f aca="false">IF('Operating Model'!$B$4&lt;=Assumptions!$C$99,B13-B15,0)</f>
        <v>3563000</v>
      </c>
      <c r="C16" s="17" t="n">
        <f aca="false">IF('Operating Model'!$C$4&lt;=Assumptions!$C$99,C13-C15,0)</f>
        <v>3563000</v>
      </c>
      <c r="D16" s="17" t="n">
        <f aca="false">IF('Operating Model'!$D$4&lt;=Assumptions!$C$99,D13-D15,0)</f>
        <v>3563000</v>
      </c>
      <c r="E16" s="17" t="n">
        <f aca="false">IF('Operating Model'!$E$4&lt;=Assumptions!$C$99,E13-E15,0)</f>
        <v>0</v>
      </c>
      <c r="F16" s="17" t="n">
        <f aca="false">IF('Operating Model'!$F$4&lt;=Assumptions!$C$99,F13-F15,0)</f>
        <v>0</v>
      </c>
    </row>
    <row r="18" customFormat="false" ht="15" hidden="false" customHeight="false" outlineLevel="0" collapsed="false">
      <c r="A18" s="3" t="s">
        <v>300</v>
      </c>
      <c r="B18" s="3"/>
      <c r="C18" s="3"/>
      <c r="D18" s="3"/>
      <c r="E18" s="3"/>
      <c r="F18" s="3"/>
    </row>
    <row r="19" customFormat="false" ht="15" hidden="false" customHeight="false" outlineLevel="0" collapsed="false">
      <c r="A19" s="0" t="s">
        <v>301</v>
      </c>
      <c r="B19" s="17" t="n">
        <f aca="false">INDEX(B10:F10,Assumptions!$C$99)+INDEX(B16:F16,Assumptions!$C$99)</f>
        <v>9450000</v>
      </c>
    </row>
    <row r="20" customFormat="false" ht="15" hidden="false" customHeight="false" outlineLevel="0" collapsed="false">
      <c r="A20" s="0" t="s">
        <v>302</v>
      </c>
      <c r="B20" s="17" t="n">
        <f aca="false">INDEX('Operating Model'!$B$46:$K$46,Assumptions!$C$99+1)</f>
        <v>863912.982580243</v>
      </c>
    </row>
    <row r="21" customFormat="false" ht="15" hidden="false" customHeight="false" outlineLevel="0" collapsed="false">
      <c r="A21" s="0" t="s">
        <v>303</v>
      </c>
      <c r="B21" s="17" t="n">
        <f aca="false">'Debt (Assumed)'!$B$20/Returns!$B$34</f>
        <v>13013107.8951612</v>
      </c>
    </row>
    <row r="22" customFormat="false" ht="15" hidden="false" customHeight="false" outlineLevel="0" collapsed="false">
      <c r="A22" s="0" t="s">
        <v>304</v>
      </c>
      <c r="B22" s="17" t="n">
        <f aca="false">B21*Assumptions!$C$90</f>
        <v>8458520.13185476</v>
      </c>
    </row>
    <row r="23" customFormat="false" ht="15" hidden="false" customHeight="false" outlineLevel="0" collapsed="false">
      <c r="A23" s="0" t="s">
        <v>305</v>
      </c>
      <c r="B23" s="17" t="n">
        <f aca="false">'Debt (Assumed)'!$B$20/Assumptions!$C$92</f>
        <v>10798912.282253</v>
      </c>
    </row>
    <row r="24" customFormat="false" ht="15" hidden="false" customHeight="false" outlineLevel="0" collapsed="false">
      <c r="A24" s="0" t="s">
        <v>306</v>
      </c>
      <c r="B24" s="17" t="n">
        <f aca="false">'Debt (Assumed)'!$B$20/(Assumptions!$C$91*Assumptions!$C$89)</f>
        <v>9734230.78963654</v>
      </c>
    </row>
    <row r="25" customFormat="false" ht="15" hidden="false" customHeight="false" outlineLevel="0" collapsed="false">
      <c r="A25" s="15" t="s">
        <v>307</v>
      </c>
      <c r="B25" s="9" t="n">
        <f aca="false">MIN(B22:B24)</f>
        <v>8458520.13185476</v>
      </c>
    </row>
    <row r="26" customFormat="false" ht="15" hidden="false" customHeight="false" outlineLevel="0" collapsed="false">
      <c r="A26" s="0" t="s">
        <v>308</v>
      </c>
      <c r="B26" s="17" t="n">
        <f aca="false">B19-'Debt (Assumed)'!$B$25</f>
        <v>991479.868145241</v>
      </c>
    </row>
    <row r="28" customFormat="false" ht="15" hidden="false" customHeight="false" outlineLevel="0" collapsed="false">
      <c r="A28" s="3" t="s">
        <v>309</v>
      </c>
      <c r="B28" s="3"/>
      <c r="C28" s="3"/>
      <c r="D28" s="3"/>
      <c r="E28" s="3"/>
      <c r="F28" s="3"/>
    </row>
    <row r="29" customFormat="false" ht="15" hidden="false" customHeight="false" outlineLevel="0" collapsed="false">
      <c r="A29" s="0" t="s">
        <v>310</v>
      </c>
      <c r="B29" s="17" t="n">
        <f aca="false">-PMT(Assumptions!$C$89,Assumptions!$C$94,'Debt (Assumed)'!$B$25)</f>
        <v>688501.930990316</v>
      </c>
    </row>
    <row r="30" customFormat="false" ht="15" hidden="false" customHeight="false" outlineLevel="0" collapsed="false">
      <c r="A30" s="0" t="s">
        <v>296</v>
      </c>
      <c r="B30" s="17" t="n">
        <f aca="false">IF('Operating Model'!$B$4=Assumptions!$C$99+1,'Debt (Assumed)'!$B$25,IF('Operating Model'!$B$4&gt;Assumptions!$C$99+1,none33,0))</f>
        <v>0</v>
      </c>
      <c r="C30" s="17" t="n">
        <f aca="false">IF('Operating Model'!$C$4=Assumptions!$C$99+1,'Debt (Assumed)'!$B$25,IF('Operating Model'!$C$4&gt;Assumptions!$C$99+1,B33,0))</f>
        <v>0</v>
      </c>
      <c r="D30" s="17" t="n">
        <f aca="false">IF('Operating Model'!$D$4=Assumptions!$C$99+1,'Debt (Assumed)'!$B$25,IF('Operating Model'!$D$4&gt;Assumptions!$C$99+1,C33,0))</f>
        <v>0</v>
      </c>
      <c r="E30" s="17" t="n">
        <f aca="false">IF('Operating Model'!$E$4=Assumptions!$C$99+1,'Debt (Assumed)'!$B$25,IF('Operating Model'!$E$4&gt;Assumptions!$C$99+1,D33,0))</f>
        <v>8458520.13185476</v>
      </c>
      <c r="F30" s="17" t="n">
        <f aca="false">IF('Operating Model'!$F$4=Assumptions!$C$99+1,'Debt (Assumed)'!$B$25,IF('Operating Model'!$F$4&gt;Assumptions!$C$99+1,E33,0))</f>
        <v>8458520.13185476</v>
      </c>
    </row>
    <row r="31" customFormat="false" ht="15" hidden="false" customHeight="false" outlineLevel="0" collapsed="false">
      <c r="A31" s="0" t="s">
        <v>219</v>
      </c>
      <c r="B31" s="17" t="n">
        <f aca="false">IF('Operating Model'!$B$4&gt;Assumptions!$C$99,B30*Assumptions!$C$89,0)</f>
        <v>0</v>
      </c>
      <c r="C31" s="17" t="n">
        <f aca="false">IF('Operating Model'!$C$4&gt;Assumptions!$C$99,C30*Assumptions!$C$89,0)</f>
        <v>0</v>
      </c>
      <c r="D31" s="17" t="n">
        <f aca="false">IF('Operating Model'!$D$4&gt;Assumptions!$C$99,D30*Assumptions!$C$89,0)</f>
        <v>0</v>
      </c>
      <c r="E31" s="17" t="n">
        <f aca="false">IF('Operating Model'!$E$4&gt;Assumptions!$C$99,E30*Assumptions!$C$89,0)</f>
        <v>600554.929361688</v>
      </c>
      <c r="F31" s="17" t="n">
        <f aca="false">IF('Operating Model'!$F$4&gt;Assumptions!$C$99,F30*Assumptions!$C$89,0)</f>
        <v>600554.929361688</v>
      </c>
    </row>
    <row r="32" customFormat="false" ht="15" hidden="false" customHeight="false" outlineLevel="0" collapsed="false">
      <c r="A32" s="0" t="s">
        <v>311</v>
      </c>
      <c r="B32" s="17" t="n">
        <f aca="false">IF('Operating Model'!$B$4&gt;Assumptions!$C$99,IF(('Operating Model'!$B$4-Assumptions!$C$99)&lt;=Assumptions!$C$93,0,'Debt (Assumed)'!$B$29-B31),0)</f>
        <v>0</v>
      </c>
      <c r="C32" s="17" t="n">
        <f aca="false">IF('Operating Model'!$C$4&gt;Assumptions!$C$99,IF(('Operating Model'!$C$4-Assumptions!$C$99)&lt;=Assumptions!$C$93,0,'Debt (Assumed)'!$B$29-C31),0)</f>
        <v>0</v>
      </c>
      <c r="D32" s="17" t="n">
        <f aca="false">IF('Operating Model'!$D$4&gt;Assumptions!$C$99,IF(('Operating Model'!$D$4-Assumptions!$C$99)&lt;=Assumptions!$C$93,0,'Debt (Assumed)'!$B$29-D31),0)</f>
        <v>0</v>
      </c>
      <c r="E32" s="17" t="n">
        <f aca="false">IF('Operating Model'!$E$4&gt;Assumptions!$C$99,IF(('Operating Model'!$E$4-Assumptions!$C$99)&lt;=Assumptions!$C$93,0,'Debt (Assumed)'!$B$29-E31),0)</f>
        <v>0</v>
      </c>
      <c r="F32" s="17" t="n">
        <f aca="false">IF('Operating Model'!$F$4&gt;Assumptions!$C$99,IF(('Operating Model'!$F$4-Assumptions!$C$99)&lt;=Assumptions!$C$93,0,'Debt (Assumed)'!$B$29-F31),0)</f>
        <v>0</v>
      </c>
    </row>
    <row r="33" customFormat="false" ht="15" hidden="false" customHeight="false" outlineLevel="0" collapsed="false">
      <c r="A33" s="0" t="s">
        <v>298</v>
      </c>
      <c r="B33" s="17" t="n">
        <f aca="false">IF('Operating Model'!$B$4&gt;Assumptions!$C$99,B30-B32,0)</f>
        <v>0</v>
      </c>
      <c r="C33" s="17" t="n">
        <f aca="false">IF('Operating Model'!$C$4&gt;Assumptions!$C$99,C30-C32,0)</f>
        <v>0</v>
      </c>
      <c r="D33" s="17" t="n">
        <f aca="false">IF('Operating Model'!$D$4&gt;Assumptions!$C$99,D30-D32,0)</f>
        <v>0</v>
      </c>
      <c r="E33" s="17" t="n">
        <f aca="false">IF('Operating Model'!$E$4&gt;Assumptions!$C$99,E30-E32,0)</f>
        <v>8458520.13185476</v>
      </c>
      <c r="F33" s="17" t="n">
        <f aca="false">IF('Operating Model'!$F$4&gt;Assumptions!$C$99,F30-F32,0)</f>
        <v>8458520.13185476</v>
      </c>
    </row>
    <row r="35" customFormat="false" ht="15" hidden="false" customHeight="false" outlineLevel="0" collapsed="false">
      <c r="A35" s="3" t="s">
        <v>312</v>
      </c>
      <c r="B35" s="3"/>
      <c r="C35" s="3"/>
      <c r="D35" s="3"/>
      <c r="E35" s="3"/>
      <c r="F35" s="3"/>
    </row>
    <row r="36" customFormat="false" ht="15" hidden="false" customHeight="false" outlineLevel="0" collapsed="false">
      <c r="A36" s="0" t="s">
        <v>313</v>
      </c>
      <c r="B36" s="17" t="n">
        <f aca="false">B8+B14+B31</f>
        <v>397516</v>
      </c>
      <c r="C36" s="17" t="n">
        <f aca="false">C8+C14+C31</f>
        <v>397516</v>
      </c>
      <c r="D36" s="17" t="n">
        <f aca="false">D8+D14+D31</f>
        <v>397516</v>
      </c>
      <c r="E36" s="17" t="n">
        <f aca="false">E8+E14+E31</f>
        <v>600554.929361688</v>
      </c>
      <c r="F36" s="17" t="n">
        <f aca="false">F8+F14+F31</f>
        <v>600554.929361688</v>
      </c>
    </row>
    <row r="37" customFormat="false" ht="15" hidden="false" customHeight="false" outlineLevel="0" collapsed="false">
      <c r="A37" s="0" t="s">
        <v>314</v>
      </c>
      <c r="B37" s="17" t="n">
        <f aca="false">B9+B15+B32</f>
        <v>0</v>
      </c>
      <c r="C37" s="17" t="n">
        <f aca="false">C9+C15+C32</f>
        <v>0</v>
      </c>
      <c r="D37" s="17" t="n">
        <f aca="false">D9+D15+D32</f>
        <v>0</v>
      </c>
      <c r="E37" s="17" t="n">
        <f aca="false">E9+E15+E32</f>
        <v>0</v>
      </c>
      <c r="F37" s="17" t="n">
        <f aca="false">F9+F15+F32</f>
        <v>0</v>
      </c>
    </row>
    <row r="38" customFormat="false" ht="15" hidden="false" customHeight="false" outlineLevel="0" collapsed="false">
      <c r="A38" s="15" t="s">
        <v>315</v>
      </c>
      <c r="B38" s="9" t="n">
        <f aca="false">B36+B37</f>
        <v>397516</v>
      </c>
      <c r="C38" s="9" t="n">
        <f aca="false">C36+C37</f>
        <v>397516</v>
      </c>
      <c r="D38" s="9" t="n">
        <f aca="false">D36+D37</f>
        <v>397516</v>
      </c>
      <c r="E38" s="9" t="n">
        <f aca="false">E36+E37</f>
        <v>600554.929361688</v>
      </c>
      <c r="F38" s="9" t="n">
        <f aca="false">F36+F37</f>
        <v>600554.929361688</v>
      </c>
    </row>
    <row r="39" customFormat="false" ht="15" hidden="false" customHeight="false" outlineLevel="0" collapsed="false">
      <c r="A39" s="15" t="s">
        <v>316</v>
      </c>
      <c r="B39" s="9" t="n">
        <f aca="false">B10+B16+B33</f>
        <v>9450000</v>
      </c>
      <c r="C39" s="9" t="n">
        <f aca="false">C10+C16+C33</f>
        <v>9450000</v>
      </c>
      <c r="D39" s="9" t="n">
        <f aca="false">D10+D16+D33</f>
        <v>9450000</v>
      </c>
      <c r="E39" s="9" t="n">
        <f aca="false">E10+E16+E33</f>
        <v>8458520.13185476</v>
      </c>
      <c r="F39" s="9" t="n">
        <f aca="false">F10+F16+F33</f>
        <v>8458520.13185476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317</v>
      </c>
    </row>
    <row r="3" customFormat="false" ht="15" hidden="false" customHeight="false" outlineLevel="0" collapsed="false">
      <c r="A3" s="2" t="s">
        <v>318</v>
      </c>
    </row>
    <row r="5" customFormat="false" ht="15" hidden="false" customHeight="false" outlineLevel="0" collapsed="false">
      <c r="A5" s="3" t="s">
        <v>319</v>
      </c>
      <c r="B5" s="3"/>
    </row>
    <row r="6" customFormat="false" ht="15" hidden="false" customHeight="false" outlineLevel="0" collapsed="false">
      <c r="A6" s="0" t="s">
        <v>320</v>
      </c>
      <c r="B6" s="17" t="n">
        <f aca="false">(Assumptions!$C$97+Assumptions!$C$100)*Assumptions!$C$104</f>
        <v>47250</v>
      </c>
    </row>
    <row r="7" customFormat="false" ht="15" hidden="false" customHeight="false" outlineLevel="0" collapsed="false">
      <c r="A7" s="0" t="s">
        <v>321</v>
      </c>
      <c r="B7" s="17" t="n">
        <f aca="false">Capital!$B$8+'Returns (Assumed)'!$B$6</f>
        <v>14545290</v>
      </c>
    </row>
    <row r="8" customFormat="false" ht="15" hidden="false" customHeight="false" outlineLevel="0" collapsed="false">
      <c r="A8" s="0" t="s">
        <v>322</v>
      </c>
      <c r="B8" s="17" t="n">
        <f aca="false">Assumptions!$C$97+Assumptions!$C$100</f>
        <v>9450000</v>
      </c>
    </row>
    <row r="9" customFormat="false" ht="15" hidden="false" customHeight="false" outlineLevel="0" collapsed="false">
      <c r="A9" s="15" t="s">
        <v>323</v>
      </c>
      <c r="B9" s="9" t="n">
        <f aca="false">'Returns (Assumed)'!$B$7-'Returns (Assumed)'!$B$8</f>
        <v>5095290</v>
      </c>
    </row>
    <row r="10" customFormat="false" ht="15" hidden="false" customHeight="false" outlineLevel="0" collapsed="false">
      <c r="A10" s="0" t="s">
        <v>324</v>
      </c>
      <c r="B10" s="17" t="n">
        <f aca="false">'Returns (Assumed)'!$B$9*(1-Assumptions!$C$119)</f>
        <v>4585761</v>
      </c>
    </row>
    <row r="11" customFormat="false" ht="15" hidden="false" customHeight="false" outlineLevel="0" collapsed="false">
      <c r="A11" s="0" t="s">
        <v>325</v>
      </c>
      <c r="B11" s="17" t="n">
        <f aca="false">'Returns (Assumed)'!$B$9*Assumptions!$C$119</f>
        <v>509529</v>
      </c>
    </row>
    <row r="12" customFormat="false" ht="15" hidden="false" customHeight="false" outlineLevel="0" collapsed="false">
      <c r="A12" s="0" t="s">
        <v>326</v>
      </c>
      <c r="B12" s="17" t="n">
        <f aca="false">Capital!$B$12</f>
        <v>5528040</v>
      </c>
    </row>
    <row r="14" customFormat="false" ht="15" hidden="false" customHeight="false" outlineLevel="0" collapsed="false">
      <c r="A14" s="3" t="s">
        <v>327</v>
      </c>
      <c r="B14" s="3"/>
    </row>
    <row r="15" customFormat="false" ht="15" hidden="false" customHeight="false" outlineLevel="0" collapsed="false">
      <c r="A15" s="0" t="s">
        <v>328</v>
      </c>
      <c r="B15" s="17" t="n">
        <f aca="false">Returns!$B$38</f>
        <v>14494267.4454581</v>
      </c>
    </row>
    <row r="16" customFormat="false" ht="15" hidden="false" customHeight="false" outlineLevel="0" collapsed="false">
      <c r="A16" s="0" t="s">
        <v>266</v>
      </c>
      <c r="B16" s="17" t="n">
        <f aca="false">-B15*Assumptions!$C$110</f>
        <v>-289885.348909161</v>
      </c>
    </row>
    <row r="17" customFormat="false" ht="15" hidden="false" customHeight="false" outlineLevel="0" collapsed="false">
      <c r="A17" s="0" t="s">
        <v>329</v>
      </c>
      <c r="B17" s="17" t="n">
        <f aca="false">-'Debt (Assumed)'!F$39</f>
        <v>-8458520.13185476</v>
      </c>
    </row>
    <row r="18" customFormat="false" ht="15" hidden="false" customHeight="false" outlineLevel="0" collapsed="false">
      <c r="A18" s="15" t="s">
        <v>330</v>
      </c>
      <c r="B18" s="9" t="n">
        <f aca="false">B15+B16+B17</f>
        <v>5745861.96469414</v>
      </c>
    </row>
    <row r="20" customFormat="false" ht="15" hidden="false" customHeight="false" outlineLevel="0" collapsed="false">
      <c r="A20" s="3" t="s">
        <v>270</v>
      </c>
      <c r="B20" s="3"/>
      <c r="C20" s="3"/>
      <c r="D20" s="3"/>
      <c r="E20" s="3"/>
      <c r="F20" s="3"/>
      <c r="G20" s="3"/>
    </row>
    <row r="21" customFormat="false" ht="15" hidden="false" customHeight="false" outlineLevel="0" collapsed="false">
      <c r="B21" s="15" t="s">
        <v>271</v>
      </c>
      <c r="C21" s="15" t="s">
        <v>272</v>
      </c>
      <c r="D21" s="15" t="s">
        <v>273</v>
      </c>
      <c r="E21" s="15" t="s">
        <v>274</v>
      </c>
      <c r="F21" s="15" t="s">
        <v>275</v>
      </c>
      <c r="G21" s="15" t="s">
        <v>276</v>
      </c>
    </row>
    <row r="22" customFormat="false" ht="15" hidden="false" customHeight="false" outlineLevel="0" collapsed="false">
      <c r="A22" s="0" t="s">
        <v>331</v>
      </c>
      <c r="C22" s="17" t="n">
        <f aca="false">'Operating Model'!$B$52</f>
        <v>887755.451496</v>
      </c>
      <c r="D22" s="17" t="n">
        <f aca="false">'Operating Model'!$C$52</f>
        <v>706921.262476355</v>
      </c>
      <c r="E22" s="17" t="n">
        <f aca="false">'Operating Model'!$D$52</f>
        <v>848101.124449834</v>
      </c>
      <c r="F22" s="17" t="n">
        <f aca="false">'Operating Model'!$E$52</f>
        <v>831649.292417743</v>
      </c>
      <c r="G22" s="17" t="n">
        <f aca="false">'Operating Model'!$F$52</f>
        <v>814311.765322441</v>
      </c>
    </row>
    <row r="23" customFormat="false" ht="15" hidden="false" customHeight="false" outlineLevel="0" collapsed="false">
      <c r="A23" s="0" t="s">
        <v>332</v>
      </c>
      <c r="C23" s="17" t="n">
        <f aca="false">-'Debt (Assumed)'!B$38</f>
        <v>-397516</v>
      </c>
      <c r="D23" s="17" t="n">
        <f aca="false">-'Debt (Assumed)'!C$38</f>
        <v>-397516</v>
      </c>
      <c r="E23" s="17" t="n">
        <f aca="false">-'Debt (Assumed)'!D$38</f>
        <v>-397516</v>
      </c>
      <c r="F23" s="17" t="n">
        <f aca="false">-'Debt (Assumed)'!E$38</f>
        <v>-600554.929361688</v>
      </c>
      <c r="G23" s="17" t="n">
        <f aca="false">-'Debt (Assumed)'!F$38</f>
        <v>-600554.929361688</v>
      </c>
    </row>
    <row r="24" customFormat="false" ht="15" hidden="false" customHeight="false" outlineLevel="0" collapsed="false">
      <c r="A24" s="0" t="s">
        <v>333</v>
      </c>
      <c r="C24" s="17" t="n">
        <f aca="false">-IF(1=Assumptions!$C$99,'Debt (Assumed)'!$B$26,0)</f>
        <v>-0</v>
      </c>
      <c r="D24" s="17" t="n">
        <f aca="false">-IF(2=Assumptions!$C$99,'Debt (Assumed)'!$B$26,0)</f>
        <v>-0</v>
      </c>
      <c r="E24" s="17" t="n">
        <f aca="false">-IF(3=Assumptions!$C$99,'Debt (Assumed)'!$B$26,0)</f>
        <v>-991479.868145241</v>
      </c>
      <c r="F24" s="17" t="n">
        <f aca="false">-IF(4=Assumptions!$C$99,'Debt (Assumed)'!$B$26,0)</f>
        <v>-0</v>
      </c>
      <c r="G24" s="17" t="n">
        <f aca="false">-IF(5=Assumptions!$C$99,'Debt (Assumed)'!$B$26,0)</f>
        <v>-0</v>
      </c>
    </row>
    <row r="25" customFormat="false" ht="15" hidden="false" customHeight="false" outlineLevel="0" collapsed="false">
      <c r="A25" s="0" t="s">
        <v>334</v>
      </c>
      <c r="C25" s="17" t="n">
        <f aca="false">C22+C23+C24</f>
        <v>490239.451496</v>
      </c>
      <c r="D25" s="17" t="n">
        <f aca="false">D22+D23+D24</f>
        <v>309405.262476355</v>
      </c>
      <c r="E25" s="17" t="n">
        <f aca="false">E22+E23+E24</f>
        <v>-540894.743695407</v>
      </c>
      <c r="F25" s="17" t="n">
        <f aca="false">F22+F23+F24</f>
        <v>231094.363056055</v>
      </c>
      <c r="G25" s="17" t="n">
        <f aca="false">G22+G23+G24</f>
        <v>213756.835960753</v>
      </c>
    </row>
    <row r="26" customFormat="false" ht="15" hidden="false" customHeight="false" outlineLevel="0" collapsed="false">
      <c r="A26" s="0" t="s">
        <v>335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f aca="false">'Returns (Assumed)'!$B$18</f>
        <v>5745861.96469414</v>
      </c>
    </row>
    <row r="27" customFormat="false" ht="15" hidden="false" customHeight="false" outlineLevel="0" collapsed="false">
      <c r="A27" s="15" t="s">
        <v>336</v>
      </c>
      <c r="B27" s="9" t="n">
        <f aca="false">-'Returns (Assumed)'!$B$9</f>
        <v>-5095290</v>
      </c>
      <c r="C27" s="9" t="n">
        <f aca="false">C25+C26</f>
        <v>490239.451496</v>
      </c>
      <c r="D27" s="9" t="n">
        <f aca="false">D25+D26</f>
        <v>309405.262476355</v>
      </c>
      <c r="E27" s="9" t="n">
        <f aca="false">E25+E26</f>
        <v>-540894.743695407</v>
      </c>
      <c r="F27" s="9" t="n">
        <f aca="false">F25+F26</f>
        <v>231094.363056055</v>
      </c>
      <c r="G27" s="9" t="n">
        <f aca="false">G25+G26</f>
        <v>5959618.8006549</v>
      </c>
    </row>
    <row r="29" customFormat="false" ht="15" hidden="false" customHeight="false" outlineLevel="0" collapsed="false">
      <c r="A29" s="3" t="s">
        <v>337</v>
      </c>
      <c r="B29" s="3"/>
    </row>
    <row r="30" customFormat="false" ht="15" hidden="false" customHeight="false" outlineLevel="0" collapsed="false">
      <c r="A30" s="0" t="s">
        <v>338</v>
      </c>
      <c r="B30" s="18" t="n">
        <f aca="false">IFERROR(IRR(B27:G27),"N/A - no sign change / undefined")</f>
        <v>0.0519858729912164</v>
      </c>
    </row>
    <row r="31" customFormat="false" ht="15" hidden="false" customHeight="false" outlineLevel="0" collapsed="false">
      <c r="A31" s="0" t="s">
        <v>339</v>
      </c>
      <c r="B31" s="19" t="n">
        <f aca="false">SUM(C27:G27)/'Returns (Assumed)'!$B$9</f>
        <v>1.26576958995227</v>
      </c>
    </row>
    <row r="32" customFormat="false" ht="15" hidden="false" customHeight="false" outlineLevel="0" collapsed="false">
      <c r="A32" s="0" t="s">
        <v>340</v>
      </c>
      <c r="B32" s="18" t="n">
        <f aca="false">C25/'Returns (Assumed)'!$B$9</f>
        <v>0.0962142393261227</v>
      </c>
    </row>
    <row r="33" customFormat="false" ht="15" hidden="false" customHeight="false" outlineLevel="0" collapsed="false">
      <c r="A33" s="0" t="s">
        <v>341</v>
      </c>
      <c r="B33" s="17" t="n">
        <f aca="false">MAX(0,-MIN(C25:G25))</f>
        <v>540894.743695407</v>
      </c>
    </row>
    <row r="34" customFormat="false" ht="15" hidden="false" customHeight="false" outlineLevel="0" collapsed="false">
      <c r="A34" s="15" t="s">
        <v>342</v>
      </c>
      <c r="B34" s="9" t="n">
        <f aca="false">'Returns (Assumed)'!$B$9+B33</f>
        <v>5636184.74369541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343</v>
      </c>
    </row>
    <row r="3" customFormat="false" ht="15" hidden="false" customHeight="false" outlineLevel="0" collapsed="false">
      <c r="A3" s="2" t="s">
        <v>344</v>
      </c>
    </row>
    <row r="5" customFormat="false" ht="15" hidden="false" customHeight="false" outlineLevel="0" collapsed="false">
      <c r="B5" s="15" t="s">
        <v>271</v>
      </c>
      <c r="C5" s="15" t="s">
        <v>272</v>
      </c>
      <c r="D5" s="15" t="s">
        <v>273</v>
      </c>
      <c r="E5" s="15" t="s">
        <v>274</v>
      </c>
      <c r="F5" s="15" t="s">
        <v>275</v>
      </c>
      <c r="G5" s="15" t="s">
        <v>276</v>
      </c>
    </row>
    <row r="6" customFormat="false" ht="15" hidden="false" customHeight="false" outlineLevel="0" collapsed="false">
      <c r="A6" s="0" t="s">
        <v>345</v>
      </c>
      <c r="B6" s="17" t="n">
        <v>0</v>
      </c>
      <c r="C6" s="17" t="n">
        <f aca="false">'Returns (Assumed)'!C$27</f>
        <v>490239.451496</v>
      </c>
      <c r="D6" s="17" t="n">
        <f aca="false">'Returns (Assumed)'!D$27</f>
        <v>309405.262476355</v>
      </c>
      <c r="E6" s="17" t="n">
        <f aca="false">'Returns (Assumed)'!E$27</f>
        <v>-540894.743695407</v>
      </c>
      <c r="F6" s="17" t="n">
        <f aca="false">'Returns (Assumed)'!F$27</f>
        <v>231094.363056055</v>
      </c>
      <c r="G6" s="17" t="n">
        <f aca="false">'Returns (Assumed)'!G$27</f>
        <v>5959618.8006549</v>
      </c>
    </row>
    <row r="7" customFormat="false" ht="15" hidden="false" customHeight="false" outlineLevel="0" collapsed="false">
      <c r="A7" s="0" t="s">
        <v>346</v>
      </c>
      <c r="B7" s="17" t="n">
        <f aca="false">'Returns (Assumed)'!$B$9</f>
        <v>5095290</v>
      </c>
    </row>
    <row r="8" customFormat="false" ht="15" hidden="false" customHeight="false" outlineLevel="0" collapsed="false">
      <c r="A8" s="0" t="s">
        <v>347</v>
      </c>
      <c r="B8" s="17" t="n">
        <f aca="false">'Returns (Assumed)'!$B$10</f>
        <v>4585761</v>
      </c>
    </row>
    <row r="9" customFormat="false" ht="15" hidden="false" customHeight="false" outlineLevel="0" collapsed="false">
      <c r="A9" s="0" t="s">
        <v>348</v>
      </c>
      <c r="B9" s="17" t="n">
        <f aca="false">'Returns (Assumed)'!$B$11</f>
        <v>509529</v>
      </c>
    </row>
    <row r="11" customFormat="false" ht="15" hidden="false" customHeight="false" outlineLevel="0" collapsed="false">
      <c r="A11" s="3" t="s">
        <v>349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0" t="s">
        <v>350</v>
      </c>
      <c r="B12" s="17" t="n">
        <f aca="false">$B$7</f>
        <v>5095290</v>
      </c>
      <c r="C12" s="17" t="n">
        <f aca="false">B12*(1+Assumptions!$C$113)-C13</f>
        <v>5012673.748504</v>
      </c>
      <c r="D12" s="17" t="n">
        <f aca="false">C12*(1+Assumptions!$C$113)-D13</f>
        <v>5104282.38590797</v>
      </c>
      <c r="E12" s="17" t="n">
        <f aca="false">D12*(1+Assumptions!$C$113)-E13</f>
        <v>6053519.72047601</v>
      </c>
      <c r="F12" s="17" t="n">
        <f aca="false">E12*(1+Assumptions!$C$113)-F13</f>
        <v>6306706.93505804</v>
      </c>
      <c r="G12" s="17" t="n">
        <f aca="false">F12*(1+Assumptions!$C$113)-G13</f>
        <v>851624.689207784</v>
      </c>
    </row>
    <row r="13" customFormat="false" ht="15" hidden="false" customHeight="false" outlineLevel="0" collapsed="false">
      <c r="A13" s="0" t="s">
        <v>351</v>
      </c>
      <c r="C13" s="17" t="n">
        <f aca="false">MIN(C6,B12*(1+Assumptions!$C$113))</f>
        <v>490239.451496</v>
      </c>
      <c r="D13" s="17" t="n">
        <f aca="false">MIN(D6,C12*(1+Assumptions!$C$113))</f>
        <v>309405.262476355</v>
      </c>
      <c r="E13" s="17" t="n">
        <f aca="false">MIN(E6,D12*(1+Assumptions!$C$113))</f>
        <v>-540894.743695407</v>
      </c>
      <c r="F13" s="17" t="n">
        <f aca="false">MIN(F6,E12*(1+Assumptions!$C$113))</f>
        <v>231094.363056055</v>
      </c>
      <c r="G13" s="17" t="n">
        <f aca="false">MIN(G6,F12*(1+Assumptions!$C$113))</f>
        <v>5959618.8006549</v>
      </c>
    </row>
    <row r="14" customFormat="false" ht="15" hidden="false" customHeight="false" outlineLevel="0" collapsed="false">
      <c r="A14" s="0" t="s">
        <v>352</v>
      </c>
      <c r="C14" s="17" t="n">
        <f aca="false">C6-C13</f>
        <v>0</v>
      </c>
      <c r="D14" s="17" t="n">
        <f aca="false">D6-D13</f>
        <v>0</v>
      </c>
      <c r="E14" s="17" t="n">
        <f aca="false">E6-E13</f>
        <v>0</v>
      </c>
      <c r="F14" s="17" t="n">
        <f aca="false">F6-F13</f>
        <v>0</v>
      </c>
      <c r="G14" s="17" t="n">
        <f aca="false">G6-G13</f>
        <v>0</v>
      </c>
    </row>
    <row r="16" customFormat="false" ht="15" hidden="false" customHeight="false" outlineLevel="0" collapsed="false">
      <c r="A16" s="3" t="s">
        <v>353</v>
      </c>
      <c r="B16" s="3"/>
      <c r="C16" s="3"/>
      <c r="D16" s="3"/>
      <c r="E16" s="3"/>
      <c r="F16" s="3"/>
    </row>
    <row r="17" customFormat="false" ht="15" hidden="false" customHeight="false" outlineLevel="0" collapsed="false">
      <c r="A17" s="0" t="s">
        <v>354</v>
      </c>
      <c r="B17" s="17" t="n">
        <f aca="false">$B$7</f>
        <v>5095290</v>
      </c>
      <c r="C17" s="17" t="n">
        <f aca="false">C18-C20</f>
        <v>5216485.348504</v>
      </c>
      <c r="D17" s="17" t="n">
        <f aca="false">D18-D20</f>
        <v>5533058.32784813</v>
      </c>
      <c r="E17" s="17" t="n">
        <f aca="false">E18-E20</f>
        <v>6737920.07088531</v>
      </c>
      <c r="F17" s="17" t="n">
        <f aca="false">F18-F20</f>
        <v>7315376.11633549</v>
      </c>
      <c r="G17" s="17" t="n">
        <f aca="false">G18-G20</f>
        <v>2233602.44964086</v>
      </c>
    </row>
    <row r="18" customFormat="false" ht="15" hidden="false" customHeight="false" outlineLevel="0" collapsed="false">
      <c r="A18" s="0" t="s">
        <v>355</v>
      </c>
      <c r="C18" s="17" t="n">
        <f aca="false">B17*(1+Assumptions!$C$116)-C13</f>
        <v>5216485.348504</v>
      </c>
      <c r="D18" s="17" t="n">
        <f aca="false">C17*(1+Assumptions!$C$116)-D13</f>
        <v>5533058.32784813</v>
      </c>
      <c r="E18" s="17" t="n">
        <f aca="false">D17*(1+Assumptions!$C$116)-E13</f>
        <v>6737920.07088531</v>
      </c>
      <c r="F18" s="17" t="n">
        <f aca="false">E17*(1+Assumptions!$C$116)-F13</f>
        <v>7315376.11633549</v>
      </c>
      <c r="G18" s="17" t="n">
        <f aca="false">F17*(1+Assumptions!$C$116)-G13</f>
        <v>2233602.44964086</v>
      </c>
    </row>
    <row r="19" customFormat="false" ht="15" hidden="false" customHeight="false" outlineLevel="0" collapsed="false">
      <c r="A19" s="0" t="s">
        <v>356</v>
      </c>
      <c r="C19" s="17" t="n">
        <f aca="false">MIN(C14,MAX(0,C18)/Assumptions!$C$114)</f>
        <v>0</v>
      </c>
      <c r="D19" s="17" t="n">
        <f aca="false">MIN(D14,MAX(0,D18)/Assumptions!$C$114)</f>
        <v>0</v>
      </c>
      <c r="E19" s="17" t="n">
        <f aca="false">MIN(E14,MAX(0,E18)/Assumptions!$C$114)</f>
        <v>0</v>
      </c>
      <c r="F19" s="17" t="n">
        <f aca="false">MIN(F14,MAX(0,F18)/Assumptions!$C$114)</f>
        <v>0</v>
      </c>
      <c r="G19" s="17" t="n">
        <f aca="false">MIN(G14,MAX(0,G18)/Assumptions!$C$114)</f>
        <v>0</v>
      </c>
    </row>
    <row r="20" customFormat="false" ht="15" hidden="false" customHeight="false" outlineLevel="0" collapsed="false">
      <c r="A20" s="0" t="s">
        <v>357</v>
      </c>
      <c r="C20" s="17" t="n">
        <f aca="false">C19*Assumptions!$C$114</f>
        <v>0</v>
      </c>
      <c r="D20" s="17" t="n">
        <f aca="false">D19*Assumptions!$C$114</f>
        <v>0</v>
      </c>
      <c r="E20" s="17" t="n">
        <f aca="false">E19*Assumptions!$C$114</f>
        <v>0</v>
      </c>
      <c r="F20" s="17" t="n">
        <f aca="false">F19*Assumptions!$C$114</f>
        <v>0</v>
      </c>
      <c r="G20" s="17" t="n">
        <f aca="false">G19*Assumptions!$C$114</f>
        <v>0</v>
      </c>
    </row>
    <row r="21" customFormat="false" ht="15" hidden="false" customHeight="false" outlineLevel="0" collapsed="false">
      <c r="A21" s="0" t="s">
        <v>358</v>
      </c>
      <c r="C21" s="17" t="n">
        <f aca="false">C19*Assumptions!$C$115</f>
        <v>0</v>
      </c>
      <c r="D21" s="17" t="n">
        <f aca="false">D19*Assumptions!$C$115</f>
        <v>0</v>
      </c>
      <c r="E21" s="17" t="n">
        <f aca="false">E19*Assumptions!$C$115</f>
        <v>0</v>
      </c>
      <c r="F21" s="17" t="n">
        <f aca="false">F19*Assumptions!$C$115</f>
        <v>0</v>
      </c>
      <c r="G21" s="17" t="n">
        <f aca="false">G19*Assumptions!$C$115</f>
        <v>0</v>
      </c>
    </row>
    <row r="22" customFormat="false" ht="15" hidden="false" customHeight="false" outlineLevel="0" collapsed="false">
      <c r="A22" s="0" t="s">
        <v>359</v>
      </c>
      <c r="C22" s="17" t="n">
        <f aca="false">C14-C19</f>
        <v>0</v>
      </c>
      <c r="D22" s="17" t="n">
        <f aca="false">D14-D19</f>
        <v>0</v>
      </c>
      <c r="E22" s="17" t="n">
        <f aca="false">E14-E19</f>
        <v>0</v>
      </c>
      <c r="F22" s="17" t="n">
        <f aca="false">F14-F19</f>
        <v>0</v>
      </c>
      <c r="G22" s="17" t="n">
        <f aca="false">G14-G19</f>
        <v>0</v>
      </c>
    </row>
    <row r="24" customFormat="false" ht="15" hidden="false" customHeight="false" outlineLevel="0" collapsed="false">
      <c r="A24" s="3" t="s">
        <v>360</v>
      </c>
      <c r="B24" s="3"/>
      <c r="C24" s="3"/>
      <c r="D24" s="3"/>
      <c r="E24" s="3"/>
      <c r="F24" s="3"/>
    </row>
    <row r="25" customFormat="false" ht="15" hidden="false" customHeight="false" outlineLevel="0" collapsed="false">
      <c r="A25" s="0" t="s">
        <v>361</v>
      </c>
      <c r="C25" s="17" t="n">
        <f aca="false">C22</f>
        <v>0</v>
      </c>
      <c r="D25" s="17" t="n">
        <f aca="false">D22</f>
        <v>0</v>
      </c>
      <c r="E25" s="17" t="n">
        <f aca="false">E22</f>
        <v>0</v>
      </c>
      <c r="F25" s="17" t="n">
        <f aca="false">F22</f>
        <v>0</v>
      </c>
      <c r="G25" s="17" t="n">
        <f aca="false">G22</f>
        <v>0</v>
      </c>
    </row>
    <row r="26" customFormat="false" ht="15" hidden="false" customHeight="false" outlineLevel="0" collapsed="false">
      <c r="A26" s="0" t="s">
        <v>362</v>
      </c>
      <c r="C26" s="17" t="n">
        <f aca="false">C25*Assumptions!$C$117</f>
        <v>0</v>
      </c>
      <c r="D26" s="17" t="n">
        <f aca="false">D25*Assumptions!$C$117</f>
        <v>0</v>
      </c>
      <c r="E26" s="17" t="n">
        <f aca="false">E25*Assumptions!$C$117</f>
        <v>0</v>
      </c>
      <c r="F26" s="17" t="n">
        <f aca="false">F25*Assumptions!$C$117</f>
        <v>0</v>
      </c>
      <c r="G26" s="17" t="n">
        <f aca="false">G25*Assumptions!$C$117</f>
        <v>0</v>
      </c>
    </row>
    <row r="27" customFormat="false" ht="15" hidden="false" customHeight="false" outlineLevel="0" collapsed="false">
      <c r="A27" s="0" t="s">
        <v>363</v>
      </c>
      <c r="C27" s="17" t="n">
        <f aca="false">C25*Assumptions!$C$118</f>
        <v>0</v>
      </c>
      <c r="D27" s="17" t="n">
        <f aca="false">D25*Assumptions!$C$118</f>
        <v>0</v>
      </c>
      <c r="E27" s="17" t="n">
        <f aca="false">E25*Assumptions!$C$118</f>
        <v>0</v>
      </c>
      <c r="F27" s="17" t="n">
        <f aca="false">F25*Assumptions!$C$118</f>
        <v>0</v>
      </c>
      <c r="G27" s="17" t="n">
        <f aca="false">G25*Assumptions!$C$118</f>
        <v>0</v>
      </c>
    </row>
    <row r="29" customFormat="false" ht="15" hidden="false" customHeight="false" outlineLevel="0" collapsed="false">
      <c r="A29" s="3" t="s">
        <v>364</v>
      </c>
      <c r="B29" s="3"/>
      <c r="C29" s="3"/>
      <c r="D29" s="3"/>
      <c r="E29" s="3"/>
      <c r="F29" s="3"/>
    </row>
    <row r="30" customFormat="false" ht="15" hidden="false" customHeight="false" outlineLevel="0" collapsed="false">
      <c r="A30" s="0" t="s">
        <v>365</v>
      </c>
      <c r="B30" s="17" t="n">
        <v>0</v>
      </c>
      <c r="C30" s="17" t="n">
        <f aca="false">C13+C20+C26</f>
        <v>490239.451496</v>
      </c>
      <c r="D30" s="17" t="n">
        <f aca="false">D13+D20+D26</f>
        <v>309405.262476355</v>
      </c>
      <c r="E30" s="17" t="n">
        <f aca="false">E13+E20+E26</f>
        <v>-540894.743695407</v>
      </c>
      <c r="F30" s="17" t="n">
        <f aca="false">F13+F20+F26</f>
        <v>231094.363056055</v>
      </c>
      <c r="G30" s="17" t="n">
        <f aca="false">G13+G20+G26</f>
        <v>5959618.8006549</v>
      </c>
    </row>
    <row r="31" customFormat="false" ht="15" hidden="false" customHeight="false" outlineLevel="0" collapsed="false">
      <c r="A31" s="15" t="s">
        <v>366</v>
      </c>
      <c r="B31" s="17" t="n">
        <f aca="false">-'Returns (Assumed)'!$B$10</f>
        <v>-4585761</v>
      </c>
      <c r="C31" s="9" t="n">
        <f aca="false">C30*(1-Assumptions!$C$119)</f>
        <v>441215.5063464</v>
      </c>
      <c r="D31" s="9" t="n">
        <f aca="false">D30*(1-Assumptions!$C$119)</f>
        <v>278464.73622872</v>
      </c>
      <c r="E31" s="9" t="n">
        <f aca="false">E30*(1-Assumptions!$C$119)</f>
        <v>-486805.269325866</v>
      </c>
      <c r="F31" s="9" t="n">
        <f aca="false">F30*(1-Assumptions!$C$119)</f>
        <v>207984.926750449</v>
      </c>
      <c r="G31" s="9" t="n">
        <f aca="false">G30*(1-Assumptions!$C$119)</f>
        <v>5363656.92058941</v>
      </c>
    </row>
    <row r="32" customFormat="false" ht="15" hidden="false" customHeight="false" outlineLevel="0" collapsed="false">
      <c r="A32" s="0" t="s">
        <v>367</v>
      </c>
      <c r="B32" s="17" t="n">
        <f aca="false">-'Returns (Assumed)'!$B$11</f>
        <v>-509529</v>
      </c>
      <c r="C32" s="17" t="n">
        <f aca="false">C30*Assumptions!$C$119</f>
        <v>49023.9451496</v>
      </c>
      <c r="D32" s="17" t="n">
        <f aca="false">D30*Assumptions!$C$119</f>
        <v>30940.5262476355</v>
      </c>
      <c r="E32" s="17" t="n">
        <f aca="false">E30*Assumptions!$C$119</f>
        <v>-54089.4743695407</v>
      </c>
      <c r="F32" s="17" t="n">
        <f aca="false">F30*Assumptions!$C$119</f>
        <v>23109.4363056055</v>
      </c>
      <c r="G32" s="17" t="n">
        <f aca="false">G30*Assumptions!$C$119</f>
        <v>595961.88006549</v>
      </c>
    </row>
    <row r="33" customFormat="false" ht="15" hidden="false" customHeight="false" outlineLevel="0" collapsed="false">
      <c r="A33" s="0" t="s">
        <v>368</v>
      </c>
      <c r="B33" s="17" t="n">
        <v>0</v>
      </c>
      <c r="C33" s="17" t="n">
        <f aca="false">C21+C27</f>
        <v>0</v>
      </c>
      <c r="D33" s="17" t="n">
        <f aca="false">D21+D27</f>
        <v>0</v>
      </c>
      <c r="E33" s="17" t="n">
        <f aca="false">E21+E27</f>
        <v>0</v>
      </c>
      <c r="F33" s="17" t="n">
        <f aca="false">F21+F27</f>
        <v>0</v>
      </c>
      <c r="G33" s="17" t="n">
        <f aca="false">G21+G27</f>
        <v>0</v>
      </c>
    </row>
    <row r="34" customFormat="false" ht="15" hidden="false" customHeight="false" outlineLevel="0" collapsed="false">
      <c r="A34" s="15" t="s">
        <v>369</v>
      </c>
      <c r="B34" s="17" t="n">
        <f aca="false">-'Returns (Assumed)'!$B$11</f>
        <v>-509529</v>
      </c>
      <c r="C34" s="9" t="n">
        <f aca="false">C32+C33</f>
        <v>49023.9451496</v>
      </c>
      <c r="D34" s="9" t="n">
        <f aca="false">D32+D33</f>
        <v>30940.5262476355</v>
      </c>
      <c r="E34" s="9" t="n">
        <f aca="false">E32+E33</f>
        <v>-54089.4743695407</v>
      </c>
      <c r="F34" s="9" t="n">
        <f aca="false">F32+F33</f>
        <v>23109.4363056055</v>
      </c>
      <c r="G34" s="9" t="n">
        <f aca="false">G32+G33</f>
        <v>595961.88006549</v>
      </c>
    </row>
    <row r="36" customFormat="false" ht="15" hidden="false" customHeight="false" outlineLevel="0" collapsed="false">
      <c r="A36" s="3" t="s">
        <v>370</v>
      </c>
      <c r="B36" s="3"/>
      <c r="C36" s="3"/>
      <c r="D36" s="3"/>
      <c r="E36" s="3"/>
      <c r="F36" s="3"/>
    </row>
    <row r="37" customFormat="false" ht="15" hidden="false" customHeight="false" outlineLevel="0" collapsed="false">
      <c r="C37" s="17" t="n">
        <f aca="false">C31+C34-C6</f>
        <v>0</v>
      </c>
      <c r="D37" s="17" t="n">
        <f aca="false">D31+D34-D6</f>
        <v>0</v>
      </c>
      <c r="E37" s="17" t="n">
        <f aca="false">E31+E34-E6</f>
        <v>0</v>
      </c>
      <c r="F37" s="17" t="n">
        <f aca="false">F31+F34-F6</f>
        <v>0</v>
      </c>
      <c r="G37" s="17" t="n">
        <f aca="false">G31+G34-G6</f>
        <v>0</v>
      </c>
    </row>
    <row r="39" customFormat="false" ht="15" hidden="false" customHeight="false" outlineLevel="0" collapsed="false">
      <c r="A39" s="3" t="s">
        <v>371</v>
      </c>
      <c r="B39" s="3"/>
    </row>
    <row r="40" customFormat="false" ht="15" hidden="false" customHeight="false" outlineLevel="0" collapsed="false">
      <c r="A40" s="0" t="s">
        <v>372</v>
      </c>
      <c r="B40" s="18" t="n">
        <f aca="false">IFERROR(IRR(B31:G31),"N/A - no sign change / undefined")</f>
        <v>0.0519858729912165</v>
      </c>
    </row>
    <row r="41" customFormat="false" ht="15" hidden="false" customHeight="false" outlineLevel="0" collapsed="false">
      <c r="A41" s="0" t="s">
        <v>373</v>
      </c>
      <c r="B41" s="18" t="n">
        <f aca="false">IFERROR(IRR(B34:G34),"N/A - no sign change / undefined")</f>
        <v>0.0519858729912163</v>
      </c>
    </row>
    <row r="42" customFormat="false" ht="15" hidden="false" customHeight="false" outlineLevel="0" collapsed="false">
      <c r="A42" s="0" t="s">
        <v>374</v>
      </c>
      <c r="B42" s="19" t="n">
        <f aca="false">SUM(C31:G31)/'Returns (Assumed)'!$B$10</f>
        <v>1.26576958995227</v>
      </c>
    </row>
    <row r="43" customFormat="false" ht="15" hidden="false" customHeight="false" outlineLevel="0" collapsed="false">
      <c r="A43" s="0" t="s">
        <v>375</v>
      </c>
      <c r="B43" s="19" t="n">
        <f aca="false">SUM(C34:G34)/'Returns (Assumed)'!$B$11</f>
        <v>1.26576958995227</v>
      </c>
    </row>
    <row r="44" customFormat="false" ht="15" hidden="false" customHeight="false" outlineLevel="0" collapsed="false">
      <c r="A44" s="0" t="s">
        <v>376</v>
      </c>
      <c r="B44" s="17" t="n">
        <f aca="false">SUM(C33:G33)</f>
        <v>0</v>
      </c>
    </row>
    <row r="45" customFormat="false" ht="15" hidden="false" customHeight="false" outlineLevel="0" collapsed="false">
      <c r="A45" s="0" t="s">
        <v>377</v>
      </c>
      <c r="B45" s="18" t="n">
        <f aca="false">'Returns (Assumed)'!B30</f>
        <v>0.0519858729912164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378</v>
      </c>
    </row>
    <row r="3" customFormat="false" ht="15" hidden="false" customHeight="false" outlineLevel="0" collapsed="false">
      <c r="A3" s="2" t="s">
        <v>379</v>
      </c>
    </row>
    <row r="5" customFormat="false" ht="15" hidden="false" customHeight="false" outlineLevel="0" collapsed="false">
      <c r="A5" s="3" t="s">
        <v>380</v>
      </c>
      <c r="B5" s="3"/>
      <c r="C5" s="3"/>
      <c r="D5" s="3"/>
      <c r="E5" s="3"/>
      <c r="F5" s="3"/>
    </row>
    <row r="6" customFormat="false" ht="15" hidden="false" customHeight="false" outlineLevel="0" collapsed="false">
      <c r="A6" s="15" t="s">
        <v>381</v>
      </c>
      <c r="B6" s="11" t="n">
        <v>0.015</v>
      </c>
      <c r="C6" s="11" t="n">
        <v>0.02</v>
      </c>
      <c r="D6" s="11" t="n">
        <v>0.025</v>
      </c>
      <c r="E6" s="11" t="n">
        <v>0.03</v>
      </c>
      <c r="F6" s="11" t="n">
        <v>0.035</v>
      </c>
    </row>
    <row r="7" customFormat="false" ht="15" hidden="false" customHeight="false" outlineLevel="0" collapsed="false">
      <c r="A7" s="0" t="s">
        <v>382</v>
      </c>
      <c r="B7" s="18" t="n">
        <f aca="false">Sensitivity!$H$53</f>
        <v>-0.0148254737950175</v>
      </c>
      <c r="C7" s="18" t="n">
        <f aca="false">Sensitivity!$H$54</f>
        <v>0.00358625271583767</v>
      </c>
      <c r="D7" s="18" t="n">
        <f aca="false">Sensitivity!$H$55</f>
        <v>0.0211786614875324</v>
      </c>
      <c r="E7" s="18" t="n">
        <f aca="false">Sensitivity!$H$56</f>
        <v>0.0380566769356996</v>
      </c>
      <c r="F7" s="18" t="n">
        <f aca="false">Sensitivity!$H$57</f>
        <v>0.0543062115313985</v>
      </c>
    </row>
    <row r="8" customFormat="false" ht="15" hidden="false" customHeight="false" outlineLevel="0" collapsed="false">
      <c r="A8" s="0" t="s">
        <v>383</v>
      </c>
      <c r="B8" s="18" t="n">
        <f aca="false">Sensitivity!$H$58</f>
        <v>-0.0319938740681303</v>
      </c>
      <c r="C8" s="18" t="n">
        <f aca="false">Sensitivity!$H$59</f>
        <v>-0.0127901583430503</v>
      </c>
      <c r="D8" s="18" t="n">
        <f aca="false">Sensitivity!$H$60</f>
        <v>0.0054813990464942</v>
      </c>
      <c r="E8" s="18" t="n">
        <f aca="false">Sensitivity!$H$61</f>
        <v>0.0229475888691563</v>
      </c>
      <c r="F8" s="18" t="n">
        <f aca="false">Sensitivity!$H$62</f>
        <v>0.0397108230577669</v>
      </c>
    </row>
    <row r="9" customFormat="false" ht="15" hidden="false" customHeight="false" outlineLevel="0" collapsed="false">
      <c r="A9" s="0" t="s">
        <v>384</v>
      </c>
      <c r="B9" s="18" t="n">
        <f aca="false">Sensitivity!$H$63</f>
        <v>-0.0494028833429852</v>
      </c>
      <c r="C9" s="18" t="n">
        <f aca="false">Sensitivity!$H$64</f>
        <v>-0.0293117427446326</v>
      </c>
      <c r="D9" s="18" t="n">
        <f aca="false">Sensitivity!$H$65</f>
        <v>-0.0102869179003946</v>
      </c>
      <c r="E9" s="18" t="n">
        <f aca="false">Sensitivity!$H$66</f>
        <v>0.00782605849702625</v>
      </c>
      <c r="F9" s="18" t="n">
        <f aca="false">Sensitivity!$H$67</f>
        <v>0.0251500713763744</v>
      </c>
    </row>
    <row r="10" customFormat="false" ht="15" hidden="false" customHeight="false" outlineLevel="0" collapsed="false">
      <c r="A10" s="0" t="s">
        <v>385</v>
      </c>
      <c r="B10" s="18" t="n">
        <f aca="false">Sensitivity!$H$68</f>
        <v>-0.0671393235393666</v>
      </c>
      <c r="C10" s="18" t="n">
        <f aca="false">Sensitivity!$H$69</f>
        <v>-0.0460468848774707</v>
      </c>
      <c r="D10" s="18" t="n">
        <f aca="false">Sensitivity!$H$70</f>
        <v>-0.0261819654188695</v>
      </c>
      <c r="E10" s="18" t="n">
        <f aca="false">Sensitivity!$H$71</f>
        <v>-0.00735460949576415</v>
      </c>
      <c r="F10" s="18" t="n">
        <f aca="false">Sensitivity!$H$72</f>
        <v>0.0105837417482443</v>
      </c>
    </row>
    <row r="11" customFormat="false" ht="15" hidden="false" customHeight="false" outlineLevel="0" collapsed="false">
      <c r="A11" s="0" t="s">
        <v>386</v>
      </c>
      <c r="B11" s="18" t="n">
        <f aca="false">Sensitivity!$H$73</f>
        <v>-0.085303601522089</v>
      </c>
      <c r="C11" s="18" t="n">
        <f aca="false">Sensitivity!$H$74</f>
        <v>-0.063072190034433</v>
      </c>
      <c r="D11" s="18" t="n">
        <f aca="false">Sensitivity!$H$75</f>
        <v>-0.0422643589811206</v>
      </c>
      <c r="E11" s="18" t="n">
        <f aca="false">Sensitivity!$H$76</f>
        <v>-0.0226439690527443</v>
      </c>
      <c r="F11" s="18" t="n">
        <f aca="false">Sensitivity!$H$77</f>
        <v>-0.00402987903488671</v>
      </c>
    </row>
    <row r="12" customFormat="false" ht="15" hidden="false" customHeight="false" outlineLevel="0" collapsed="false">
      <c r="A12" s="2" t="s">
        <v>387</v>
      </c>
    </row>
    <row r="13" customFormat="false" ht="15" hidden="false" customHeight="false" outlineLevel="0" collapsed="false">
      <c r="A13" s="0" t="s">
        <v>382</v>
      </c>
      <c r="B13" s="19" t="n">
        <f aca="false">Sensitivity!$I$53</f>
        <v>0.935427719603015</v>
      </c>
      <c r="C13" s="19" t="n">
        <f aca="false">Sensitivity!$I$54</f>
        <v>1.01617700620653</v>
      </c>
      <c r="D13" s="19" t="n">
        <f aca="false">Sensitivity!$I$55</f>
        <v>1.09877998559003</v>
      </c>
      <c r="E13" s="19" t="n">
        <f aca="false">Sensitivity!$I$56</f>
        <v>1.18327178020662</v>
      </c>
      <c r="F13" s="19" t="n">
        <f aca="false">Sensitivity!$I$57</f>
        <v>1.26968801700303</v>
      </c>
    </row>
    <row r="14" customFormat="false" ht="15" hidden="false" customHeight="false" outlineLevel="0" collapsed="false">
      <c r="A14" s="0" t="s">
        <v>383</v>
      </c>
      <c r="B14" s="19" t="n">
        <f aca="false">Sensitivity!$I$58</f>
        <v>0.865608475899792</v>
      </c>
      <c r="C14" s="19" t="n">
        <f aca="false">Sensitivity!$I$59</f>
        <v>0.944268557919521</v>
      </c>
      <c r="D14" s="19" t="n">
        <f aca="false">Sensitivity!$I$60</f>
        <v>1.02473049435692</v>
      </c>
      <c r="E14" s="19" t="n">
        <f aca="false">Sensitivity!$I$61</f>
        <v>1.10702838374072</v>
      </c>
      <c r="F14" s="19" t="n">
        <f aca="false">Sensitivity!$I$62</f>
        <v>1.19119681399898</v>
      </c>
    </row>
    <row r="15" customFormat="false" ht="15" hidden="false" customHeight="false" outlineLevel="0" collapsed="false">
      <c r="A15" s="0" t="s">
        <v>384</v>
      </c>
      <c r="B15" s="19" t="n">
        <f aca="false">Sensitivity!$I$63</f>
        <v>0.799968360792725</v>
      </c>
      <c r="C15" s="19" t="n">
        <f aca="false">Sensitivity!$I$64</f>
        <v>0.87666429049443</v>
      </c>
      <c r="D15" s="19" t="n">
        <f aca="false">Sensitivity!$I$65</f>
        <v>0.955113339109259</v>
      </c>
      <c r="E15" s="19" t="n">
        <f aca="false">Sensitivity!$I$66</f>
        <v>1.03534864252999</v>
      </c>
      <c r="F15" s="19" t="n">
        <f aca="false">Sensitivity!$I$67</f>
        <v>1.11740381185793</v>
      </c>
    </row>
    <row r="16" customFormat="false" ht="15" hidden="false" customHeight="false" outlineLevel="0" collapsed="false">
      <c r="A16" s="0" t="s">
        <v>385</v>
      </c>
      <c r="B16" s="19" t="n">
        <f aca="false">Sensitivity!$I$68</f>
        <v>0.738143056273171</v>
      </c>
      <c r="C16" s="19" t="n">
        <f aca="false">Sensitivity!$I$69</f>
        <v>0.812988984417345</v>
      </c>
      <c r="D16" s="19" t="n">
        <f aca="false">Sensitivity!$I$70</f>
        <v>0.889542128334399</v>
      </c>
      <c r="E16" s="19" t="n">
        <f aca="false">Sensitivity!$I$71</f>
        <v>0.967834717226729</v>
      </c>
      <c r="F16" s="19" t="n">
        <f aca="false">Sensitivity!$I$72</f>
        <v>1.0478994421392</v>
      </c>
    </row>
    <row r="17" customFormat="false" ht="15" hidden="false" customHeight="false" outlineLevel="0" collapsed="false">
      <c r="A17" s="0" t="s">
        <v>386</v>
      </c>
      <c r="B17" s="19" t="n">
        <f aca="false">Sensitivity!$I$73</f>
        <v>0.679809394745957</v>
      </c>
      <c r="C17" s="19" t="n">
        <f aca="false">Sensitivity!$I$74</f>
        <v>0.752909801933616</v>
      </c>
      <c r="D17" s="19" t="n">
        <f aca="false">Sensitivity!$I$75</f>
        <v>0.8276741141775</v>
      </c>
      <c r="E17" s="19" t="n">
        <f aca="false">Sensitivity!$I$76</f>
        <v>0.90413370519583</v>
      </c>
      <c r="F17" s="19" t="n">
        <f aca="false">Sensitivity!$I$77</f>
        <v>0.98232039793808</v>
      </c>
    </row>
    <row r="20" customFormat="false" ht="15" hidden="false" customHeight="false" outlineLevel="0" collapsed="false">
      <c r="A20" s="3" t="s">
        <v>388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15" t="s">
        <v>389</v>
      </c>
      <c r="B21" s="15" t="s">
        <v>382</v>
      </c>
      <c r="C21" s="15" t="s">
        <v>383</v>
      </c>
      <c r="D21" s="15" t="s">
        <v>384</v>
      </c>
      <c r="E21" s="15" t="s">
        <v>385</v>
      </c>
      <c r="F21" s="15" t="s">
        <v>386</v>
      </c>
    </row>
    <row r="22" customFormat="false" ht="15" hidden="false" customHeight="false" outlineLevel="0" collapsed="false">
      <c r="A22" s="0" t="s">
        <v>390</v>
      </c>
      <c r="B22" s="18" t="n">
        <f aca="false">Sensitivity!$H$78</f>
        <v>0.0537696125937818</v>
      </c>
      <c r="C22" s="18" t="n">
        <f aca="false">Sensitivity!$H$79</f>
        <v>0.0407251084947477</v>
      </c>
      <c r="D22" s="18" t="n">
        <f aca="false">Sensitivity!$H$80</f>
        <v>0.0277037053295685</v>
      </c>
      <c r="E22" s="18" t="n">
        <f aca="false">Sensitivity!$H$81</f>
        <v>0.0146754576111111</v>
      </c>
      <c r="F22" s="18" t="n">
        <f aca="false">Sensitivity!$H$82</f>
        <v>0.00160934097925575</v>
      </c>
    </row>
    <row r="23" customFormat="false" ht="15" hidden="false" customHeight="false" outlineLevel="0" collapsed="false">
      <c r="A23" s="0" t="s">
        <v>391</v>
      </c>
      <c r="B23" s="18" t="n">
        <f aca="false">Sensitivity!$H$83</f>
        <v>0.0356588117828638</v>
      </c>
      <c r="C23" s="18" t="n">
        <f aca="false">Sensitivity!$H$84</f>
        <v>0.0212904439306939</v>
      </c>
      <c r="D23" s="18" t="n">
        <f aca="false">Sensitivity!$H$85</f>
        <v>0.00690361102570147</v>
      </c>
      <c r="E23" s="18" t="n">
        <f aca="false">Sensitivity!$H$86</f>
        <v>-0.00754277263796633</v>
      </c>
      <c r="F23" s="18" t="n">
        <f aca="false">Sensitivity!$H$87</f>
        <v>-0.0220923220988912</v>
      </c>
    </row>
    <row r="24" customFormat="false" ht="15" hidden="false" customHeight="false" outlineLevel="0" collapsed="false">
      <c r="A24" s="0" t="s">
        <v>392</v>
      </c>
      <c r="B24" s="18" t="n">
        <f aca="false">Sensitivity!$H$88</f>
        <v>0.0181774212939861</v>
      </c>
      <c r="C24" s="18" t="n">
        <f aca="false">Sensitivity!$H$89</f>
        <v>0.00240297565738002</v>
      </c>
      <c r="D24" s="18" t="n">
        <f aca="false">Sensitivity!$H$90</f>
        <v>-0.013448149379862</v>
      </c>
      <c r="E24" s="18" t="n">
        <f aca="false">Sensitivity!$H$91</f>
        <v>-0.0294325328327583</v>
      </c>
      <c r="F24" s="18" t="n">
        <f aca="false">Sensitivity!$H$92</f>
        <v>-0.0456118977491313</v>
      </c>
    </row>
    <row r="25" customFormat="false" ht="15" hidden="false" customHeight="false" outlineLevel="0" collapsed="false">
      <c r="A25" s="0" t="s">
        <v>393</v>
      </c>
      <c r="B25" s="18" t="n">
        <f aca="false">Sensitivity!$H$93</f>
        <v>0.00117641375996079</v>
      </c>
      <c r="C25" s="18" t="n">
        <f aca="false">Sensitivity!$H$94</f>
        <v>-0.0160967059341571</v>
      </c>
      <c r="D25" s="18" t="n">
        <f aca="false">Sensitivity!$H$95</f>
        <v>-0.0335259298348334</v>
      </c>
      <c r="E25" s="18" t="n">
        <f aca="false">Sensitivity!$H$96</f>
        <v>-0.051189521759452</v>
      </c>
      <c r="F25" s="18" t="n">
        <f aca="false">Sensitivity!$H$97</f>
        <v>-0.0691754856096742</v>
      </c>
    </row>
    <row r="26" customFormat="false" ht="15" hidden="false" customHeight="false" outlineLevel="0" collapsed="false">
      <c r="A26" s="0" t="s">
        <v>394</v>
      </c>
      <c r="B26" s="18" t="n">
        <f aca="false">Sensitivity!$H$98</f>
        <v>-0.0154745176917881</v>
      </c>
      <c r="C26" s="18" t="n">
        <f aca="false">Sensitivity!$H$99</f>
        <v>-0.0343515086847394</v>
      </c>
      <c r="D26" s="18" t="n">
        <f aca="false">Sensitivity!$H$100</f>
        <v>-0.0534911667544057</v>
      </c>
      <c r="E26" s="18" t="n">
        <f aca="false">Sensitivity!$H$101</f>
        <v>-0.0730023341262222</v>
      </c>
      <c r="F26" s="18" t="n">
        <f aca="false">Sensitivity!$H$102</f>
        <v>-0.0930115675835749</v>
      </c>
    </row>
    <row r="27" customFormat="false" ht="15" hidden="false" customHeight="false" outlineLevel="0" collapsed="false">
      <c r="A27" s="2" t="s">
        <v>387</v>
      </c>
    </row>
    <row r="28" customFormat="false" ht="15" hidden="false" customHeight="false" outlineLevel="0" collapsed="false">
      <c r="A28" s="0" t="s">
        <v>390</v>
      </c>
      <c r="B28" s="19" t="n">
        <f aca="false">Sensitivity!$I$78</f>
        <v>1.25746956520964</v>
      </c>
      <c r="C28" s="19" t="n">
        <f aca="false">Sensitivity!$I$79</f>
        <v>1.18958837417696</v>
      </c>
      <c r="D28" s="19" t="n">
        <f aca="false">Sensitivity!$I$80</f>
        <v>1.12538601467135</v>
      </c>
      <c r="E28" s="19" t="n">
        <f aca="false">Sensitivity!$I$81</f>
        <v>1.06457131449794</v>
      </c>
      <c r="F28" s="19" t="n">
        <f aca="false">Sensitivity!$I$82</f>
        <v>1.00688303922357</v>
      </c>
    </row>
    <row r="29" customFormat="false" ht="15" hidden="false" customHeight="false" outlineLevel="0" collapsed="false">
      <c r="A29" s="0" t="s">
        <v>391</v>
      </c>
      <c r="B29" s="19" t="n">
        <f aca="false">Sensitivity!$I$83</f>
        <v>1.16867521337882</v>
      </c>
      <c r="C29" s="19" t="n">
        <f aca="false">Sensitivity!$I$84</f>
        <v>1.09766818667902</v>
      </c>
      <c r="D29" s="19" t="n">
        <f aca="false">Sensitivity!$I$85</f>
        <v>1.0307109941641</v>
      </c>
      <c r="E29" s="19" t="n">
        <f aca="false">Sensitivity!$I$86</f>
        <v>0.967466773166706</v>
      </c>
      <c r="F29" s="19" t="n">
        <f aca="false">Sensitivity!$I$87</f>
        <v>0.907635013137859</v>
      </c>
    </row>
    <row r="30" customFormat="false" ht="15" hidden="false" customHeight="false" outlineLevel="0" collapsed="false">
      <c r="A30" s="0" t="s">
        <v>392</v>
      </c>
      <c r="B30" s="19" t="n">
        <f aca="false">Sensitivity!$I$88</f>
        <v>1.08487569080817</v>
      </c>
      <c r="C30" s="19" t="n">
        <f aca="false">Sensitivity!$I$89</f>
        <v>1.01085297579273</v>
      </c>
      <c r="D30" s="19" t="n">
        <f aca="false">Sensitivity!$I$90</f>
        <v>0.941260994034741</v>
      </c>
      <c r="E30" s="19" t="n">
        <f aca="false">Sensitivity!$I$91</f>
        <v>0.875713493740312</v>
      </c>
      <c r="F30" s="19" t="n">
        <f aca="false">Sensitivity!$I$92</f>
        <v>0.813867850991866</v>
      </c>
    </row>
    <row r="31" customFormat="false" ht="15" hidden="false" customHeight="false" outlineLevel="0" collapsed="false">
      <c r="A31" s="0" t="s">
        <v>393</v>
      </c>
      <c r="B31" s="19" t="n">
        <f aca="false">Sensitivity!$I$93</f>
        <v>1.00541807101509</v>
      </c>
      <c r="C31" s="19" t="n">
        <f aca="false">Sensitivity!$I$94</f>
        <v>0.928489869913784</v>
      </c>
      <c r="D31" s="19" t="n">
        <f aca="false">Sensitivity!$I$95</f>
        <v>0.856382119526409</v>
      </c>
      <c r="E31" s="19" t="n">
        <f aca="false">Sensitivity!$I$96</f>
        <v>0.788655497834823</v>
      </c>
      <c r="F31" s="19" t="n">
        <f aca="false">Sensitivity!$I$97</f>
        <v>0.724922493586904</v>
      </c>
    </row>
    <row r="32" customFormat="false" ht="15" hidden="false" customHeight="false" outlineLevel="0" collapsed="false">
      <c r="A32" s="0" t="s">
        <v>394</v>
      </c>
      <c r="B32" s="19" t="n">
        <f aca="false">Sensitivity!$I$98</f>
        <v>0.929758477001647</v>
      </c>
      <c r="C32" s="19" t="n">
        <f aca="false">Sensitivity!$I$99</f>
        <v>0.85003495256166</v>
      </c>
      <c r="D32" s="19" t="n">
        <f aca="false">Sensitivity!$I$100</f>
        <v>0.775529354996643</v>
      </c>
      <c r="E32" s="19" t="n">
        <f aca="false">Sensitivity!$I$101</f>
        <v>0.705745645107957</v>
      </c>
      <c r="F32" s="19" t="n">
        <f aca="false">Sensitivity!$I$102</f>
        <v>0.640248726763638</v>
      </c>
    </row>
    <row r="35" customFormat="false" ht="15" hidden="false" customHeight="false" outlineLevel="0" collapsed="false">
      <c r="A35" s="3" t="s">
        <v>395</v>
      </c>
      <c r="B35" s="3"/>
      <c r="C35" s="3"/>
      <c r="D35" s="3"/>
      <c r="E35" s="3"/>
      <c r="F35" s="3"/>
    </row>
    <row r="36" customFormat="false" ht="15" hidden="false" customHeight="false" outlineLevel="0" collapsed="false">
      <c r="A36" s="15" t="s">
        <v>396</v>
      </c>
      <c r="B36" s="15" t="s">
        <v>397</v>
      </c>
      <c r="C36" s="15" t="s">
        <v>390</v>
      </c>
      <c r="D36" s="15" t="s">
        <v>398</v>
      </c>
      <c r="E36" s="15" t="s">
        <v>394</v>
      </c>
      <c r="F36" s="15" t="s">
        <v>399</v>
      </c>
    </row>
    <row r="37" customFormat="false" ht="15" hidden="false" customHeight="false" outlineLevel="0" collapsed="false">
      <c r="A37" s="0" t="s">
        <v>400</v>
      </c>
      <c r="B37" s="18" t="n">
        <f aca="false">Sensitivity!$H$103</f>
        <v>-0.0939576797767682</v>
      </c>
      <c r="C37" s="18" t="n">
        <f aca="false">Sensitivity!$H$104</f>
        <v>-0.0957921907886272</v>
      </c>
      <c r="D37" s="18" t="n">
        <f aca="false">Sensitivity!$H$105</f>
        <v>-0.0976055232667951</v>
      </c>
      <c r="E37" s="18" t="n">
        <f aca="false">Sensitivity!$H$106</f>
        <v>-0.0993981154645402</v>
      </c>
      <c r="F37" s="18" t="n">
        <f aca="false">Sensitivity!$H$107</f>
        <v>-0.101170392659512</v>
      </c>
    </row>
    <row r="38" customFormat="false" ht="15" hidden="false" customHeight="false" outlineLevel="0" collapsed="false">
      <c r="A38" s="0" t="s">
        <v>401</v>
      </c>
      <c r="B38" s="18" t="n">
        <f aca="false">Sensitivity!$H$108</f>
        <v>-0.0737854326563406</v>
      </c>
      <c r="C38" s="18" t="n">
        <f aca="false">Sensitivity!$H$109</f>
        <v>-0.0756657545725332</v>
      </c>
      <c r="D38" s="18" t="n">
        <f aca="false">Sensitivity!$H$110</f>
        <v>-0.0775243389943691</v>
      </c>
      <c r="E38" s="18" t="n">
        <f aca="false">Sensitivity!$H$111</f>
        <v>-0.0793616361997699</v>
      </c>
      <c r="F38" s="18" t="n">
        <f aca="false">Sensitivity!$H$112</f>
        <v>-0.0811780831240502</v>
      </c>
    </row>
    <row r="39" customFormat="false" ht="15" hidden="false" customHeight="false" outlineLevel="0" collapsed="false">
      <c r="A39" s="0" t="s">
        <v>402</v>
      </c>
      <c r="B39" s="18" t="n">
        <f aca="false">Sensitivity!$H$113</f>
        <v>-0.0550420673352045</v>
      </c>
      <c r="C39" s="18" t="n">
        <f aca="false">Sensitivity!$H$114</f>
        <v>-0.0569654575807504</v>
      </c>
      <c r="D39" s="18" t="n">
        <f aca="false">Sensitivity!$H$115</f>
        <v>-0.0588665814180843</v>
      </c>
      <c r="E39" s="18" t="n">
        <f aca="false">Sensitivity!$H$116</f>
        <v>-0.0607459005581106</v>
      </c>
      <c r="F39" s="18" t="n">
        <f aca="false">Sensitivity!$H$117</f>
        <v>-0.0626038630188368</v>
      </c>
    </row>
    <row r="40" customFormat="false" ht="15" hidden="false" customHeight="false" outlineLevel="0" collapsed="false">
      <c r="A40" s="0" t="s">
        <v>403</v>
      </c>
      <c r="B40" s="18" t="n">
        <f aca="false">Sensitivity!$H$118</f>
        <v>-0.029136573264626</v>
      </c>
      <c r="C40" s="18" t="n">
        <f aca="false">Sensitivity!$H$119</f>
        <v>-0.0311203134803283</v>
      </c>
      <c r="D40" s="18" t="n">
        <f aca="false">Sensitivity!$H$120</f>
        <v>-0.0330810405541972</v>
      </c>
      <c r="E40" s="18" t="n">
        <f aca="false">Sensitivity!$H$121</f>
        <v>-0.0350192324278362</v>
      </c>
      <c r="F40" s="18" t="n">
        <f aca="false">Sensitivity!$H$122</f>
        <v>-0.0369353528504514</v>
      </c>
    </row>
    <row r="41" customFormat="false" ht="15" hidden="false" customHeight="false" outlineLevel="0" collapsed="false">
      <c r="A41" s="0" t="s">
        <v>404</v>
      </c>
      <c r="B41" s="18" t="n">
        <f aca="false">Sensitivity!$H$123</f>
        <v>-0.0054071873031647</v>
      </c>
      <c r="C41" s="18" t="n">
        <f aca="false">Sensitivity!$H$124</f>
        <v>-0.00744707773188132</v>
      </c>
      <c r="D41" s="18" t="n">
        <f aca="false">Sensitivity!$H$125</f>
        <v>-0.00946325438416861</v>
      </c>
      <c r="E41" s="18" t="n">
        <f aca="false">Sensitivity!$H$126</f>
        <v>-0.0114562105239501</v>
      </c>
      <c r="F41" s="18" t="n">
        <f aca="false">Sensitivity!$H$127</f>
        <v>-0.0134264247488898</v>
      </c>
    </row>
    <row r="42" customFormat="false" ht="15" hidden="false" customHeight="false" outlineLevel="0" collapsed="false">
      <c r="A42" s="2" t="s">
        <v>387</v>
      </c>
    </row>
    <row r="43" customFormat="false" ht="15" hidden="false" customHeight="false" outlineLevel="0" collapsed="false">
      <c r="A43" s="0" t="s">
        <v>400</v>
      </c>
      <c r="B43" s="19" t="n">
        <f aca="false">Sensitivity!$I$103</f>
        <v>0.649996172757709</v>
      </c>
      <c r="C43" s="19" t="n">
        <f aca="false">Sensitivity!$I$104</f>
        <v>0.644170696412102</v>
      </c>
      <c r="D43" s="19" t="n">
        <f aca="false">Sensitivity!$I$105</f>
        <v>0.63844871215066</v>
      </c>
      <c r="E43" s="19" t="n">
        <f aca="false">Sensitivity!$I$106</f>
        <v>0.632827486383234</v>
      </c>
      <c r="F43" s="19" t="n">
        <f aca="false">Sensitivity!$I$107</f>
        <v>0.627304380951095</v>
      </c>
    </row>
    <row r="44" customFormat="false" ht="15" hidden="false" customHeight="false" outlineLevel="0" collapsed="false">
      <c r="A44" s="0" t="s">
        <v>401</v>
      </c>
      <c r="B44" s="19" t="n">
        <f aca="false">Sensitivity!$I$108</f>
        <v>0.715303957192891</v>
      </c>
      <c r="C44" s="19" t="n">
        <f aca="false">Sensitivity!$I$109</f>
        <v>0.708893171318773</v>
      </c>
      <c r="D44" s="19" t="n">
        <f aca="false">Sensitivity!$I$110</f>
        <v>0.702596275803466</v>
      </c>
      <c r="E44" s="19" t="n">
        <f aca="false">Sensitivity!$I$111</f>
        <v>0.696410262401794</v>
      </c>
      <c r="F44" s="19" t="n">
        <f aca="false">Sensitivity!$I$112</f>
        <v>0.690332227888389</v>
      </c>
    </row>
    <row r="45" customFormat="false" ht="15" hidden="false" customHeight="false" outlineLevel="0" collapsed="false">
      <c r="A45" s="0" t="s">
        <v>402</v>
      </c>
      <c r="B45" s="19" t="n">
        <f aca="false">Sensitivity!$I$113</f>
        <v>0.780611741628073</v>
      </c>
      <c r="C45" s="19" t="n">
        <f aca="false">Sensitivity!$I$114</f>
        <v>0.773615646225443</v>
      </c>
      <c r="D45" s="19" t="n">
        <f aca="false">Sensitivity!$I$115</f>
        <v>0.766743839456271</v>
      </c>
      <c r="E45" s="19" t="n">
        <f aca="false">Sensitivity!$I$116</f>
        <v>0.759993038420354</v>
      </c>
      <c r="F45" s="19" t="n">
        <f aca="false">Sensitivity!$I$117</f>
        <v>0.753360074825682</v>
      </c>
    </row>
    <row r="46" customFormat="false" ht="15" hidden="false" customHeight="false" outlineLevel="0" collapsed="false">
      <c r="A46" s="0" t="s">
        <v>403</v>
      </c>
      <c r="B46" s="19" t="n">
        <f aca="false">Sensitivity!$I$118</f>
        <v>0.878573418280847</v>
      </c>
      <c r="C46" s="19" t="n">
        <f aca="false">Sensitivity!$I$119</f>
        <v>0.870699358585449</v>
      </c>
      <c r="D46" s="19" t="n">
        <f aca="false">Sensitivity!$I$120</f>
        <v>0.862965184935479</v>
      </c>
      <c r="E46" s="19" t="n">
        <f aca="false">Sensitivity!$I$121</f>
        <v>0.855367202448193</v>
      </c>
      <c r="F46" s="19" t="n">
        <f aca="false">Sensitivity!$I$122</f>
        <v>0.847901845231622</v>
      </c>
    </row>
    <row r="47" customFormat="false" ht="15" hidden="false" customHeight="false" outlineLevel="0" collapsed="false">
      <c r="A47" s="0" t="s">
        <v>404</v>
      </c>
      <c r="B47" s="19" t="n">
        <f aca="false">Sensitivity!$I$123</f>
        <v>0.97653509493362</v>
      </c>
      <c r="C47" s="19" t="n">
        <f aca="false">Sensitivity!$I$124</f>
        <v>0.967783070945455</v>
      </c>
      <c r="D47" s="19" t="n">
        <f aca="false">Sensitivity!$I$125</f>
        <v>0.959186530414687</v>
      </c>
      <c r="E47" s="19" t="n">
        <f aca="false">Sensitivity!$I$126</f>
        <v>0.950741366476033</v>
      </c>
      <c r="F47" s="19" t="n">
        <f aca="false">Sensitivity!$I$127</f>
        <v>0.942443615637563</v>
      </c>
    </row>
    <row r="51" customFormat="false" ht="15" hidden="false" customHeight="false" outlineLevel="0" collapsed="false">
      <c r="A51" s="3" t="s">
        <v>405</v>
      </c>
      <c r="B51" s="3"/>
      <c r="C51" s="3"/>
      <c r="D51" s="3"/>
      <c r="E51" s="3"/>
      <c r="F51" s="3"/>
      <c r="G51" s="3"/>
      <c r="H51" s="3"/>
      <c r="I51" s="3"/>
    </row>
    <row r="52" customFormat="false" ht="15" hidden="false" customHeight="false" outlineLevel="0" collapsed="false">
      <c r="A52" s="15" t="s">
        <v>406</v>
      </c>
      <c r="B52" s="15" t="s">
        <v>271</v>
      </c>
      <c r="C52" s="15" t="s">
        <v>272</v>
      </c>
      <c r="D52" s="15" t="s">
        <v>273</v>
      </c>
      <c r="E52" s="15" t="s">
        <v>274</v>
      </c>
      <c r="F52" s="15" t="s">
        <v>275</v>
      </c>
      <c r="G52" s="15" t="s">
        <v>276</v>
      </c>
      <c r="H52" s="15" t="s">
        <v>407</v>
      </c>
      <c r="I52" s="15" t="s">
        <v>408</v>
      </c>
    </row>
    <row r="53" customFormat="false" ht="15" hidden="false" customHeight="false" outlineLevel="0" collapsed="false">
      <c r="A53" s="2" t="s">
        <v>409</v>
      </c>
      <c r="B53" s="17" t="n">
        <f aca="false">-(Capital!$B$12)</f>
        <v>-5528040</v>
      </c>
      <c r="C53" s="17" t="n">
        <f aca="false">(('Operating Model'!$B$46*(1+0.015)^1)-(Debt!$C$9*Assumptions!$C$89))</f>
        <v>293738.28326844</v>
      </c>
      <c r="D53" s="17" t="n">
        <f aca="false">(('Operating Model'!$B$46*(1+0.015)^2)-(Debt!$C$9*Assumptions!$C$89))</f>
        <v>307697.407517466</v>
      </c>
      <c r="E53" s="17" t="n">
        <f aca="false">(('Operating Model'!$B$46*(1+0.015)^3)-(-PMT(Assumptions!$C$89,Assumptions!$C$94,Debt!$C$9)))</f>
        <v>228600.832975605</v>
      </c>
      <c r="F53" s="17" t="n">
        <f aca="false">(('Operating Model'!$B$46*(1+0.015)^4)-(-PMT(Assumptions!$C$89,Assumptions!$C$94,Debt!$C$9)))</f>
        <v>242981.871755058</v>
      </c>
      <c r="G53" s="17" t="n">
        <f aca="false">(('Operating Model'!$B$46*(1+0.015)^5)-(-PMT(Assumptions!$C$89,Assumptions!$C$94,Debt!$C$9))+((('Operating Model'!$B$46*(1+0.015)^6)/((Returns!$B$33+0)+Returns!$B$36))*(1-Assumptions!$C$110)-(Debt!$C$9+CUMPRINC(Assumptions!$C$89,Assumptions!$C$94,Debt!$C$9,1,3,0))))</f>
        <v>4098063.45555768</v>
      </c>
      <c r="H53" s="18" t="n">
        <f aca="false">IFERROR(IRR(B53:G53),"N/A")</f>
        <v>-0.0148254737950175</v>
      </c>
      <c r="I53" s="19" t="n">
        <f aca="false">SUM(C53:G53)/(Capital!$B$12)</f>
        <v>0.935427719603015</v>
      </c>
    </row>
    <row r="54" customFormat="false" ht="15" hidden="false" customHeight="false" outlineLevel="0" collapsed="false">
      <c r="A54" s="2" t="s">
        <v>410</v>
      </c>
      <c r="B54" s="17" t="n">
        <f aca="false">-(Capital!$B$12)</f>
        <v>-5528040</v>
      </c>
      <c r="C54" s="17" t="n">
        <f aca="false">(('Operating Model'!$B$46*(1+0.02)^1)-(Debt!$C$9*Assumptions!$C$89))</f>
        <v>298322.56052592</v>
      </c>
      <c r="D54" s="17" t="n">
        <f aca="false">(('Operating Model'!$B$46*(1+0.02)^2)-(Debt!$C$9*Assumptions!$C$89))</f>
        <v>317026.411736438</v>
      </c>
      <c r="E54" s="17" t="n">
        <f aca="false">(('Operating Model'!$B$46*(1+0.02)^3)-(-PMT(Assumptions!$C$89,Assumptions!$C$94,Debt!$C$9)))</f>
        <v>242839.254316544</v>
      </c>
      <c r="F54" s="17" t="n">
        <f aca="false">(('Operating Model'!$B$46*(1+0.02)^4)-(-PMT(Assumptions!$C$89,Assumptions!$C$94,Debt!$C$9)))</f>
        <v>262298.741115967</v>
      </c>
      <c r="G54" s="17" t="n">
        <f aca="false">(('Operating Model'!$B$46*(1+0.02)^5)-(-PMT(Assumptions!$C$89,Assumptions!$C$94,Debt!$C$9))+((('Operating Model'!$B$46*(1+0.02)^6)/((Returns!$B$33+0)+Returns!$B$36))*(1-Assumptions!$C$110)-(Debt!$C$9+CUMPRINC(Assumptions!$C$89,Assumptions!$C$94,Debt!$C$9,1,3,0))))</f>
        <v>4496980.1696951</v>
      </c>
      <c r="H54" s="18" t="n">
        <f aca="false">IFERROR(IRR(B54:G54),"N/A")</f>
        <v>0.00358625271583767</v>
      </c>
      <c r="I54" s="19" t="n">
        <f aca="false">SUM(C54:G54)/(Capital!$B$12)</f>
        <v>1.01617700620653</v>
      </c>
    </row>
    <row r="55" customFormat="false" ht="15" hidden="false" customHeight="false" outlineLevel="0" collapsed="false">
      <c r="A55" s="2" t="s">
        <v>411</v>
      </c>
      <c r="B55" s="17" t="n">
        <f aca="false">-(Capital!$B$12)</f>
        <v>-5528040</v>
      </c>
      <c r="C55" s="17" t="n">
        <f aca="false">(('Operating Model'!$B$46*(1+0.025)^1)-(Debt!$C$9*Assumptions!$C$89))</f>
        <v>302906.8377834</v>
      </c>
      <c r="D55" s="17" t="n">
        <f aca="false">(('Operating Model'!$B$46*(1+0.025)^2)-(Debt!$C$9*Assumptions!$C$89))</f>
        <v>326401.258727985</v>
      </c>
      <c r="E55" s="17" t="n">
        <f aca="false">(('Operating Model'!$B$46*(1+0.025)^3)-(-PMT(Assumptions!$C$89,Assumptions!$C$94,Debt!$C$9)))</f>
        <v>257217.954541561</v>
      </c>
      <c r="F55" s="17" t="n">
        <f aca="false">(('Operating Model'!$B$46*(1+0.025)^4)-(-PMT(Assumptions!$C$89,Assumptions!$C$94,Debt!$C$9)))</f>
        <v>281901.780546465</v>
      </c>
      <c r="G55" s="17" t="n">
        <f aca="false">(('Operating Model'!$B$46*(1+0.025)^5)-(-PMT(Assumptions!$C$89,Assumptions!$C$94,Debt!$C$9))+((('Operating Model'!$B$46*(1+0.025)^6)/((Returns!$B$33+0)+Returns!$B$36))*(1-Assumptions!$C$110)-(Debt!$C$9+CUMPRINC(Assumptions!$C$89,Assumptions!$C$94,Debt!$C$9,1,3,0))))</f>
        <v>4905671.87994172</v>
      </c>
      <c r="H55" s="18" t="n">
        <f aca="false">IFERROR(IRR(B55:G55),"N/A")</f>
        <v>0.0211786614875324</v>
      </c>
      <c r="I55" s="19" t="n">
        <f aca="false">SUM(C55:G55)/(Capital!$B$12)</f>
        <v>1.09877998559003</v>
      </c>
    </row>
    <row r="56" customFormat="false" ht="15" hidden="false" customHeight="false" outlineLevel="0" collapsed="false">
      <c r="A56" s="2" t="s">
        <v>412</v>
      </c>
      <c r="B56" s="17" t="n">
        <f aca="false">-(Capital!$B$12)</f>
        <v>-5528040</v>
      </c>
      <c r="C56" s="17" t="n">
        <f aca="false">(('Operating Model'!$B$46*(1+0.03)^1)-(Debt!$C$9*Assumptions!$C$89))</f>
        <v>307491.11504088</v>
      </c>
      <c r="D56" s="17" t="n">
        <f aca="false">(('Operating Model'!$B$46*(1+0.03)^2)-(Debt!$C$9*Assumptions!$C$89))</f>
        <v>335821.948492106</v>
      </c>
      <c r="E56" s="17" t="n">
        <f aca="false">(('Operating Model'!$B$46*(1+0.03)^3)-(-PMT(Assumptions!$C$89,Assumptions!$C$94,Debt!$C$9)))</f>
        <v>271737.621292246</v>
      </c>
      <c r="F56" s="17" t="n">
        <f aca="false">(('Operating Model'!$B$46*(1+0.03)^4)-(-PMT(Assumptions!$C$89,Assumptions!$C$94,Debt!$C$9)))</f>
        <v>301793.802500652</v>
      </c>
      <c r="G56" s="17" t="n">
        <f aca="false">(('Operating Model'!$B$46*(1+0.03)^5)-(-PMT(Assumptions!$C$89,Assumptions!$C$94,Debt!$C$9))+((('Operating Model'!$B$46*(1+0.03)^6)/((Returns!$B$33+0)+Returns!$B$36))*(1-Assumptions!$C$110)-(Debt!$C$9+CUMPRINC(Assumptions!$C$89,Assumptions!$C$94,Debt!$C$9,1,3,0))))</f>
        <v>5324329.24452753</v>
      </c>
      <c r="H56" s="18" t="n">
        <f aca="false">IFERROR(IRR(B56:G56),"N/A")</f>
        <v>0.0380566769356996</v>
      </c>
      <c r="I56" s="19" t="n">
        <f aca="false">SUM(C56:G56)/(Capital!$B$12)</f>
        <v>1.18327178020662</v>
      </c>
    </row>
    <row r="57" customFormat="false" ht="15" hidden="false" customHeight="false" outlineLevel="0" collapsed="false">
      <c r="A57" s="2" t="s">
        <v>413</v>
      </c>
      <c r="B57" s="17" t="n">
        <f aca="false">-(Capital!$B$12)</f>
        <v>-5528040</v>
      </c>
      <c r="C57" s="17" t="n">
        <f aca="false">(('Operating Model'!$B$46*(1+0.035)^1)-(Debt!$C$9*Assumptions!$C$89))</f>
        <v>312075.39229836</v>
      </c>
      <c r="D57" s="17" t="n">
        <f aca="false">(('Operating Model'!$B$46*(1+0.035)^2)-(Debt!$C$9*Assumptions!$C$89))</f>
        <v>345288.481028802</v>
      </c>
      <c r="E57" s="17" t="n">
        <f aca="false">(('Operating Model'!$B$46*(1+0.035)^3)-(-PMT(Assumptions!$C$89,Assumptions!$C$94,Debt!$C$9)))</f>
        <v>286398.942210187</v>
      </c>
      <c r="F57" s="17" t="n">
        <f aca="false">(('Operating Model'!$B$46*(1+0.035)^4)-(-PMT(Assumptions!$C$89,Assumptions!$C$94,Debt!$C$9)))</f>
        <v>321977.633185455</v>
      </c>
      <c r="G57" s="17" t="n">
        <f aca="false">(('Operating Model'!$B$46*(1+0.035)^5)-(-PMT(Assumptions!$C$89,Assumptions!$C$94,Debt!$C$9))+((('Operating Model'!$B$46*(1+0.035)^6)/((Returns!$B$33+0)+Returns!$B$36))*(1-Assumptions!$C$110)-(Debt!$C$9+CUMPRINC(Assumptions!$C$89,Assumptions!$C$94,Debt!$C$9,1,3,0))))</f>
        <v>5753145.69679061</v>
      </c>
      <c r="H57" s="18" t="n">
        <f aca="false">IFERROR(IRR(B57:G57),"N/A")</f>
        <v>0.0543062115313985</v>
      </c>
      <c r="I57" s="19" t="n">
        <f aca="false">SUM(C57:G57)/(Capital!$B$12)</f>
        <v>1.26968801700303</v>
      </c>
    </row>
    <row r="58" customFormat="false" ht="15" hidden="false" customHeight="false" outlineLevel="0" collapsed="false">
      <c r="A58" s="2" t="s">
        <v>414</v>
      </c>
      <c r="B58" s="17" t="n">
        <f aca="false">-(Capital!$B$12)</f>
        <v>-5528040</v>
      </c>
      <c r="C58" s="17" t="n">
        <f aca="false">(('Operating Model'!$B$46*(1+0.015)^1)-(Debt!$C$9*Assumptions!$C$89))</f>
        <v>293738.28326844</v>
      </c>
      <c r="D58" s="17" t="n">
        <f aca="false">(('Operating Model'!$B$46*(1+0.015)^2)-(Debt!$C$9*Assumptions!$C$89))</f>
        <v>307697.407517466</v>
      </c>
      <c r="E58" s="17" t="n">
        <f aca="false">(('Operating Model'!$B$46*(1+0.015)^3)-(-PMT(Assumptions!$C$89,Assumptions!$C$94,Debt!$C$9)))</f>
        <v>228600.832975605</v>
      </c>
      <c r="F58" s="17" t="n">
        <f aca="false">(('Operating Model'!$B$46*(1+0.015)^4)-(-PMT(Assumptions!$C$89,Assumptions!$C$94,Debt!$C$9)))</f>
        <v>242981.871755058</v>
      </c>
      <c r="G58" s="17" t="n">
        <f aca="false">(('Operating Model'!$B$46*(1+0.015)^5)-(-PMT(Assumptions!$C$89,Assumptions!$C$94,Debt!$C$9))+((('Operating Model'!$B$46*(1+0.015)^6)/((Returns!$B$33+0.0025)+Returns!$B$36))*(1-Assumptions!$C$110)-(Debt!$C$9+CUMPRINC(Assumptions!$C$89,Assumptions!$C$94,Debt!$C$9,1,3,0))))</f>
        <v>3712099.88359652</v>
      </c>
      <c r="H58" s="18" t="n">
        <f aca="false">IFERROR(IRR(B58:G58),"N/A")</f>
        <v>-0.0319938740681303</v>
      </c>
      <c r="I58" s="19" t="n">
        <f aca="false">SUM(C58:G58)/(Capital!$B$12)</f>
        <v>0.865608475899792</v>
      </c>
    </row>
    <row r="59" customFormat="false" ht="15" hidden="false" customHeight="false" outlineLevel="0" collapsed="false">
      <c r="A59" s="2" t="s">
        <v>415</v>
      </c>
      <c r="B59" s="17" t="n">
        <f aca="false">-(Capital!$B$12)</f>
        <v>-5528040</v>
      </c>
      <c r="C59" s="17" t="n">
        <f aca="false">(('Operating Model'!$B$46*(1+0.02)^1)-(Debt!$C$9*Assumptions!$C$89))</f>
        <v>298322.56052592</v>
      </c>
      <c r="D59" s="17" t="n">
        <f aca="false">(('Operating Model'!$B$46*(1+0.02)^2)-(Debt!$C$9*Assumptions!$C$89))</f>
        <v>317026.411736438</v>
      </c>
      <c r="E59" s="17" t="n">
        <f aca="false">(('Operating Model'!$B$46*(1+0.02)^3)-(-PMT(Assumptions!$C$89,Assumptions!$C$94,Debt!$C$9)))</f>
        <v>242839.254316544</v>
      </c>
      <c r="F59" s="17" t="n">
        <f aca="false">(('Operating Model'!$B$46*(1+0.02)^4)-(-PMT(Assumptions!$C$89,Assumptions!$C$94,Debt!$C$9)))</f>
        <v>262298.741115967</v>
      </c>
      <c r="G59" s="17" t="n">
        <f aca="false">(('Operating Model'!$B$46*(1+0.02)^5)-(-PMT(Assumptions!$C$89,Assumptions!$C$94,Debt!$C$9))+((('Operating Model'!$B$46*(1+0.02)^6)/((Returns!$B$33+0.0025)+Returns!$B$36))*(1-Assumptions!$C$110)-(Debt!$C$9+CUMPRINC(Assumptions!$C$89,Assumptions!$C$94,Debt!$C$9,1,3,0))))</f>
        <v>4099467.39122656</v>
      </c>
      <c r="H59" s="18" t="n">
        <f aca="false">IFERROR(IRR(B59:G59),"N/A")</f>
        <v>-0.0127901583430503</v>
      </c>
      <c r="I59" s="19" t="n">
        <f aca="false">SUM(C59:G59)/(Capital!$B$12)</f>
        <v>0.944268557919521</v>
      </c>
    </row>
    <row r="60" customFormat="false" ht="15" hidden="false" customHeight="false" outlineLevel="0" collapsed="false">
      <c r="A60" s="2" t="s">
        <v>416</v>
      </c>
      <c r="B60" s="17" t="n">
        <f aca="false">-(Capital!$B$12)</f>
        <v>-5528040</v>
      </c>
      <c r="C60" s="17" t="n">
        <f aca="false">(('Operating Model'!$B$46*(1+0.025)^1)-(Debt!$C$9*Assumptions!$C$89))</f>
        <v>302906.8377834</v>
      </c>
      <c r="D60" s="17" t="n">
        <f aca="false">(('Operating Model'!$B$46*(1+0.025)^2)-(Debt!$C$9*Assumptions!$C$89))</f>
        <v>326401.258727985</v>
      </c>
      <c r="E60" s="17" t="n">
        <f aca="false">(('Operating Model'!$B$46*(1+0.025)^3)-(-PMT(Assumptions!$C$89,Assumptions!$C$94,Debt!$C$9)))</f>
        <v>257217.954541561</v>
      </c>
      <c r="F60" s="17" t="n">
        <f aca="false">(('Operating Model'!$B$46*(1+0.025)^4)-(-PMT(Assumptions!$C$89,Assumptions!$C$94,Debt!$C$9)))</f>
        <v>281901.780546465</v>
      </c>
      <c r="G60" s="17" t="n">
        <f aca="false">(('Operating Model'!$B$46*(1+0.025)^5)-(-PMT(Assumptions!$C$89,Assumptions!$C$94,Debt!$C$9))+((('Operating Model'!$B$46*(1+0.025)^6)/((Returns!$B$33+0.0025)+Returns!$B$36))*(1-Assumptions!$C$110)-(Debt!$C$9+CUMPRINC(Assumptions!$C$89,Assumptions!$C$94,Debt!$C$9,1,3,0))))</f>
        <v>4496323.33042541</v>
      </c>
      <c r="H60" s="18" t="n">
        <f aca="false">IFERROR(IRR(B60:G60),"N/A")</f>
        <v>0.0054813990464942</v>
      </c>
      <c r="I60" s="19" t="n">
        <f aca="false">SUM(C60:G60)/(Capital!$B$12)</f>
        <v>1.02473049435692</v>
      </c>
    </row>
    <row r="61" customFormat="false" ht="15" hidden="false" customHeight="false" outlineLevel="0" collapsed="false">
      <c r="A61" s="2" t="s">
        <v>417</v>
      </c>
      <c r="B61" s="17" t="n">
        <f aca="false">-(Capital!$B$12)</f>
        <v>-5528040</v>
      </c>
      <c r="C61" s="17" t="n">
        <f aca="false">(('Operating Model'!$B$46*(1+0.03)^1)-(Debt!$C$9*Assumptions!$C$89))</f>
        <v>307491.11504088</v>
      </c>
      <c r="D61" s="17" t="n">
        <f aca="false">(('Operating Model'!$B$46*(1+0.03)^2)-(Debt!$C$9*Assumptions!$C$89))</f>
        <v>335821.948492106</v>
      </c>
      <c r="E61" s="17" t="n">
        <f aca="false">(('Operating Model'!$B$46*(1+0.03)^3)-(-PMT(Assumptions!$C$89,Assumptions!$C$94,Debt!$C$9)))</f>
        <v>271737.621292246</v>
      </c>
      <c r="F61" s="17" t="n">
        <f aca="false">(('Operating Model'!$B$46*(1+0.03)^4)-(-PMT(Assumptions!$C$89,Assumptions!$C$94,Debt!$C$9)))</f>
        <v>301793.802500652</v>
      </c>
      <c r="G61" s="17" t="n">
        <f aca="false">(('Operating Model'!$B$46*(1+0.03)^5)-(-PMT(Assumptions!$C$89,Assumptions!$C$94,Debt!$C$9))+((('Operating Model'!$B$46*(1+0.03)^6)/((Returns!$B$33+0.0025)+Returns!$B$36))*(1-Assumptions!$C$110)-(Debt!$C$9+CUMPRINC(Assumptions!$C$89,Assumptions!$C$94,Debt!$C$9,1,3,0))))</f>
        <v>4902852.69912816</v>
      </c>
      <c r="H61" s="18" t="n">
        <f aca="false">IFERROR(IRR(B61:G61),"N/A")</f>
        <v>0.0229475888691563</v>
      </c>
      <c r="I61" s="19" t="n">
        <f aca="false">SUM(C61:G61)/(Capital!$B$12)</f>
        <v>1.10702838374072</v>
      </c>
    </row>
    <row r="62" customFormat="false" ht="15" hidden="false" customHeight="false" outlineLevel="0" collapsed="false">
      <c r="A62" s="2" t="s">
        <v>418</v>
      </c>
      <c r="B62" s="17" t="n">
        <f aca="false">-(Capital!$B$12)</f>
        <v>-5528040</v>
      </c>
      <c r="C62" s="17" t="n">
        <f aca="false">(('Operating Model'!$B$46*(1+0.035)^1)-(Debt!$C$9*Assumptions!$C$89))</f>
        <v>312075.39229836</v>
      </c>
      <c r="D62" s="17" t="n">
        <f aca="false">(('Operating Model'!$B$46*(1+0.035)^2)-(Debt!$C$9*Assumptions!$C$89))</f>
        <v>345288.481028802</v>
      </c>
      <c r="E62" s="17" t="n">
        <f aca="false">(('Operating Model'!$B$46*(1+0.035)^3)-(-PMT(Assumptions!$C$89,Assumptions!$C$94,Debt!$C$9)))</f>
        <v>286398.942210187</v>
      </c>
      <c r="F62" s="17" t="n">
        <f aca="false">(('Operating Model'!$B$46*(1+0.035)^4)-(-PMT(Assumptions!$C$89,Assumptions!$C$94,Debt!$C$9)))</f>
        <v>321977.633185455</v>
      </c>
      <c r="G62" s="17" t="n">
        <f aca="false">(('Operating Model'!$B$46*(1+0.035)^5)-(-PMT(Assumptions!$C$89,Assumptions!$C$94,Debt!$C$9))+((('Operating Model'!$B$46*(1+0.035)^6)/((Returns!$B$33+0.0025)+Returns!$B$36))*(1-Assumptions!$C$110)-(Debt!$C$9+CUMPRINC(Assumptions!$C$89,Assumptions!$C$94,Debt!$C$9,1,3,0))))</f>
        <v>5319243.18693611</v>
      </c>
      <c r="H62" s="18" t="n">
        <f aca="false">IFERROR(IRR(B62:G62),"N/A")</f>
        <v>0.0397108230577669</v>
      </c>
      <c r="I62" s="19" t="n">
        <f aca="false">SUM(C62:G62)/(Capital!$B$12)</f>
        <v>1.19119681399898</v>
      </c>
    </row>
    <row r="63" customFormat="false" ht="15" hidden="false" customHeight="false" outlineLevel="0" collapsed="false">
      <c r="A63" s="2" t="s">
        <v>419</v>
      </c>
      <c r="B63" s="17" t="n">
        <f aca="false">-(Capital!$B$12)</f>
        <v>-5528040</v>
      </c>
      <c r="C63" s="17" t="n">
        <f aca="false">(('Operating Model'!$B$46*(1+0.015)^1)-(Debt!$C$9*Assumptions!$C$89))</f>
        <v>293738.28326844</v>
      </c>
      <c r="D63" s="17" t="n">
        <f aca="false">(('Operating Model'!$B$46*(1+0.015)^2)-(Debt!$C$9*Assumptions!$C$89))</f>
        <v>307697.407517466</v>
      </c>
      <c r="E63" s="17" t="n">
        <f aca="false">(('Operating Model'!$B$46*(1+0.015)^3)-(-PMT(Assumptions!$C$89,Assumptions!$C$94,Debt!$C$9)))</f>
        <v>228600.832975605</v>
      </c>
      <c r="F63" s="17" t="n">
        <f aca="false">(('Operating Model'!$B$46*(1+0.015)^4)-(-PMT(Assumptions!$C$89,Assumptions!$C$94,Debt!$C$9)))</f>
        <v>242981.871755058</v>
      </c>
      <c r="G63" s="17" t="n">
        <f aca="false">(('Operating Model'!$B$46*(1+0.015)^5)-(-PMT(Assumptions!$C$89,Assumptions!$C$94,Debt!$C$9))+((('Operating Model'!$B$46*(1+0.015)^6)/((Returns!$B$33+0.005)+Returns!$B$36))*(1-Assumptions!$C$110)-(Debt!$C$9+CUMPRINC(Assumptions!$C$89,Assumptions!$C$94,Debt!$C$9,1,3,0))))</f>
        <v>3349238.70168005</v>
      </c>
      <c r="H63" s="18" t="n">
        <f aca="false">IFERROR(IRR(B63:G63),"N/A")</f>
        <v>-0.0494028833429852</v>
      </c>
      <c r="I63" s="19" t="n">
        <f aca="false">SUM(C63:G63)/(Capital!$B$12)</f>
        <v>0.799968360792725</v>
      </c>
    </row>
    <row r="64" customFormat="false" ht="15" hidden="false" customHeight="false" outlineLevel="0" collapsed="false">
      <c r="A64" s="2" t="s">
        <v>420</v>
      </c>
      <c r="B64" s="17" t="n">
        <f aca="false">-(Capital!$B$12)</f>
        <v>-5528040</v>
      </c>
      <c r="C64" s="17" t="n">
        <f aca="false">(('Operating Model'!$B$46*(1+0.02)^1)-(Debt!$C$9*Assumptions!$C$89))</f>
        <v>298322.56052592</v>
      </c>
      <c r="D64" s="17" t="n">
        <f aca="false">(('Operating Model'!$B$46*(1+0.02)^2)-(Debt!$C$9*Assumptions!$C$89))</f>
        <v>317026.411736438</v>
      </c>
      <c r="E64" s="17" t="n">
        <f aca="false">(('Operating Model'!$B$46*(1+0.02)^3)-(-PMT(Assumptions!$C$89,Assumptions!$C$94,Debt!$C$9)))</f>
        <v>242839.254316544</v>
      </c>
      <c r="F64" s="17" t="n">
        <f aca="false">(('Operating Model'!$B$46*(1+0.02)^4)-(-PMT(Assumptions!$C$89,Assumptions!$C$94,Debt!$C$9)))</f>
        <v>262298.741115967</v>
      </c>
      <c r="G64" s="17" t="n">
        <f aca="false">(('Operating Model'!$B$46*(1+0.02)^5)-(-PMT(Assumptions!$C$89,Assumptions!$C$94,Debt!$C$9))+((('Operating Model'!$B$46*(1+0.02)^6)/((Returns!$B$33+0.005)+Returns!$B$36))*(1-Assumptions!$C$110)-(Debt!$C$9+CUMPRINC(Assumptions!$C$89,Assumptions!$C$94,Debt!$C$9,1,3,0))))</f>
        <v>3725748.29672996</v>
      </c>
      <c r="H64" s="18" t="n">
        <f aca="false">IFERROR(IRR(B64:G64),"N/A")</f>
        <v>-0.0293117427446326</v>
      </c>
      <c r="I64" s="19" t="n">
        <f aca="false">SUM(C64:G64)/(Capital!$B$12)</f>
        <v>0.87666429049443</v>
      </c>
    </row>
    <row r="65" customFormat="false" ht="15" hidden="false" customHeight="false" outlineLevel="0" collapsed="false">
      <c r="A65" s="2" t="s">
        <v>421</v>
      </c>
      <c r="B65" s="17" t="n">
        <f aca="false">-(Capital!$B$12)</f>
        <v>-5528040</v>
      </c>
      <c r="C65" s="17" t="n">
        <f aca="false">(('Operating Model'!$B$46*(1+0.025)^1)-(Debt!$C$9*Assumptions!$C$89))</f>
        <v>302906.8377834</v>
      </c>
      <c r="D65" s="17" t="n">
        <f aca="false">(('Operating Model'!$B$46*(1+0.025)^2)-(Debt!$C$9*Assumptions!$C$89))</f>
        <v>326401.258727985</v>
      </c>
      <c r="E65" s="17" t="n">
        <f aca="false">(('Operating Model'!$B$46*(1+0.025)^3)-(-PMT(Assumptions!$C$89,Assumptions!$C$94,Debt!$C$9)))</f>
        <v>257217.954541561</v>
      </c>
      <c r="F65" s="17" t="n">
        <f aca="false">(('Operating Model'!$B$46*(1+0.025)^4)-(-PMT(Assumptions!$C$89,Assumptions!$C$94,Debt!$C$9)))</f>
        <v>281901.780546465</v>
      </c>
      <c r="G65" s="17" t="n">
        <f aca="false">(('Operating Model'!$B$46*(1+0.025)^5)-(-PMT(Assumptions!$C$89,Assumptions!$C$94,Debt!$C$9))+((('Operating Model'!$B$46*(1+0.025)^6)/((Returns!$B$33+0.005)+Returns!$B$36))*(1-Assumptions!$C$110)-(Debt!$C$9+CUMPRINC(Assumptions!$C$89,Assumptions!$C$94,Debt!$C$9,1,3,0))))</f>
        <v>4111476.91153014</v>
      </c>
      <c r="H65" s="18" t="n">
        <f aca="false">IFERROR(IRR(B65:G65),"N/A")</f>
        <v>-0.0102869179003946</v>
      </c>
      <c r="I65" s="19" t="n">
        <f aca="false">SUM(C65:G65)/(Capital!$B$12)</f>
        <v>0.955113339109259</v>
      </c>
    </row>
    <row r="66" customFormat="false" ht="15" hidden="false" customHeight="false" outlineLevel="0" collapsed="false">
      <c r="A66" s="2" t="s">
        <v>422</v>
      </c>
      <c r="B66" s="17" t="n">
        <f aca="false">-(Capital!$B$12)</f>
        <v>-5528040</v>
      </c>
      <c r="C66" s="17" t="n">
        <f aca="false">(('Operating Model'!$B$46*(1+0.03)^1)-(Debt!$C$9*Assumptions!$C$89))</f>
        <v>307491.11504088</v>
      </c>
      <c r="D66" s="17" t="n">
        <f aca="false">(('Operating Model'!$B$46*(1+0.03)^2)-(Debt!$C$9*Assumptions!$C$89))</f>
        <v>335821.948492106</v>
      </c>
      <c r="E66" s="17" t="n">
        <f aca="false">(('Operating Model'!$B$46*(1+0.03)^3)-(-PMT(Assumptions!$C$89,Assumptions!$C$94,Debt!$C$9)))</f>
        <v>271737.621292246</v>
      </c>
      <c r="F66" s="17" t="n">
        <f aca="false">(('Operating Model'!$B$46*(1+0.03)^4)-(-PMT(Assumptions!$C$89,Assumptions!$C$94,Debt!$C$9)))</f>
        <v>301793.802500652</v>
      </c>
      <c r="G66" s="17" t="n">
        <f aca="false">(('Operating Model'!$B$46*(1+0.03)^5)-(-PMT(Assumptions!$C$89,Assumptions!$C$94,Debt!$C$9))+((('Operating Model'!$B$46*(1+0.03)^6)/((Returns!$B$33+0.005)+Returns!$B$36))*(1-Assumptions!$C$110)-(Debt!$C$9+CUMPRINC(Assumptions!$C$89,Assumptions!$C$94,Debt!$C$9,1,3,0))))</f>
        <v>4506604.22252561</v>
      </c>
      <c r="H66" s="18" t="n">
        <f aca="false">IFERROR(IRR(B66:G66),"N/A")</f>
        <v>0.00782605849702625</v>
      </c>
      <c r="I66" s="19" t="n">
        <f aca="false">SUM(C66:G66)/(Capital!$B$12)</f>
        <v>1.03534864252999</v>
      </c>
    </row>
    <row r="67" customFormat="false" ht="15" hidden="false" customHeight="false" outlineLevel="0" collapsed="false">
      <c r="A67" s="2" t="s">
        <v>423</v>
      </c>
      <c r="B67" s="17" t="n">
        <f aca="false">-(Capital!$B$12)</f>
        <v>-5528040</v>
      </c>
      <c r="C67" s="17" t="n">
        <f aca="false">(('Operating Model'!$B$46*(1+0.035)^1)-(Debt!$C$9*Assumptions!$C$89))</f>
        <v>312075.39229836</v>
      </c>
      <c r="D67" s="17" t="n">
        <f aca="false">(('Operating Model'!$B$46*(1+0.035)^2)-(Debt!$C$9*Assumptions!$C$89))</f>
        <v>345288.481028802</v>
      </c>
      <c r="E67" s="17" t="n">
        <f aca="false">(('Operating Model'!$B$46*(1+0.035)^3)-(-PMT(Assumptions!$C$89,Assumptions!$C$94,Debt!$C$9)))</f>
        <v>286398.942210187</v>
      </c>
      <c r="F67" s="17" t="n">
        <f aca="false">(('Operating Model'!$B$46*(1+0.035)^4)-(-PMT(Assumptions!$C$89,Assumptions!$C$94,Debt!$C$9)))</f>
        <v>321977.633185455</v>
      </c>
      <c r="G67" s="17" t="n">
        <f aca="false">(('Operating Model'!$B$46*(1+0.035)^5)-(-PMT(Assumptions!$C$89,Assumptions!$C$94,Debt!$C$9))+((('Operating Model'!$B$46*(1+0.035)^6)/((Returns!$B$33+0.005)+Returns!$B$36))*(1-Assumptions!$C$110)-(Debt!$C$9+CUMPRINC(Assumptions!$C$89,Assumptions!$C$94,Debt!$C$9,1,3,0))))</f>
        <v>4911312.51938033</v>
      </c>
      <c r="H67" s="18" t="n">
        <f aca="false">IFERROR(IRR(B67:G67),"N/A")</f>
        <v>0.0251500713763744</v>
      </c>
      <c r="I67" s="19" t="n">
        <f aca="false">SUM(C67:G67)/(Capital!$B$12)</f>
        <v>1.11740381185793</v>
      </c>
    </row>
    <row r="68" customFormat="false" ht="15" hidden="false" customHeight="false" outlineLevel="0" collapsed="false">
      <c r="A68" s="2" t="s">
        <v>424</v>
      </c>
      <c r="B68" s="17" t="n">
        <f aca="false">-(Capital!$B$12)</f>
        <v>-5528040</v>
      </c>
      <c r="C68" s="17" t="n">
        <f aca="false">(('Operating Model'!$B$46*(1+0.015)^1)-(Debt!$C$9*Assumptions!$C$89))</f>
        <v>293738.28326844</v>
      </c>
      <c r="D68" s="17" t="n">
        <f aca="false">(('Operating Model'!$B$46*(1+0.015)^2)-(Debt!$C$9*Assumptions!$C$89))</f>
        <v>307697.407517466</v>
      </c>
      <c r="E68" s="17" t="n">
        <f aca="false">(('Operating Model'!$B$46*(1+0.015)^3)-(-PMT(Assumptions!$C$89,Assumptions!$C$94,Debt!$C$9)))</f>
        <v>228600.832975605</v>
      </c>
      <c r="F68" s="17" t="n">
        <f aca="false">(('Operating Model'!$B$46*(1+0.015)^4)-(-PMT(Assumptions!$C$89,Assumptions!$C$94,Debt!$C$9)))</f>
        <v>242981.871755058</v>
      </c>
      <c r="G68" s="17" t="n">
        <f aca="false">(('Operating Model'!$B$46*(1+0.015)^5)-(-PMT(Assumptions!$C$89,Assumptions!$C$94,Debt!$C$9))+((('Operating Model'!$B$46*(1+0.015)^6)/((Returns!$B$33+0.0075)+Returns!$B$36))*(1-Assumptions!$C$110)-(Debt!$C$9+CUMPRINC(Assumptions!$C$89,Assumptions!$C$94,Debt!$C$9,1,3,0))))</f>
        <v>3007465.94528377</v>
      </c>
      <c r="H68" s="18" t="n">
        <f aca="false">IFERROR(IRR(B68:G68),"N/A")</f>
        <v>-0.0671393235393666</v>
      </c>
      <c r="I68" s="19" t="n">
        <f aca="false">SUM(C68:G68)/(Capital!$B$12)</f>
        <v>0.738143056273171</v>
      </c>
    </row>
    <row r="69" customFormat="false" ht="15" hidden="false" customHeight="false" outlineLevel="0" collapsed="false">
      <c r="A69" s="2" t="s">
        <v>425</v>
      </c>
      <c r="B69" s="17" t="n">
        <f aca="false">-(Capital!$B$12)</f>
        <v>-5528040</v>
      </c>
      <c r="C69" s="17" t="n">
        <f aca="false">(('Operating Model'!$B$46*(1+0.02)^1)-(Debt!$C$9*Assumptions!$C$89))</f>
        <v>298322.56052592</v>
      </c>
      <c r="D69" s="17" t="n">
        <f aca="false">(('Operating Model'!$B$46*(1+0.02)^2)-(Debt!$C$9*Assumptions!$C$89))</f>
        <v>317026.411736438</v>
      </c>
      <c r="E69" s="17" t="n">
        <f aca="false">(('Operating Model'!$B$46*(1+0.02)^3)-(-PMT(Assumptions!$C$89,Assumptions!$C$94,Debt!$C$9)))</f>
        <v>242839.254316544</v>
      </c>
      <c r="F69" s="17" t="n">
        <f aca="false">(('Operating Model'!$B$46*(1+0.02)^4)-(-PMT(Assumptions!$C$89,Assumptions!$C$94,Debt!$C$9)))</f>
        <v>262298.741115967</v>
      </c>
      <c r="G69" s="17" t="n">
        <f aca="false">(('Operating Model'!$B$46*(1+0.02)^5)-(-PMT(Assumptions!$C$89,Assumptions!$C$94,Debt!$C$9))+((('Operating Model'!$B$46*(1+0.02)^6)/((Returns!$B$33+0.0075)+Returns!$B$36))*(1-Assumptions!$C$110)-(Debt!$C$9+CUMPRINC(Assumptions!$C$89,Assumptions!$C$94,Debt!$C$9,1,3,0))))</f>
        <v>3373748.65772359</v>
      </c>
      <c r="H69" s="18" t="n">
        <f aca="false">IFERROR(IRR(B69:G69),"N/A")</f>
        <v>-0.0460468848774707</v>
      </c>
      <c r="I69" s="19" t="n">
        <f aca="false">SUM(C69:G69)/(Capital!$B$12)</f>
        <v>0.812988984417345</v>
      </c>
    </row>
    <row r="70" customFormat="false" ht="15" hidden="false" customHeight="false" outlineLevel="0" collapsed="false">
      <c r="A70" s="2" t="s">
        <v>426</v>
      </c>
      <c r="B70" s="17" t="n">
        <f aca="false">-(Capital!$B$12)</f>
        <v>-5528040</v>
      </c>
      <c r="C70" s="17" t="n">
        <f aca="false">(('Operating Model'!$B$46*(1+0.025)^1)-(Debt!$C$9*Assumptions!$C$89))</f>
        <v>302906.8377834</v>
      </c>
      <c r="D70" s="17" t="n">
        <f aca="false">(('Operating Model'!$B$46*(1+0.025)^2)-(Debt!$C$9*Assumptions!$C$89))</f>
        <v>326401.258727985</v>
      </c>
      <c r="E70" s="17" t="n">
        <f aca="false">(('Operating Model'!$B$46*(1+0.025)^3)-(-PMT(Assumptions!$C$89,Assumptions!$C$94,Debt!$C$9)))</f>
        <v>257217.954541561</v>
      </c>
      <c r="F70" s="17" t="n">
        <f aca="false">(('Operating Model'!$B$46*(1+0.025)^4)-(-PMT(Assumptions!$C$89,Assumptions!$C$94,Debt!$C$9)))</f>
        <v>281901.780546465</v>
      </c>
      <c r="G70" s="17" t="n">
        <f aca="false">(('Operating Model'!$B$46*(1+0.025)^5)-(-PMT(Assumptions!$C$89,Assumptions!$C$94,Debt!$C$9))+((('Operating Model'!$B$46*(1+0.025)^6)/((Returns!$B$33+0.0075)+Returns!$B$36))*(1-Assumptions!$C$110)-(Debt!$C$9+CUMPRINC(Assumptions!$C$89,Assumptions!$C$94,Debt!$C$9,1,3,0))))</f>
        <v>3748996.63551828</v>
      </c>
      <c r="H70" s="18" t="n">
        <f aca="false">IFERROR(IRR(B70:G70),"N/A")</f>
        <v>-0.0261819654188695</v>
      </c>
      <c r="I70" s="19" t="n">
        <f aca="false">SUM(C70:G70)/(Capital!$B$12)</f>
        <v>0.889542128334399</v>
      </c>
    </row>
    <row r="71" customFormat="false" ht="15" hidden="false" customHeight="false" outlineLevel="0" collapsed="false">
      <c r="A71" s="2" t="s">
        <v>427</v>
      </c>
      <c r="B71" s="17" t="n">
        <f aca="false">-(Capital!$B$12)</f>
        <v>-5528040</v>
      </c>
      <c r="C71" s="17" t="n">
        <f aca="false">(('Operating Model'!$B$46*(1+0.03)^1)-(Debt!$C$9*Assumptions!$C$89))</f>
        <v>307491.11504088</v>
      </c>
      <c r="D71" s="17" t="n">
        <f aca="false">(('Operating Model'!$B$46*(1+0.03)^2)-(Debt!$C$9*Assumptions!$C$89))</f>
        <v>335821.948492106</v>
      </c>
      <c r="E71" s="17" t="n">
        <f aca="false">(('Operating Model'!$B$46*(1+0.03)^3)-(-PMT(Assumptions!$C$89,Assumptions!$C$94,Debt!$C$9)))</f>
        <v>271737.621292246</v>
      </c>
      <c r="F71" s="17" t="n">
        <f aca="false">(('Operating Model'!$B$46*(1+0.03)^4)-(-PMT(Assumptions!$C$89,Assumptions!$C$94,Debt!$C$9)))</f>
        <v>301793.802500652</v>
      </c>
      <c r="G71" s="17" t="n">
        <f aca="false">(('Operating Model'!$B$46*(1+0.03)^5)-(-PMT(Assumptions!$C$89,Assumptions!$C$94,Debt!$C$9))+((('Operating Model'!$B$46*(1+0.03)^6)/((Returns!$B$33+0.0075)+Returns!$B$36))*(1-Assumptions!$C$110)-(Debt!$C$9+CUMPRINC(Assumptions!$C$89,Assumptions!$C$94,Debt!$C$9,1,3,0))))</f>
        <v>4133384.54289216</v>
      </c>
      <c r="H71" s="18" t="n">
        <f aca="false">IFERROR(IRR(B71:G71),"N/A")</f>
        <v>-0.00735460949576415</v>
      </c>
      <c r="I71" s="19" t="n">
        <f aca="false">SUM(C71:G71)/(Capital!$B$12)</f>
        <v>0.967834717226729</v>
      </c>
    </row>
    <row r="72" customFormat="false" ht="15" hidden="false" customHeight="false" outlineLevel="0" collapsed="false">
      <c r="A72" s="2" t="s">
        <v>428</v>
      </c>
      <c r="B72" s="17" t="n">
        <f aca="false">-(Capital!$B$12)</f>
        <v>-5528040</v>
      </c>
      <c r="C72" s="17" t="n">
        <f aca="false">(('Operating Model'!$B$46*(1+0.035)^1)-(Debt!$C$9*Assumptions!$C$89))</f>
        <v>312075.39229836</v>
      </c>
      <c r="D72" s="17" t="n">
        <f aca="false">(('Operating Model'!$B$46*(1+0.035)^2)-(Debt!$C$9*Assumptions!$C$89))</f>
        <v>345288.481028802</v>
      </c>
      <c r="E72" s="17" t="n">
        <f aca="false">(('Operating Model'!$B$46*(1+0.035)^3)-(-PMT(Assumptions!$C$89,Assumptions!$C$94,Debt!$C$9)))</f>
        <v>286398.942210187</v>
      </c>
      <c r="F72" s="17" t="n">
        <f aca="false">(('Operating Model'!$B$46*(1+0.035)^4)-(-PMT(Assumptions!$C$89,Assumptions!$C$94,Debt!$C$9)))</f>
        <v>321977.633185455</v>
      </c>
      <c r="G72" s="17" t="n">
        <f aca="false">(('Operating Model'!$B$46*(1+0.035)^5)-(-PMT(Assumptions!$C$89,Assumptions!$C$94,Debt!$C$9))+((('Operating Model'!$B$46*(1+0.035)^6)/((Returns!$B$33+0.0075)+Returns!$B$36))*(1-Assumptions!$C$110)-(Debt!$C$9+CUMPRINC(Assumptions!$C$89,Assumptions!$C$94,Debt!$C$9,1,3,0))))</f>
        <v>4527089.58340036</v>
      </c>
      <c r="H72" s="18" t="n">
        <f aca="false">IFERROR(IRR(B72:G72),"N/A")</f>
        <v>0.0105837417482443</v>
      </c>
      <c r="I72" s="19" t="n">
        <f aca="false">SUM(C72:G72)/(Capital!$B$12)</f>
        <v>1.0478994421392</v>
      </c>
    </row>
    <row r="73" customFormat="false" ht="15" hidden="false" customHeight="false" outlineLevel="0" collapsed="false">
      <c r="A73" s="2" t="s">
        <v>429</v>
      </c>
      <c r="B73" s="17" t="n">
        <f aca="false">-(Capital!$B$12)</f>
        <v>-5528040</v>
      </c>
      <c r="C73" s="17" t="n">
        <f aca="false">(('Operating Model'!$B$46*(1+0.015)^1)-(Debt!$C$9*Assumptions!$C$89))</f>
        <v>293738.28326844</v>
      </c>
      <c r="D73" s="17" t="n">
        <f aca="false">(('Operating Model'!$B$46*(1+0.015)^2)-(Debt!$C$9*Assumptions!$C$89))</f>
        <v>307697.407517466</v>
      </c>
      <c r="E73" s="17" t="n">
        <f aca="false">(('Operating Model'!$B$46*(1+0.015)^3)-(-PMT(Assumptions!$C$89,Assumptions!$C$94,Debt!$C$9)))</f>
        <v>228600.832975605</v>
      </c>
      <c r="F73" s="17" t="n">
        <f aca="false">(('Operating Model'!$B$46*(1+0.015)^4)-(-PMT(Assumptions!$C$89,Assumptions!$C$94,Debt!$C$9)))</f>
        <v>242981.871755058</v>
      </c>
      <c r="G73" s="17" t="n">
        <f aca="false">(('Operating Model'!$B$46*(1+0.015)^5)-(-PMT(Assumptions!$C$89,Assumptions!$C$94,Debt!$C$9))+((('Operating Model'!$B$46*(1+0.015)^6)/((Returns!$B$33+0.01)+Returns!$B$36))*(1-Assumptions!$C$110)-(Debt!$C$9+CUMPRINC(Assumptions!$C$89,Assumptions!$C$94,Debt!$C$9,1,3,0))))</f>
        <v>2684995.13101487</v>
      </c>
      <c r="H73" s="18" t="n">
        <f aca="false">IFERROR(IRR(B73:G73),"N/A")</f>
        <v>-0.085303601522089</v>
      </c>
      <c r="I73" s="19" t="n">
        <f aca="false">SUM(C73:G73)/(Capital!$B$12)</f>
        <v>0.679809394745957</v>
      </c>
    </row>
    <row r="74" customFormat="false" ht="15" hidden="false" customHeight="false" outlineLevel="0" collapsed="false">
      <c r="A74" s="2" t="s">
        <v>430</v>
      </c>
      <c r="B74" s="17" t="n">
        <f aca="false">-(Capital!$B$12)</f>
        <v>-5528040</v>
      </c>
      <c r="C74" s="17" t="n">
        <f aca="false">(('Operating Model'!$B$46*(1+0.02)^1)-(Debt!$C$9*Assumptions!$C$89))</f>
        <v>298322.56052592</v>
      </c>
      <c r="D74" s="17" t="n">
        <f aca="false">(('Operating Model'!$B$46*(1+0.02)^2)-(Debt!$C$9*Assumptions!$C$89))</f>
        <v>317026.411736438</v>
      </c>
      <c r="E74" s="17" t="n">
        <f aca="false">(('Operating Model'!$B$46*(1+0.02)^3)-(-PMT(Assumptions!$C$89,Assumptions!$C$94,Debt!$C$9)))</f>
        <v>242839.254316544</v>
      </c>
      <c r="F74" s="17" t="n">
        <f aca="false">(('Operating Model'!$B$46*(1+0.02)^4)-(-PMT(Assumptions!$C$89,Assumptions!$C$94,Debt!$C$9)))</f>
        <v>262298.741115967</v>
      </c>
      <c r="G74" s="17" t="n">
        <f aca="false">(('Operating Model'!$B$46*(1+0.02)^5)-(-PMT(Assumptions!$C$89,Assumptions!$C$94,Debt!$C$9))+((('Operating Model'!$B$46*(1+0.02)^6)/((Returns!$B$33+0.01)+Returns!$B$36))*(1-Assumptions!$C$110)-(Debt!$C$9+CUMPRINC(Assumptions!$C$89,Assumptions!$C$94,Debt!$C$9,1,3,0))))</f>
        <v>3041628.53378624</v>
      </c>
      <c r="H74" s="18" t="n">
        <f aca="false">IFERROR(IRR(B74:G74),"N/A")</f>
        <v>-0.063072190034433</v>
      </c>
      <c r="I74" s="19" t="n">
        <f aca="false">SUM(C74:G74)/(Capital!$B$12)</f>
        <v>0.752909801933616</v>
      </c>
    </row>
    <row r="75" customFormat="false" ht="15" hidden="false" customHeight="false" outlineLevel="0" collapsed="false">
      <c r="A75" s="2" t="s">
        <v>431</v>
      </c>
      <c r="B75" s="17" t="n">
        <f aca="false">-(Capital!$B$12)</f>
        <v>-5528040</v>
      </c>
      <c r="C75" s="17" t="n">
        <f aca="false">(('Operating Model'!$B$46*(1+0.025)^1)-(Debt!$C$9*Assumptions!$C$89))</f>
        <v>302906.8377834</v>
      </c>
      <c r="D75" s="17" t="n">
        <f aca="false">(('Operating Model'!$B$46*(1+0.025)^2)-(Debt!$C$9*Assumptions!$C$89))</f>
        <v>326401.258727985</v>
      </c>
      <c r="E75" s="17" t="n">
        <f aca="false">(('Operating Model'!$B$46*(1+0.025)^3)-(-PMT(Assumptions!$C$89,Assumptions!$C$94,Debt!$C$9)))</f>
        <v>257217.954541561</v>
      </c>
      <c r="F75" s="17" t="n">
        <f aca="false">(('Operating Model'!$B$46*(1+0.025)^4)-(-PMT(Assumptions!$C$89,Assumptions!$C$94,Debt!$C$9)))</f>
        <v>281901.780546465</v>
      </c>
      <c r="G75" s="17" t="n">
        <f aca="false">(('Operating Model'!$B$46*(1+0.025)^5)-(-PMT(Assumptions!$C$89,Assumptions!$C$94,Debt!$C$9))+((('Operating Model'!$B$46*(1+0.025)^6)/((Returns!$B$33+0.01)+Returns!$B$36))*(1-Assumptions!$C$110)-(Debt!$C$9+CUMPRINC(Assumptions!$C$89,Assumptions!$C$94,Debt!$C$9,1,3,0))))</f>
        <v>3406987.77853838</v>
      </c>
      <c r="H75" s="18" t="n">
        <f aca="false">IFERROR(IRR(B75:G75),"N/A")</f>
        <v>-0.0422643589811206</v>
      </c>
      <c r="I75" s="19" t="n">
        <f aca="false">SUM(C75:G75)/(Capital!$B$12)</f>
        <v>0.8276741141775</v>
      </c>
    </row>
    <row r="76" customFormat="false" ht="15" hidden="false" customHeight="false" outlineLevel="0" collapsed="false">
      <c r="A76" s="2" t="s">
        <v>432</v>
      </c>
      <c r="B76" s="17" t="n">
        <f aca="false">-(Capital!$B$12)</f>
        <v>-5528040</v>
      </c>
      <c r="C76" s="17" t="n">
        <f aca="false">(('Operating Model'!$B$46*(1+0.03)^1)-(Debt!$C$9*Assumptions!$C$89))</f>
        <v>307491.11504088</v>
      </c>
      <c r="D76" s="17" t="n">
        <f aca="false">(('Operating Model'!$B$46*(1+0.03)^2)-(Debt!$C$9*Assumptions!$C$89))</f>
        <v>335821.948492106</v>
      </c>
      <c r="E76" s="17" t="n">
        <f aca="false">(('Operating Model'!$B$46*(1+0.03)^3)-(-PMT(Assumptions!$C$89,Assumptions!$C$94,Debt!$C$9)))</f>
        <v>271737.621292246</v>
      </c>
      <c r="F76" s="17" t="n">
        <f aca="false">(('Operating Model'!$B$46*(1+0.03)^4)-(-PMT(Assumptions!$C$89,Assumptions!$C$94,Debt!$C$9)))</f>
        <v>301793.802500652</v>
      </c>
      <c r="G76" s="17" t="n">
        <f aca="false">(('Operating Model'!$B$46*(1+0.03)^5)-(-PMT(Assumptions!$C$89,Assumptions!$C$94,Debt!$C$9))+((('Operating Model'!$B$46*(1+0.03)^6)/((Returns!$B$33+0.01)+Returns!$B$36))*(1-Assumptions!$C$110)-(Debt!$C$9+CUMPRINC(Assumptions!$C$89,Assumptions!$C$94,Debt!$C$9,1,3,0))))</f>
        <v>3781242.80034487</v>
      </c>
      <c r="H76" s="18" t="n">
        <f aca="false">IFERROR(IRR(B76:G76),"N/A")</f>
        <v>-0.0226439690527443</v>
      </c>
      <c r="I76" s="19" t="n">
        <f aca="false">SUM(C76:G76)/(Capital!$B$12)</f>
        <v>0.90413370519583</v>
      </c>
    </row>
    <row r="77" customFormat="false" ht="15" hidden="false" customHeight="false" outlineLevel="0" collapsed="false">
      <c r="A77" s="2" t="s">
        <v>433</v>
      </c>
      <c r="B77" s="17" t="n">
        <f aca="false">-(Capital!$B$12)</f>
        <v>-5528040</v>
      </c>
      <c r="C77" s="17" t="n">
        <f aca="false">(('Operating Model'!$B$46*(1+0.035)^1)-(Debt!$C$9*Assumptions!$C$89))</f>
        <v>312075.39229836</v>
      </c>
      <c r="D77" s="17" t="n">
        <f aca="false">(('Operating Model'!$B$46*(1+0.035)^2)-(Debt!$C$9*Assumptions!$C$89))</f>
        <v>345288.481028802</v>
      </c>
      <c r="E77" s="17" t="n">
        <f aca="false">(('Operating Model'!$B$46*(1+0.035)^3)-(-PMT(Assumptions!$C$89,Assumptions!$C$94,Debt!$C$9)))</f>
        <v>286398.942210187</v>
      </c>
      <c r="F77" s="17" t="n">
        <f aca="false">(('Operating Model'!$B$46*(1+0.035)^4)-(-PMT(Assumptions!$C$89,Assumptions!$C$94,Debt!$C$9)))</f>
        <v>321977.633185455</v>
      </c>
      <c r="G77" s="17" t="n">
        <f aca="false">(('Operating Model'!$B$46*(1+0.035)^5)-(-PMT(Assumptions!$C$89,Assumptions!$C$94,Debt!$C$9))+((('Operating Model'!$B$46*(1+0.035)^6)/((Returns!$B$33+0.01)+Returns!$B$36))*(1-Assumptions!$C$110)-(Debt!$C$9+CUMPRINC(Assumptions!$C$89,Assumptions!$C$94,Debt!$C$9,1,3,0))))</f>
        <v>4164566.00389482</v>
      </c>
      <c r="H77" s="18" t="n">
        <f aca="false">IFERROR(IRR(B77:G77),"N/A")</f>
        <v>-0.00402987903488671</v>
      </c>
      <c r="I77" s="19" t="n">
        <f aca="false">SUM(C77:G77)/(Capital!$B$12)</f>
        <v>0.98232039793808</v>
      </c>
    </row>
    <row r="78" customFormat="false" ht="15" hidden="false" customHeight="false" outlineLevel="0" collapsed="false">
      <c r="A78" s="2" t="s">
        <v>434</v>
      </c>
      <c r="B78" s="17" t="n">
        <f aca="false">-((((Assumptions!$C$7*(1+-0.1))*(1+Assumptions!$C$10)+(Capital!$B$8-Assumptions!$C$7*(1+Assumptions!$C$10)))-((Assumptions!$C$7*(1+-0.1))*Assumptions!$C$90)))</f>
        <v>-5024340</v>
      </c>
      <c r="C78" s="17" t="n">
        <f aca="false">((('Operating Model'!$B$46+Assumptions!$C$20-(((Assumptions!$C$7*(1+-0.1))*Assumptions!$C$16)*Assumptions!$C$14))*(1+Assumptions!$C$53)^0)-(((Assumptions!$C$7*(1+-0.1))*Assumptions!$C$90)*Assumptions!$C$89))</f>
        <v>367333.034496</v>
      </c>
      <c r="D78" s="17" t="n">
        <f aca="false">((('Operating Model'!$B$46+Assumptions!$C$20-(((Assumptions!$C$7*(1+-0.1))*Assumptions!$C$16)*Assumptions!$C$14))*(1+Assumptions!$C$53)^1)-(((Assumptions!$C$7*(1+-0.1))*Assumptions!$C$90)*Assumptions!$C$89))</f>
        <v>395548.51553088</v>
      </c>
      <c r="E78" s="17" t="n">
        <f aca="false">((('Operating Model'!$B$46+Assumptions!$C$20-(((Assumptions!$C$7*(1+-0.1))*Assumptions!$C$16)*Assumptions!$C$14))*(1+Assumptions!$C$53)^2)-(-PMT(Assumptions!$C$89,Assumptions!$C$94,((Assumptions!$C$7*(1+-0.1))*Assumptions!$C$90))))</f>
        <v>340671.883907645</v>
      </c>
      <c r="F78" s="17" t="n">
        <f aca="false">((('Operating Model'!$B$46+Assumptions!$C$20-(((Assumptions!$C$7*(1+-0.1))*Assumptions!$C$16)*Assumptions!$C$14))*(1+Assumptions!$C$53)^3)-(-PMT(Assumptions!$C$89,Assumptions!$C$94,((Assumptions!$C$7*(1+-0.1))*Assumptions!$C$90))))</f>
        <v>370605.68773755</v>
      </c>
      <c r="G78" s="17" t="n">
        <f aca="false">((('Operating Model'!$B$46+Assumptions!$C$20-(((Assumptions!$C$7*(1+-0.1))*Assumptions!$C$16)*Assumptions!$C$14))*(1+Assumptions!$C$53)^4)-(-PMT(Assumptions!$C$89,Assumptions!$C$94,((Assumptions!$C$7*(1+-0.1))*Assumptions!$C$90)))+(((('Operating Model'!$B$46+Assumptions!$C$20-(((Assumptions!$C$7*(1+-0.1))*Assumptions!$C$16)*Assumptions!$C$14))*(1+Assumptions!$C$53)^5)/((((Returns!$B$14+Assumptions!$C$20-(((Assumptions!$C$7*(1+-0.1))*Assumptions!$C$16)*Assumptions!$C$14))/(Assumptions!$C$7*(1+-0.1)))+0)+Returns!$B$36))*(1-Assumptions!$C$110)-(((Assumptions!$C$7*(1+-0.1))*Assumptions!$C$90)+CUMPRINC(Assumptions!$C$89,Assumptions!$C$94,((Assumptions!$C$7*(1+-0.1))*Assumptions!$C$90),1,3,0))))</f>
        <v>4843795.51359332</v>
      </c>
      <c r="H78" s="18" t="n">
        <f aca="false">IFERROR(IRR(B78:G78),"N/A")</f>
        <v>0.0537696125937818</v>
      </c>
      <c r="I78" s="19" t="n">
        <f aca="false">SUM(C78:G78)/((((Assumptions!$C$7*(1+-0.1))*(1+Assumptions!$C$10)+(Capital!$B$8-Assumptions!$C$7*(1+Assumptions!$C$10)))-((Assumptions!$C$7*(1+-0.1))*Assumptions!$C$90)))</f>
        <v>1.25746956520964</v>
      </c>
    </row>
    <row r="79" customFormat="false" ht="15" hidden="false" customHeight="false" outlineLevel="0" collapsed="false">
      <c r="A79" s="2" t="s">
        <v>435</v>
      </c>
      <c r="B79" s="17" t="n">
        <f aca="false">-((((Assumptions!$C$7*(1+-0.1))*(1+Assumptions!$C$10)+(Capital!$B$8-Assumptions!$C$7*(1+Assumptions!$C$10)))-((Assumptions!$C$7*(1+-0.1))*Assumptions!$C$90)))</f>
        <v>-5024340</v>
      </c>
      <c r="C79" s="17" t="n">
        <f aca="false">((('Operating Model'!$B$46+Assumptions!$C$20-(((Assumptions!$C$7*(1+-0.1))*Assumptions!$C$16)*Assumptions!$C$14))*(1+Assumptions!$C$53)^0)-(((Assumptions!$C$7*(1+-0.1))*Assumptions!$C$90)*Assumptions!$C$89))</f>
        <v>367333.034496</v>
      </c>
      <c r="D79" s="17" t="n">
        <f aca="false">((('Operating Model'!$B$46+Assumptions!$C$20-(((Assumptions!$C$7*(1+-0.1))*Assumptions!$C$16)*Assumptions!$C$14))*(1+Assumptions!$C$53)^1)-(((Assumptions!$C$7*(1+-0.1))*Assumptions!$C$90)*Assumptions!$C$89))</f>
        <v>395548.51553088</v>
      </c>
      <c r="E79" s="17" t="n">
        <f aca="false">((('Operating Model'!$B$46+Assumptions!$C$20-(((Assumptions!$C$7*(1+-0.1))*Assumptions!$C$16)*Assumptions!$C$14))*(1+Assumptions!$C$53)^2)-(-PMT(Assumptions!$C$89,Assumptions!$C$94,((Assumptions!$C$7*(1+-0.1))*Assumptions!$C$90))))</f>
        <v>340671.883907645</v>
      </c>
      <c r="F79" s="17" t="n">
        <f aca="false">((('Operating Model'!$B$46+Assumptions!$C$20-(((Assumptions!$C$7*(1+-0.1))*Assumptions!$C$16)*Assumptions!$C$14))*(1+Assumptions!$C$53)^3)-(-PMT(Assumptions!$C$89,Assumptions!$C$94,((Assumptions!$C$7*(1+-0.1))*Assumptions!$C$90))))</f>
        <v>370605.68773755</v>
      </c>
      <c r="G79" s="17" t="n">
        <f aca="false">((('Operating Model'!$B$46+Assumptions!$C$20-(((Assumptions!$C$7*(1+-0.1))*Assumptions!$C$16)*Assumptions!$C$14))*(1+Assumptions!$C$53)^4)-(-PMT(Assumptions!$C$89,Assumptions!$C$94,((Assumptions!$C$7*(1+-0.1))*Assumptions!$C$90)))+(((('Operating Model'!$B$46+Assumptions!$C$20-(((Assumptions!$C$7*(1+-0.1))*Assumptions!$C$16)*Assumptions!$C$14))*(1+Assumptions!$C$53)^5)/((((Returns!$B$14+Assumptions!$C$20-(((Assumptions!$C$7*(1+-0.1))*Assumptions!$C$16)*Assumptions!$C$14))/(Assumptions!$C$7*(1+-0.1)))+0.0025)+Returns!$B$36))*(1-Assumptions!$C$110)-(((Assumptions!$C$7*(1+-0.1))*Assumptions!$C$90)+CUMPRINC(Assumptions!$C$89,Assumptions!$C$94,((Assumptions!$C$7*(1+-0.1))*Assumptions!$C$90),1,3,0))))</f>
        <v>4502737.33024021</v>
      </c>
      <c r="H79" s="18" t="n">
        <f aca="false">IFERROR(IRR(B79:G79),"N/A")</f>
        <v>0.0407251084947477</v>
      </c>
      <c r="I79" s="19" t="n">
        <f aca="false">SUM(C79:G79)/((((Assumptions!$C$7*(1+-0.1))*(1+Assumptions!$C$10)+(Capital!$B$8-Assumptions!$C$7*(1+Assumptions!$C$10)))-((Assumptions!$C$7*(1+-0.1))*Assumptions!$C$90)))</f>
        <v>1.18958837417696</v>
      </c>
    </row>
    <row r="80" customFormat="false" ht="15" hidden="false" customHeight="false" outlineLevel="0" collapsed="false">
      <c r="A80" s="2" t="s">
        <v>436</v>
      </c>
      <c r="B80" s="17" t="n">
        <f aca="false">-((((Assumptions!$C$7*(1+-0.1))*(1+Assumptions!$C$10)+(Capital!$B$8-Assumptions!$C$7*(1+Assumptions!$C$10)))-((Assumptions!$C$7*(1+-0.1))*Assumptions!$C$90)))</f>
        <v>-5024340</v>
      </c>
      <c r="C80" s="17" t="n">
        <f aca="false">((('Operating Model'!$B$46+Assumptions!$C$20-(((Assumptions!$C$7*(1+-0.1))*Assumptions!$C$16)*Assumptions!$C$14))*(1+Assumptions!$C$53)^0)-(((Assumptions!$C$7*(1+-0.1))*Assumptions!$C$90)*Assumptions!$C$89))</f>
        <v>367333.034496</v>
      </c>
      <c r="D80" s="17" t="n">
        <f aca="false">((('Operating Model'!$B$46+Assumptions!$C$20-(((Assumptions!$C$7*(1+-0.1))*Assumptions!$C$16)*Assumptions!$C$14))*(1+Assumptions!$C$53)^1)-(((Assumptions!$C$7*(1+-0.1))*Assumptions!$C$90)*Assumptions!$C$89))</f>
        <v>395548.51553088</v>
      </c>
      <c r="E80" s="17" t="n">
        <f aca="false">((('Operating Model'!$B$46+Assumptions!$C$20-(((Assumptions!$C$7*(1+-0.1))*Assumptions!$C$16)*Assumptions!$C$14))*(1+Assumptions!$C$53)^2)-(-PMT(Assumptions!$C$89,Assumptions!$C$94,((Assumptions!$C$7*(1+-0.1))*Assumptions!$C$90))))</f>
        <v>340671.883907645</v>
      </c>
      <c r="F80" s="17" t="n">
        <f aca="false">((('Operating Model'!$B$46+Assumptions!$C$20-(((Assumptions!$C$7*(1+-0.1))*Assumptions!$C$16)*Assumptions!$C$14))*(1+Assumptions!$C$53)^3)-(-PMT(Assumptions!$C$89,Assumptions!$C$94,((Assumptions!$C$7*(1+-0.1))*Assumptions!$C$90))))</f>
        <v>370605.68773755</v>
      </c>
      <c r="G80" s="17" t="n">
        <f aca="false">((('Operating Model'!$B$46+Assumptions!$C$20-(((Assumptions!$C$7*(1+-0.1))*Assumptions!$C$16)*Assumptions!$C$14))*(1+Assumptions!$C$53)^4)-(-PMT(Assumptions!$C$89,Assumptions!$C$94,((Assumptions!$C$7*(1+-0.1))*Assumptions!$C$90)))+(((('Operating Model'!$B$46+Assumptions!$C$20-(((Assumptions!$C$7*(1+-0.1))*Assumptions!$C$16)*Assumptions!$C$14))*(1+Assumptions!$C$53)^5)/((((Returns!$B$14+Assumptions!$C$20-(((Assumptions!$C$7*(1+-0.1))*Assumptions!$C$16)*Assumptions!$C$14))/(Assumptions!$C$7*(1+-0.1)))+0.005)+Returns!$B$36))*(1-Assumptions!$C$110)-(((Assumptions!$C$7*(1+-0.1))*Assumptions!$C$90)+CUMPRINC(Assumptions!$C$89,Assumptions!$C$94,((Assumptions!$C$7*(1+-0.1))*Assumptions!$C$90),1,3,0))))</f>
        <v>4180162.84728175</v>
      </c>
      <c r="H80" s="18" t="n">
        <f aca="false">IFERROR(IRR(B80:G80),"N/A")</f>
        <v>0.0277037053295685</v>
      </c>
      <c r="I80" s="19" t="n">
        <f aca="false">SUM(C80:G80)/((((Assumptions!$C$7*(1+-0.1))*(1+Assumptions!$C$10)+(Capital!$B$8-Assumptions!$C$7*(1+Assumptions!$C$10)))-((Assumptions!$C$7*(1+-0.1))*Assumptions!$C$90)))</f>
        <v>1.12538601467135</v>
      </c>
    </row>
    <row r="81" customFormat="false" ht="15" hidden="false" customHeight="false" outlineLevel="0" collapsed="false">
      <c r="A81" s="2" t="s">
        <v>437</v>
      </c>
      <c r="B81" s="17" t="n">
        <f aca="false">-((((Assumptions!$C$7*(1+-0.1))*(1+Assumptions!$C$10)+(Capital!$B$8-Assumptions!$C$7*(1+Assumptions!$C$10)))-((Assumptions!$C$7*(1+-0.1))*Assumptions!$C$90)))</f>
        <v>-5024340</v>
      </c>
      <c r="C81" s="17" t="n">
        <f aca="false">((('Operating Model'!$B$46+Assumptions!$C$20-(((Assumptions!$C$7*(1+-0.1))*Assumptions!$C$16)*Assumptions!$C$14))*(1+Assumptions!$C$53)^0)-(((Assumptions!$C$7*(1+-0.1))*Assumptions!$C$90)*Assumptions!$C$89))</f>
        <v>367333.034496</v>
      </c>
      <c r="D81" s="17" t="n">
        <f aca="false">((('Operating Model'!$B$46+Assumptions!$C$20-(((Assumptions!$C$7*(1+-0.1))*Assumptions!$C$16)*Assumptions!$C$14))*(1+Assumptions!$C$53)^1)-(((Assumptions!$C$7*(1+-0.1))*Assumptions!$C$90)*Assumptions!$C$89))</f>
        <v>395548.51553088</v>
      </c>
      <c r="E81" s="17" t="n">
        <f aca="false">((('Operating Model'!$B$46+Assumptions!$C$20-(((Assumptions!$C$7*(1+-0.1))*Assumptions!$C$16)*Assumptions!$C$14))*(1+Assumptions!$C$53)^2)-(-PMT(Assumptions!$C$89,Assumptions!$C$94,((Assumptions!$C$7*(1+-0.1))*Assumptions!$C$90))))</f>
        <v>340671.883907645</v>
      </c>
      <c r="F81" s="17" t="n">
        <f aca="false">((('Operating Model'!$B$46+Assumptions!$C$20-(((Assumptions!$C$7*(1+-0.1))*Assumptions!$C$16)*Assumptions!$C$14))*(1+Assumptions!$C$53)^3)-(-PMT(Assumptions!$C$89,Assumptions!$C$94,((Assumptions!$C$7*(1+-0.1))*Assumptions!$C$90))))</f>
        <v>370605.68773755</v>
      </c>
      <c r="G81" s="17" t="n">
        <f aca="false">((('Operating Model'!$B$46+Assumptions!$C$20-(((Assumptions!$C$7*(1+-0.1))*Assumptions!$C$16)*Assumptions!$C$14))*(1+Assumptions!$C$53)^4)-(-PMT(Assumptions!$C$89,Assumptions!$C$94,((Assumptions!$C$7*(1+-0.1))*Assumptions!$C$90)))+(((('Operating Model'!$B$46+Assumptions!$C$20-(((Assumptions!$C$7*(1+-0.1))*Assumptions!$C$16)*Assumptions!$C$14))*(1+Assumptions!$C$53)^5)/((((Returns!$B$14+Assumptions!$C$20-(((Assumptions!$C$7*(1+-0.1))*Assumptions!$C$16)*Assumptions!$C$14))/(Assumptions!$C$7*(1+-0.1)))+0.0075)+Returns!$B$36))*(1-Assumptions!$C$110)-(((Assumptions!$C$7*(1+-0.1))*Assumptions!$C$90)+CUMPRINC(Assumptions!$C$89,Assumptions!$C$94,((Assumptions!$C$7*(1+-0.1))*Assumptions!$C$90),1,3,0))))</f>
        <v>3874609.1166125</v>
      </c>
      <c r="H81" s="18" t="n">
        <f aca="false">IFERROR(IRR(B81:G81),"N/A")</f>
        <v>0.0146754576111111</v>
      </c>
      <c r="I81" s="19" t="n">
        <f aca="false">SUM(C81:G81)/((((Assumptions!$C$7*(1+-0.1))*(1+Assumptions!$C$10)+(Capital!$B$8-Assumptions!$C$7*(1+Assumptions!$C$10)))-((Assumptions!$C$7*(1+-0.1))*Assumptions!$C$90)))</f>
        <v>1.06457131449794</v>
      </c>
    </row>
    <row r="82" customFormat="false" ht="15" hidden="false" customHeight="false" outlineLevel="0" collapsed="false">
      <c r="A82" s="2" t="s">
        <v>438</v>
      </c>
      <c r="B82" s="17" t="n">
        <f aca="false">-((((Assumptions!$C$7*(1+-0.1))*(1+Assumptions!$C$10)+(Capital!$B$8-Assumptions!$C$7*(1+Assumptions!$C$10)))-((Assumptions!$C$7*(1+-0.1))*Assumptions!$C$90)))</f>
        <v>-5024340</v>
      </c>
      <c r="C82" s="17" t="n">
        <f aca="false">((('Operating Model'!$B$46+Assumptions!$C$20-(((Assumptions!$C$7*(1+-0.1))*Assumptions!$C$16)*Assumptions!$C$14))*(1+Assumptions!$C$53)^0)-(((Assumptions!$C$7*(1+-0.1))*Assumptions!$C$90)*Assumptions!$C$89))</f>
        <v>367333.034496</v>
      </c>
      <c r="D82" s="17" t="n">
        <f aca="false">((('Operating Model'!$B$46+Assumptions!$C$20-(((Assumptions!$C$7*(1+-0.1))*Assumptions!$C$16)*Assumptions!$C$14))*(1+Assumptions!$C$53)^1)-(((Assumptions!$C$7*(1+-0.1))*Assumptions!$C$90)*Assumptions!$C$89))</f>
        <v>395548.51553088</v>
      </c>
      <c r="E82" s="17" t="n">
        <f aca="false">((('Operating Model'!$B$46+Assumptions!$C$20-(((Assumptions!$C$7*(1+-0.1))*Assumptions!$C$16)*Assumptions!$C$14))*(1+Assumptions!$C$53)^2)-(-PMT(Assumptions!$C$89,Assumptions!$C$94,((Assumptions!$C$7*(1+-0.1))*Assumptions!$C$90))))</f>
        <v>340671.883907645</v>
      </c>
      <c r="F82" s="17" t="n">
        <f aca="false">((('Operating Model'!$B$46+Assumptions!$C$20-(((Assumptions!$C$7*(1+-0.1))*Assumptions!$C$16)*Assumptions!$C$14))*(1+Assumptions!$C$53)^3)-(-PMT(Assumptions!$C$89,Assumptions!$C$94,((Assumptions!$C$7*(1+-0.1))*Assumptions!$C$90))))</f>
        <v>370605.68773755</v>
      </c>
      <c r="G82" s="17" t="n">
        <f aca="false">((('Operating Model'!$B$46+Assumptions!$C$20-(((Assumptions!$C$7*(1+-0.1))*Assumptions!$C$16)*Assumptions!$C$14))*(1+Assumptions!$C$53)^4)-(-PMT(Assumptions!$C$89,Assumptions!$C$94,((Assumptions!$C$7*(1+-0.1))*Assumptions!$C$90)))+(((('Operating Model'!$B$46+Assumptions!$C$20-(((Assumptions!$C$7*(1+-0.1))*Assumptions!$C$16)*Assumptions!$C$14))*(1+Assumptions!$C$53)^5)/((((Returns!$B$14+Assumptions!$C$20-(((Assumptions!$C$7*(1+-0.1))*Assumptions!$C$16)*Assumptions!$C$14))/(Assumptions!$C$7*(1+-0.1)))+0.01)+Returns!$B$36))*(1-Assumptions!$C$110)-(((Assumptions!$C$7*(1+-0.1))*Assumptions!$C$90)+CUMPRINC(Assumptions!$C$89,Assumptions!$C$94,((Assumptions!$C$7*(1+-0.1))*Assumptions!$C$90),1,3,0))))</f>
        <v>3584763.60762048</v>
      </c>
      <c r="H82" s="18" t="n">
        <f aca="false">IFERROR(IRR(B82:G82),"N/A")</f>
        <v>0.00160934097925575</v>
      </c>
      <c r="I82" s="19" t="n">
        <f aca="false">SUM(C82:G82)/((((Assumptions!$C$7*(1+-0.1))*(1+Assumptions!$C$10)+(Capital!$B$8-Assumptions!$C$7*(1+Assumptions!$C$10)))-((Assumptions!$C$7*(1+-0.1))*Assumptions!$C$90)))</f>
        <v>1.00688303922357</v>
      </c>
    </row>
    <row r="83" customFormat="false" ht="15" hidden="false" customHeight="false" outlineLevel="0" collapsed="false">
      <c r="A83" s="2" t="s">
        <v>439</v>
      </c>
      <c r="B83" s="17" t="n">
        <f aca="false">-((((Assumptions!$C$7*(1+-0.05))*(1+Assumptions!$C$10)+(Capital!$B$8-Assumptions!$C$7*(1+Assumptions!$C$10)))-((Assumptions!$C$7*(1+-0.05))*Assumptions!$C$90)))</f>
        <v>-5276190</v>
      </c>
      <c r="C83" s="17" t="n">
        <f aca="false">((('Operating Model'!$B$46+Assumptions!$C$20-(((Assumptions!$C$7*(1+-0.05))*Assumptions!$C$16)*Assumptions!$C$14))*(1+Assumptions!$C$53)^0)-(((Assumptions!$C$7*(1+-0.05))*Assumptions!$C$90)*Assumptions!$C$89))</f>
        <v>323659.242996</v>
      </c>
      <c r="D83" s="17" t="n">
        <f aca="false">((('Operating Model'!$B$46+Assumptions!$C$20-(((Assumptions!$C$7*(1+-0.05))*Assumptions!$C$16)*Assumptions!$C$14))*(1+Assumptions!$C$53)^1)-(((Assumptions!$C$7*(1+-0.05))*Assumptions!$C$90)*Assumptions!$C$89))</f>
        <v>351519.81528588</v>
      </c>
      <c r="E83" s="17" t="n">
        <f aca="false">((('Operating Model'!$B$46+Assumptions!$C$20-(((Assumptions!$C$7*(1+-0.05))*Assumptions!$C$16)*Assumptions!$C$14))*(1+Assumptions!$C$53)^2)-(-PMT(Assumptions!$C$89,Assumptions!$C$94,((Assumptions!$C$7*(1+-0.05))*Assumptions!$C$90))))</f>
        <v>291614.373372564</v>
      </c>
      <c r="F83" s="17" t="n">
        <f aca="false">((('Operating Model'!$B$46+Assumptions!$C$20-(((Assumptions!$C$7*(1+-0.05))*Assumptions!$C$16)*Assumptions!$C$14))*(1+Assumptions!$C$53)^3)-(-PMT(Assumptions!$C$89,Assumptions!$C$94,((Assumptions!$C$7*(1+-0.05))*Assumptions!$C$90))))</f>
        <v>321171.654514898</v>
      </c>
      <c r="G83" s="17" t="n">
        <f aca="false">((('Operating Model'!$B$46+Assumptions!$C$20-(((Assumptions!$C$7*(1+-0.05))*Assumptions!$C$16)*Assumptions!$C$14))*(1+Assumptions!$C$53)^4)-(-PMT(Assumptions!$C$89,Assumptions!$C$94,((Assumptions!$C$7*(1+-0.05))*Assumptions!$C$90)))+(((('Operating Model'!$B$46+Assumptions!$C$20-(((Assumptions!$C$7*(1+-0.05))*Assumptions!$C$16)*Assumptions!$C$14))*(1+Assumptions!$C$53)^5)/((((Returns!$B$14+Assumptions!$C$20-(((Assumptions!$C$7*(1+-0.05))*Assumptions!$C$16)*Assumptions!$C$14))/(Assumptions!$C$7*(1+-0.05)))+0)+Returns!$B$36))*(1-Assumptions!$C$110)-(((Assumptions!$C$7*(1+-0.05))*Assumptions!$C$90)+CUMPRINC(Assumptions!$C$89,Assumptions!$C$94,((Assumptions!$C$7*(1+-0.05))*Assumptions!$C$90),1,3,0))))</f>
        <v>4878187.38790784</v>
      </c>
      <c r="H83" s="18" t="n">
        <f aca="false">IFERROR(IRR(B83:G83),"N/A")</f>
        <v>0.0356588117828638</v>
      </c>
      <c r="I83" s="19" t="n">
        <f aca="false">SUM(C83:G83)/((((Assumptions!$C$7*(1+-0.05))*(1+Assumptions!$C$10)+(Capital!$B$8-Assumptions!$C$7*(1+Assumptions!$C$10)))-((Assumptions!$C$7*(1+-0.05))*Assumptions!$C$90)))</f>
        <v>1.16867521337882</v>
      </c>
    </row>
    <row r="84" customFormat="false" ht="15" hidden="false" customHeight="false" outlineLevel="0" collapsed="false">
      <c r="A84" s="2" t="s">
        <v>440</v>
      </c>
      <c r="B84" s="17" t="n">
        <f aca="false">-((((Assumptions!$C$7*(1+-0.05))*(1+Assumptions!$C$10)+(Capital!$B$8-Assumptions!$C$7*(1+Assumptions!$C$10)))-((Assumptions!$C$7*(1+-0.05))*Assumptions!$C$90)))</f>
        <v>-5276190</v>
      </c>
      <c r="C84" s="17" t="n">
        <f aca="false">((('Operating Model'!$B$46+Assumptions!$C$20-(((Assumptions!$C$7*(1+-0.05))*Assumptions!$C$16)*Assumptions!$C$14))*(1+Assumptions!$C$53)^0)-(((Assumptions!$C$7*(1+-0.05))*Assumptions!$C$90)*Assumptions!$C$89))</f>
        <v>323659.242996</v>
      </c>
      <c r="D84" s="17" t="n">
        <f aca="false">((('Operating Model'!$B$46+Assumptions!$C$20-(((Assumptions!$C$7*(1+-0.05))*Assumptions!$C$16)*Assumptions!$C$14))*(1+Assumptions!$C$53)^1)-(((Assumptions!$C$7*(1+-0.05))*Assumptions!$C$90)*Assumptions!$C$89))</f>
        <v>351519.81528588</v>
      </c>
      <c r="E84" s="17" t="n">
        <f aca="false">((('Operating Model'!$B$46+Assumptions!$C$20-(((Assumptions!$C$7*(1+-0.05))*Assumptions!$C$16)*Assumptions!$C$14))*(1+Assumptions!$C$53)^2)-(-PMT(Assumptions!$C$89,Assumptions!$C$94,((Assumptions!$C$7*(1+-0.05))*Assumptions!$C$90))))</f>
        <v>291614.373372564</v>
      </c>
      <c r="F84" s="17" t="n">
        <f aca="false">((('Operating Model'!$B$46+Assumptions!$C$20-(((Assumptions!$C$7*(1+-0.05))*Assumptions!$C$16)*Assumptions!$C$14))*(1+Assumptions!$C$53)^3)-(-PMT(Assumptions!$C$89,Assumptions!$C$94,((Assumptions!$C$7*(1+-0.05))*Assumptions!$C$90))))</f>
        <v>321171.654514898</v>
      </c>
      <c r="G84" s="17" t="n">
        <f aca="false">((('Operating Model'!$B$46+Assumptions!$C$20-(((Assumptions!$C$7*(1+-0.05))*Assumptions!$C$16)*Assumptions!$C$14))*(1+Assumptions!$C$53)^4)-(-PMT(Assumptions!$C$89,Assumptions!$C$94,((Assumptions!$C$7*(1+-0.05))*Assumptions!$C$90)))+(((('Operating Model'!$B$46+Assumptions!$C$20-(((Assumptions!$C$7*(1+-0.05))*Assumptions!$C$16)*Assumptions!$C$14))*(1+Assumptions!$C$53)^5)/((((Returns!$B$14+Assumptions!$C$20-(((Assumptions!$C$7*(1+-0.05))*Assumptions!$C$16)*Assumptions!$C$14))/(Assumptions!$C$7*(1+-0.05)))+0.0025)+Returns!$B$36))*(1-Assumptions!$C$110)-(((Assumptions!$C$7*(1+-0.05))*Assumptions!$C$90)+CUMPRINC(Assumptions!$C$89,Assumptions!$C$94,((Assumptions!$C$7*(1+-0.05))*Assumptions!$C$90),1,3,0))))</f>
        <v>4503540.82370466</v>
      </c>
      <c r="H84" s="18" t="n">
        <f aca="false">IFERROR(IRR(B84:G84),"N/A")</f>
        <v>0.0212904439306939</v>
      </c>
      <c r="I84" s="19" t="n">
        <f aca="false">SUM(C84:G84)/((((Assumptions!$C$7*(1+-0.05))*(1+Assumptions!$C$10)+(Capital!$B$8-Assumptions!$C$7*(1+Assumptions!$C$10)))-((Assumptions!$C$7*(1+-0.05))*Assumptions!$C$90)))</f>
        <v>1.09766818667902</v>
      </c>
    </row>
    <row r="85" customFormat="false" ht="15" hidden="false" customHeight="false" outlineLevel="0" collapsed="false">
      <c r="A85" s="2" t="s">
        <v>441</v>
      </c>
      <c r="B85" s="17" t="n">
        <f aca="false">-((((Assumptions!$C$7*(1+-0.05))*(1+Assumptions!$C$10)+(Capital!$B$8-Assumptions!$C$7*(1+Assumptions!$C$10)))-((Assumptions!$C$7*(1+-0.05))*Assumptions!$C$90)))</f>
        <v>-5276190</v>
      </c>
      <c r="C85" s="17" t="n">
        <f aca="false">((('Operating Model'!$B$46+Assumptions!$C$20-(((Assumptions!$C$7*(1+-0.05))*Assumptions!$C$16)*Assumptions!$C$14))*(1+Assumptions!$C$53)^0)-(((Assumptions!$C$7*(1+-0.05))*Assumptions!$C$90)*Assumptions!$C$89))</f>
        <v>323659.242996</v>
      </c>
      <c r="D85" s="17" t="n">
        <f aca="false">((('Operating Model'!$B$46+Assumptions!$C$20-(((Assumptions!$C$7*(1+-0.05))*Assumptions!$C$16)*Assumptions!$C$14))*(1+Assumptions!$C$53)^1)-(((Assumptions!$C$7*(1+-0.05))*Assumptions!$C$90)*Assumptions!$C$89))</f>
        <v>351519.81528588</v>
      </c>
      <c r="E85" s="17" t="n">
        <f aca="false">((('Operating Model'!$B$46+Assumptions!$C$20-(((Assumptions!$C$7*(1+-0.05))*Assumptions!$C$16)*Assumptions!$C$14))*(1+Assumptions!$C$53)^2)-(-PMT(Assumptions!$C$89,Assumptions!$C$94,((Assumptions!$C$7*(1+-0.05))*Assumptions!$C$90))))</f>
        <v>291614.373372564</v>
      </c>
      <c r="F85" s="17" t="n">
        <f aca="false">((('Operating Model'!$B$46+Assumptions!$C$20-(((Assumptions!$C$7*(1+-0.05))*Assumptions!$C$16)*Assumptions!$C$14))*(1+Assumptions!$C$53)^3)-(-PMT(Assumptions!$C$89,Assumptions!$C$94,((Assumptions!$C$7*(1+-0.05))*Assumptions!$C$90))))</f>
        <v>321171.654514898</v>
      </c>
      <c r="G85" s="17" t="n">
        <f aca="false">((('Operating Model'!$B$46+Assumptions!$C$20-(((Assumptions!$C$7*(1+-0.05))*Assumptions!$C$16)*Assumptions!$C$14))*(1+Assumptions!$C$53)^4)-(-PMT(Assumptions!$C$89,Assumptions!$C$94,((Assumptions!$C$7*(1+-0.05))*Assumptions!$C$90)))+(((('Operating Model'!$B$46+Assumptions!$C$20-(((Assumptions!$C$7*(1+-0.05))*Assumptions!$C$16)*Assumptions!$C$14))*(1+Assumptions!$C$53)^5)/((((Returns!$B$14+Assumptions!$C$20-(((Assumptions!$C$7*(1+-0.05))*Assumptions!$C$16)*Assumptions!$C$14))/(Assumptions!$C$7*(1+-0.05)))+0.005)+Returns!$B$36))*(1-Assumptions!$C$110)-(((Assumptions!$C$7*(1+-0.05))*Assumptions!$C$90)+CUMPRINC(Assumptions!$C$89,Assumptions!$C$94,((Assumptions!$C$7*(1+-0.05))*Assumptions!$C$90),1,3,0))))</f>
        <v>4150261.95412936</v>
      </c>
      <c r="H85" s="18" t="n">
        <f aca="false">IFERROR(IRR(B85:G85),"N/A")</f>
        <v>0.00690361102570147</v>
      </c>
      <c r="I85" s="19" t="n">
        <f aca="false">SUM(C85:G85)/((((Assumptions!$C$7*(1+-0.05))*(1+Assumptions!$C$10)+(Capital!$B$8-Assumptions!$C$7*(1+Assumptions!$C$10)))-((Assumptions!$C$7*(1+-0.05))*Assumptions!$C$90)))</f>
        <v>1.0307109941641</v>
      </c>
    </row>
    <row r="86" customFormat="false" ht="15" hidden="false" customHeight="false" outlineLevel="0" collapsed="false">
      <c r="A86" s="2" t="s">
        <v>442</v>
      </c>
      <c r="B86" s="17" t="n">
        <f aca="false">-((((Assumptions!$C$7*(1+-0.05))*(1+Assumptions!$C$10)+(Capital!$B$8-Assumptions!$C$7*(1+Assumptions!$C$10)))-((Assumptions!$C$7*(1+-0.05))*Assumptions!$C$90)))</f>
        <v>-5276190</v>
      </c>
      <c r="C86" s="17" t="n">
        <f aca="false">((('Operating Model'!$B$46+Assumptions!$C$20-(((Assumptions!$C$7*(1+-0.05))*Assumptions!$C$16)*Assumptions!$C$14))*(1+Assumptions!$C$53)^0)-(((Assumptions!$C$7*(1+-0.05))*Assumptions!$C$90)*Assumptions!$C$89))</f>
        <v>323659.242996</v>
      </c>
      <c r="D86" s="17" t="n">
        <f aca="false">((('Operating Model'!$B$46+Assumptions!$C$20-(((Assumptions!$C$7*(1+-0.05))*Assumptions!$C$16)*Assumptions!$C$14))*(1+Assumptions!$C$53)^1)-(((Assumptions!$C$7*(1+-0.05))*Assumptions!$C$90)*Assumptions!$C$89))</f>
        <v>351519.81528588</v>
      </c>
      <c r="E86" s="17" t="n">
        <f aca="false">((('Operating Model'!$B$46+Assumptions!$C$20-(((Assumptions!$C$7*(1+-0.05))*Assumptions!$C$16)*Assumptions!$C$14))*(1+Assumptions!$C$53)^2)-(-PMT(Assumptions!$C$89,Assumptions!$C$94,((Assumptions!$C$7*(1+-0.05))*Assumptions!$C$90))))</f>
        <v>291614.373372564</v>
      </c>
      <c r="F86" s="17" t="n">
        <f aca="false">((('Operating Model'!$B$46+Assumptions!$C$20-(((Assumptions!$C$7*(1+-0.05))*Assumptions!$C$16)*Assumptions!$C$14))*(1+Assumptions!$C$53)^3)-(-PMT(Assumptions!$C$89,Assumptions!$C$94,((Assumptions!$C$7*(1+-0.05))*Assumptions!$C$90))))</f>
        <v>321171.654514898</v>
      </c>
      <c r="G86" s="17" t="n">
        <f aca="false">((('Operating Model'!$B$46+Assumptions!$C$20-(((Assumptions!$C$7*(1+-0.05))*Assumptions!$C$16)*Assumptions!$C$14))*(1+Assumptions!$C$53)^4)-(-PMT(Assumptions!$C$89,Assumptions!$C$94,((Assumptions!$C$7*(1+-0.05))*Assumptions!$C$90)))+(((('Operating Model'!$B$46+Assumptions!$C$20-(((Assumptions!$C$7*(1+-0.05))*Assumptions!$C$16)*Assumptions!$C$14))*(1+Assumptions!$C$53)^5)/((((Returns!$B$14+Assumptions!$C$20-(((Assumptions!$C$7*(1+-0.05))*Assumptions!$C$16)*Assumptions!$C$14))/(Assumptions!$C$7*(1+-0.05)))+0.0075)+Returns!$B$36))*(1-Assumptions!$C$110)-(((Assumptions!$C$7*(1+-0.05))*Assumptions!$C$90)+CUMPRINC(Assumptions!$C$89,Assumptions!$C$94,((Assumptions!$C$7*(1+-0.05))*Assumptions!$C$90),1,3,0))))</f>
        <v>3816573.4277451</v>
      </c>
      <c r="H86" s="18" t="n">
        <f aca="false">IFERROR(IRR(B86:G86),"N/A")</f>
        <v>-0.00754277263796633</v>
      </c>
      <c r="I86" s="19" t="n">
        <f aca="false">SUM(C86:G86)/((((Assumptions!$C$7*(1+-0.05))*(1+Assumptions!$C$10)+(Capital!$B$8-Assumptions!$C$7*(1+Assumptions!$C$10)))-((Assumptions!$C$7*(1+-0.05))*Assumptions!$C$90)))</f>
        <v>0.967466773166706</v>
      </c>
    </row>
    <row r="87" customFormat="false" ht="15" hidden="false" customHeight="false" outlineLevel="0" collapsed="false">
      <c r="A87" s="2" t="s">
        <v>443</v>
      </c>
      <c r="B87" s="17" t="n">
        <f aca="false">-((((Assumptions!$C$7*(1+-0.05))*(1+Assumptions!$C$10)+(Capital!$B$8-Assumptions!$C$7*(1+Assumptions!$C$10)))-((Assumptions!$C$7*(1+-0.05))*Assumptions!$C$90)))</f>
        <v>-5276190</v>
      </c>
      <c r="C87" s="17" t="n">
        <f aca="false">((('Operating Model'!$B$46+Assumptions!$C$20-(((Assumptions!$C$7*(1+-0.05))*Assumptions!$C$16)*Assumptions!$C$14))*(1+Assumptions!$C$53)^0)-(((Assumptions!$C$7*(1+-0.05))*Assumptions!$C$90)*Assumptions!$C$89))</f>
        <v>323659.242996</v>
      </c>
      <c r="D87" s="17" t="n">
        <f aca="false">((('Operating Model'!$B$46+Assumptions!$C$20-(((Assumptions!$C$7*(1+-0.05))*Assumptions!$C$16)*Assumptions!$C$14))*(1+Assumptions!$C$53)^1)-(((Assumptions!$C$7*(1+-0.05))*Assumptions!$C$90)*Assumptions!$C$89))</f>
        <v>351519.81528588</v>
      </c>
      <c r="E87" s="17" t="n">
        <f aca="false">((('Operating Model'!$B$46+Assumptions!$C$20-(((Assumptions!$C$7*(1+-0.05))*Assumptions!$C$16)*Assumptions!$C$14))*(1+Assumptions!$C$53)^2)-(-PMT(Assumptions!$C$89,Assumptions!$C$94,((Assumptions!$C$7*(1+-0.05))*Assumptions!$C$90))))</f>
        <v>291614.373372564</v>
      </c>
      <c r="F87" s="17" t="n">
        <f aca="false">((('Operating Model'!$B$46+Assumptions!$C$20-(((Assumptions!$C$7*(1+-0.05))*Assumptions!$C$16)*Assumptions!$C$14))*(1+Assumptions!$C$53)^3)-(-PMT(Assumptions!$C$89,Assumptions!$C$94,((Assumptions!$C$7*(1+-0.05))*Assumptions!$C$90))))</f>
        <v>321171.654514898</v>
      </c>
      <c r="G87" s="17" t="n">
        <f aca="false">((('Operating Model'!$B$46+Assumptions!$C$20-(((Assumptions!$C$7*(1+-0.05))*Assumptions!$C$16)*Assumptions!$C$14))*(1+Assumptions!$C$53)^4)-(-PMT(Assumptions!$C$89,Assumptions!$C$94,((Assumptions!$C$7*(1+-0.05))*Assumptions!$C$90)))+(((('Operating Model'!$B$46+Assumptions!$C$20-(((Assumptions!$C$7*(1+-0.05))*Assumptions!$C$16)*Assumptions!$C$14))*(1+Assumptions!$C$53)^5)/((((Returns!$B$14+Assumptions!$C$20-(((Assumptions!$C$7*(1+-0.05))*Assumptions!$C$16)*Assumptions!$C$14))/(Assumptions!$C$7*(1+-0.05)))+0.01)+Returns!$B$36))*(1-Assumptions!$C$110)-(((Assumptions!$C$7*(1+-0.05))*Assumptions!$C$90)+CUMPRINC(Assumptions!$C$89,Assumptions!$C$94,((Assumptions!$C$7*(1+-0.05))*Assumptions!$C$90),1,3,0))))</f>
        <v>3500889.6937985</v>
      </c>
      <c r="H87" s="18" t="n">
        <f aca="false">IFERROR(IRR(B87:G87),"N/A")</f>
        <v>-0.0220923220988912</v>
      </c>
      <c r="I87" s="19" t="n">
        <f aca="false">SUM(C87:G87)/((((Assumptions!$C$7*(1+-0.05))*(1+Assumptions!$C$10)+(Capital!$B$8-Assumptions!$C$7*(1+Assumptions!$C$10)))-((Assumptions!$C$7*(1+-0.05))*Assumptions!$C$90)))</f>
        <v>0.907635013137859</v>
      </c>
    </row>
    <row r="88" customFormat="false" ht="15" hidden="false" customHeight="false" outlineLevel="0" collapsed="false">
      <c r="A88" s="2" t="s">
        <v>444</v>
      </c>
      <c r="B88" s="17" t="n">
        <f aca="false">-((((Assumptions!$C$7*(1+0))*(1+Assumptions!$C$10)+(Capital!$B$8-Assumptions!$C$7*(1+Assumptions!$C$10)))-((Assumptions!$C$7*(1+0))*Assumptions!$C$90)))</f>
        <v>-5528040</v>
      </c>
      <c r="C88" s="17" t="n">
        <f aca="false">((('Operating Model'!$B$46+Assumptions!$C$20-(((Assumptions!$C$7*(1+0))*Assumptions!$C$16)*Assumptions!$C$14))*(1+Assumptions!$C$53)^0)-(((Assumptions!$C$7*(1+0))*Assumptions!$C$90)*Assumptions!$C$89))</f>
        <v>279985.451496</v>
      </c>
      <c r="D88" s="17" t="n">
        <f aca="false">((('Operating Model'!$B$46+Assumptions!$C$20-(((Assumptions!$C$7*(1+0))*Assumptions!$C$16)*Assumptions!$C$14))*(1+Assumptions!$C$53)^1)-(((Assumptions!$C$7*(1+0))*Assumptions!$C$90)*Assumptions!$C$89))</f>
        <v>307491.11504088</v>
      </c>
      <c r="E88" s="17" t="n">
        <f aca="false">((('Operating Model'!$B$46+Assumptions!$C$20-(((Assumptions!$C$7*(1+0))*Assumptions!$C$16)*Assumptions!$C$14))*(1+Assumptions!$C$53)^2)-(-PMT(Assumptions!$C$89,Assumptions!$C$94,((Assumptions!$C$7*(1+0))*Assumptions!$C$90))))</f>
        <v>242556.862837483</v>
      </c>
      <c r="F88" s="17" t="n">
        <f aca="false">((('Operating Model'!$B$46+Assumptions!$C$20-(((Assumptions!$C$7*(1+0))*Assumptions!$C$16)*Assumptions!$C$14))*(1+Assumptions!$C$53)^3)-(-PMT(Assumptions!$C$89,Assumptions!$C$94,((Assumptions!$C$7*(1+0))*Assumptions!$C$90))))</f>
        <v>271737.621292246</v>
      </c>
      <c r="G88" s="17" t="n">
        <f aca="false">((('Operating Model'!$B$46+Assumptions!$C$20-(((Assumptions!$C$7*(1+0))*Assumptions!$C$16)*Assumptions!$C$14))*(1+Assumptions!$C$53)^4)-(-PMT(Assumptions!$C$89,Assumptions!$C$94,((Assumptions!$C$7*(1+0))*Assumptions!$C$90)))+(((('Operating Model'!$B$46+Assumptions!$C$20-(((Assumptions!$C$7*(1+0))*Assumptions!$C$16)*Assumptions!$C$14))*(1+Assumptions!$C$53)^5)/((((Returns!$B$14+Assumptions!$C$20-(((Assumptions!$C$7*(1+0))*Assumptions!$C$16)*Assumptions!$C$14))/(Assumptions!$C$7*(1+0)))+0)+Returns!$B$36))*(1-Assumptions!$C$110)-(((Assumptions!$C$7*(1+0))*Assumptions!$C$90)+CUMPRINC(Assumptions!$C$89,Assumptions!$C$94,((Assumptions!$C$7*(1+0))*Assumptions!$C$90),1,3,0))))</f>
        <v>4895465.16314858</v>
      </c>
      <c r="H88" s="18" t="n">
        <f aca="false">IFERROR(IRR(B88:G88),"N/A")</f>
        <v>0.0181774212939861</v>
      </c>
      <c r="I88" s="19" t="n">
        <f aca="false">SUM(C88:G88)/((((Assumptions!$C$7*(1+0))*(1+Assumptions!$C$10)+(Capital!$B$8-Assumptions!$C$7*(1+Assumptions!$C$10)))-((Assumptions!$C$7*(1+0))*Assumptions!$C$90)))</f>
        <v>1.08487569080817</v>
      </c>
    </row>
    <row r="89" customFormat="false" ht="15" hidden="false" customHeight="false" outlineLevel="0" collapsed="false">
      <c r="A89" s="2" t="s">
        <v>445</v>
      </c>
      <c r="B89" s="17" t="n">
        <f aca="false">-((((Assumptions!$C$7*(1+0))*(1+Assumptions!$C$10)+(Capital!$B$8-Assumptions!$C$7*(1+Assumptions!$C$10)))-((Assumptions!$C$7*(1+0))*Assumptions!$C$90)))</f>
        <v>-5528040</v>
      </c>
      <c r="C89" s="17" t="n">
        <f aca="false">((('Operating Model'!$B$46+Assumptions!$C$20-(((Assumptions!$C$7*(1+0))*Assumptions!$C$16)*Assumptions!$C$14))*(1+Assumptions!$C$53)^0)-(((Assumptions!$C$7*(1+0))*Assumptions!$C$90)*Assumptions!$C$89))</f>
        <v>279985.451496</v>
      </c>
      <c r="D89" s="17" t="n">
        <f aca="false">((('Operating Model'!$B$46+Assumptions!$C$20-(((Assumptions!$C$7*(1+0))*Assumptions!$C$16)*Assumptions!$C$14))*(1+Assumptions!$C$53)^1)-(((Assumptions!$C$7*(1+0))*Assumptions!$C$90)*Assumptions!$C$89))</f>
        <v>307491.11504088</v>
      </c>
      <c r="E89" s="17" t="n">
        <f aca="false">((('Operating Model'!$B$46+Assumptions!$C$20-(((Assumptions!$C$7*(1+0))*Assumptions!$C$16)*Assumptions!$C$14))*(1+Assumptions!$C$53)^2)-(-PMT(Assumptions!$C$89,Assumptions!$C$94,((Assumptions!$C$7*(1+0))*Assumptions!$C$90))))</f>
        <v>242556.862837483</v>
      </c>
      <c r="F89" s="17" t="n">
        <f aca="false">((('Operating Model'!$B$46+Assumptions!$C$20-(((Assumptions!$C$7*(1+0))*Assumptions!$C$16)*Assumptions!$C$14))*(1+Assumptions!$C$53)^3)-(-PMT(Assumptions!$C$89,Assumptions!$C$94,((Assumptions!$C$7*(1+0))*Assumptions!$C$90))))</f>
        <v>271737.621292246</v>
      </c>
      <c r="G89" s="17" t="n">
        <f aca="false">((('Operating Model'!$B$46+Assumptions!$C$20-(((Assumptions!$C$7*(1+0))*Assumptions!$C$16)*Assumptions!$C$14))*(1+Assumptions!$C$53)^4)-(-PMT(Assumptions!$C$89,Assumptions!$C$94,((Assumptions!$C$7*(1+0))*Assumptions!$C$90)))+(((('Operating Model'!$B$46+Assumptions!$C$20-(((Assumptions!$C$7*(1+0))*Assumptions!$C$16)*Assumptions!$C$14))*(1+Assumptions!$C$53)^5)/((((Returns!$B$14+Assumptions!$C$20-(((Assumptions!$C$7*(1+0))*Assumptions!$C$16)*Assumptions!$C$14))/(Assumptions!$C$7*(1+0)))+0.0025)+Returns!$B$36))*(1-Assumptions!$C$110)-(((Assumptions!$C$7*(1+0))*Assumptions!$C$90)+CUMPRINC(Assumptions!$C$89,Assumptions!$C$94,((Assumptions!$C$7*(1+0))*Assumptions!$C$90),1,3,0))))</f>
        <v>4486264.63363463</v>
      </c>
      <c r="H89" s="18" t="n">
        <f aca="false">IFERROR(IRR(B89:G89),"N/A")</f>
        <v>0.00240297565738002</v>
      </c>
      <c r="I89" s="19" t="n">
        <f aca="false">SUM(C89:G89)/((((Assumptions!$C$7*(1+0))*(1+Assumptions!$C$10)+(Capital!$B$8-Assumptions!$C$7*(1+Assumptions!$C$10)))-((Assumptions!$C$7*(1+0))*Assumptions!$C$90)))</f>
        <v>1.01085297579273</v>
      </c>
    </row>
    <row r="90" customFormat="false" ht="15" hidden="false" customHeight="false" outlineLevel="0" collapsed="false">
      <c r="A90" s="2" t="s">
        <v>446</v>
      </c>
      <c r="B90" s="17" t="n">
        <f aca="false">-((((Assumptions!$C$7*(1+0))*(1+Assumptions!$C$10)+(Capital!$B$8-Assumptions!$C$7*(1+Assumptions!$C$10)))-((Assumptions!$C$7*(1+0))*Assumptions!$C$90)))</f>
        <v>-5528040</v>
      </c>
      <c r="C90" s="17" t="n">
        <f aca="false">((('Operating Model'!$B$46+Assumptions!$C$20-(((Assumptions!$C$7*(1+0))*Assumptions!$C$16)*Assumptions!$C$14))*(1+Assumptions!$C$53)^0)-(((Assumptions!$C$7*(1+0))*Assumptions!$C$90)*Assumptions!$C$89))</f>
        <v>279985.451496</v>
      </c>
      <c r="D90" s="17" t="n">
        <f aca="false">((('Operating Model'!$B$46+Assumptions!$C$20-(((Assumptions!$C$7*(1+0))*Assumptions!$C$16)*Assumptions!$C$14))*(1+Assumptions!$C$53)^1)-(((Assumptions!$C$7*(1+0))*Assumptions!$C$90)*Assumptions!$C$89))</f>
        <v>307491.11504088</v>
      </c>
      <c r="E90" s="17" t="n">
        <f aca="false">((('Operating Model'!$B$46+Assumptions!$C$20-(((Assumptions!$C$7*(1+0))*Assumptions!$C$16)*Assumptions!$C$14))*(1+Assumptions!$C$53)^2)-(-PMT(Assumptions!$C$89,Assumptions!$C$94,((Assumptions!$C$7*(1+0))*Assumptions!$C$90))))</f>
        <v>242556.862837483</v>
      </c>
      <c r="F90" s="17" t="n">
        <f aca="false">((('Operating Model'!$B$46+Assumptions!$C$20-(((Assumptions!$C$7*(1+0))*Assumptions!$C$16)*Assumptions!$C$14))*(1+Assumptions!$C$53)^3)-(-PMT(Assumptions!$C$89,Assumptions!$C$94,((Assumptions!$C$7*(1+0))*Assumptions!$C$90))))</f>
        <v>271737.621292246</v>
      </c>
      <c r="G90" s="17" t="n">
        <f aca="false">((('Operating Model'!$B$46+Assumptions!$C$20-(((Assumptions!$C$7*(1+0))*Assumptions!$C$16)*Assumptions!$C$14))*(1+Assumptions!$C$53)^4)-(-PMT(Assumptions!$C$89,Assumptions!$C$94,((Assumptions!$C$7*(1+0))*Assumptions!$C$90)))+(((('Operating Model'!$B$46+Assumptions!$C$20-(((Assumptions!$C$7*(1+0))*Assumptions!$C$16)*Assumptions!$C$14))*(1+Assumptions!$C$53)^5)/((((Returns!$B$14+Assumptions!$C$20-(((Assumptions!$C$7*(1+0))*Assumptions!$C$16)*Assumptions!$C$14))/(Assumptions!$C$7*(1+0)))+0.005)+Returns!$B$36))*(1-Assumptions!$C$110)-(((Assumptions!$C$7*(1+0))*Assumptions!$C$90)+CUMPRINC(Assumptions!$C$89,Assumptions!$C$94,((Assumptions!$C$7*(1+0))*Assumptions!$C$90),1,3,0))))</f>
        <v>4101557.3747972</v>
      </c>
      <c r="H90" s="18" t="n">
        <f aca="false">IFERROR(IRR(B90:G90),"N/A")</f>
        <v>-0.013448149379862</v>
      </c>
      <c r="I90" s="19" t="n">
        <f aca="false">SUM(C90:G90)/((((Assumptions!$C$7*(1+0))*(1+Assumptions!$C$10)+(Capital!$B$8-Assumptions!$C$7*(1+Assumptions!$C$10)))-((Assumptions!$C$7*(1+0))*Assumptions!$C$90)))</f>
        <v>0.941260994034741</v>
      </c>
    </row>
    <row r="91" customFormat="false" ht="15" hidden="false" customHeight="false" outlineLevel="0" collapsed="false">
      <c r="A91" s="2" t="s">
        <v>447</v>
      </c>
      <c r="B91" s="17" t="n">
        <f aca="false">-((((Assumptions!$C$7*(1+0))*(1+Assumptions!$C$10)+(Capital!$B$8-Assumptions!$C$7*(1+Assumptions!$C$10)))-((Assumptions!$C$7*(1+0))*Assumptions!$C$90)))</f>
        <v>-5528040</v>
      </c>
      <c r="C91" s="17" t="n">
        <f aca="false">((('Operating Model'!$B$46+Assumptions!$C$20-(((Assumptions!$C$7*(1+0))*Assumptions!$C$16)*Assumptions!$C$14))*(1+Assumptions!$C$53)^0)-(((Assumptions!$C$7*(1+0))*Assumptions!$C$90)*Assumptions!$C$89))</f>
        <v>279985.451496</v>
      </c>
      <c r="D91" s="17" t="n">
        <f aca="false">((('Operating Model'!$B$46+Assumptions!$C$20-(((Assumptions!$C$7*(1+0))*Assumptions!$C$16)*Assumptions!$C$14))*(1+Assumptions!$C$53)^1)-(((Assumptions!$C$7*(1+0))*Assumptions!$C$90)*Assumptions!$C$89))</f>
        <v>307491.11504088</v>
      </c>
      <c r="E91" s="17" t="n">
        <f aca="false">((('Operating Model'!$B$46+Assumptions!$C$20-(((Assumptions!$C$7*(1+0))*Assumptions!$C$16)*Assumptions!$C$14))*(1+Assumptions!$C$53)^2)-(-PMT(Assumptions!$C$89,Assumptions!$C$94,((Assumptions!$C$7*(1+0))*Assumptions!$C$90))))</f>
        <v>242556.862837483</v>
      </c>
      <c r="F91" s="17" t="n">
        <f aca="false">((('Operating Model'!$B$46+Assumptions!$C$20-(((Assumptions!$C$7*(1+0))*Assumptions!$C$16)*Assumptions!$C$14))*(1+Assumptions!$C$53)^3)-(-PMT(Assumptions!$C$89,Assumptions!$C$94,((Assumptions!$C$7*(1+0))*Assumptions!$C$90))))</f>
        <v>271737.621292246</v>
      </c>
      <c r="G91" s="17" t="n">
        <f aca="false">((('Operating Model'!$B$46+Assumptions!$C$20-(((Assumptions!$C$7*(1+0))*Assumptions!$C$16)*Assumptions!$C$14))*(1+Assumptions!$C$53)^4)-(-PMT(Assumptions!$C$89,Assumptions!$C$94,((Assumptions!$C$7*(1+0))*Assumptions!$C$90)))+(((('Operating Model'!$B$46+Assumptions!$C$20-(((Assumptions!$C$7*(1+0))*Assumptions!$C$16)*Assumptions!$C$14))*(1+Assumptions!$C$53)^5)/((((Returns!$B$14+Assumptions!$C$20-(((Assumptions!$C$7*(1+0))*Assumptions!$C$16)*Assumptions!$C$14))/(Assumptions!$C$7*(1+0)))+0.0075)+Returns!$B$36))*(1-Assumptions!$C$110)-(((Assumptions!$C$7*(1+0))*Assumptions!$C$90)+CUMPRINC(Assumptions!$C$89,Assumptions!$C$94,((Assumptions!$C$7*(1+0))*Assumptions!$C$90),1,3,0))))</f>
        <v>3739208.17126959</v>
      </c>
      <c r="H91" s="18" t="n">
        <f aca="false">IFERROR(IRR(B91:G91),"N/A")</f>
        <v>-0.0294325328327583</v>
      </c>
      <c r="I91" s="19" t="n">
        <f aca="false">SUM(C91:G91)/((((Assumptions!$C$7*(1+0))*(1+Assumptions!$C$10)+(Capital!$B$8-Assumptions!$C$7*(1+Assumptions!$C$10)))-((Assumptions!$C$7*(1+0))*Assumptions!$C$90)))</f>
        <v>0.875713493740312</v>
      </c>
    </row>
    <row r="92" customFormat="false" ht="15" hidden="false" customHeight="false" outlineLevel="0" collapsed="false">
      <c r="A92" s="2" t="s">
        <v>448</v>
      </c>
      <c r="B92" s="17" t="n">
        <f aca="false">-((((Assumptions!$C$7*(1+0))*(1+Assumptions!$C$10)+(Capital!$B$8-Assumptions!$C$7*(1+Assumptions!$C$10)))-((Assumptions!$C$7*(1+0))*Assumptions!$C$90)))</f>
        <v>-5528040</v>
      </c>
      <c r="C92" s="17" t="n">
        <f aca="false">((('Operating Model'!$B$46+Assumptions!$C$20-(((Assumptions!$C$7*(1+0))*Assumptions!$C$16)*Assumptions!$C$14))*(1+Assumptions!$C$53)^0)-(((Assumptions!$C$7*(1+0))*Assumptions!$C$90)*Assumptions!$C$89))</f>
        <v>279985.451496</v>
      </c>
      <c r="D92" s="17" t="n">
        <f aca="false">((('Operating Model'!$B$46+Assumptions!$C$20-(((Assumptions!$C$7*(1+0))*Assumptions!$C$16)*Assumptions!$C$14))*(1+Assumptions!$C$53)^1)-(((Assumptions!$C$7*(1+0))*Assumptions!$C$90)*Assumptions!$C$89))</f>
        <v>307491.11504088</v>
      </c>
      <c r="E92" s="17" t="n">
        <f aca="false">((('Operating Model'!$B$46+Assumptions!$C$20-(((Assumptions!$C$7*(1+0))*Assumptions!$C$16)*Assumptions!$C$14))*(1+Assumptions!$C$53)^2)-(-PMT(Assumptions!$C$89,Assumptions!$C$94,((Assumptions!$C$7*(1+0))*Assumptions!$C$90))))</f>
        <v>242556.862837483</v>
      </c>
      <c r="F92" s="17" t="n">
        <f aca="false">((('Operating Model'!$B$46+Assumptions!$C$20-(((Assumptions!$C$7*(1+0))*Assumptions!$C$16)*Assumptions!$C$14))*(1+Assumptions!$C$53)^3)-(-PMT(Assumptions!$C$89,Assumptions!$C$94,((Assumptions!$C$7*(1+0))*Assumptions!$C$90))))</f>
        <v>271737.621292246</v>
      </c>
      <c r="G92" s="17" t="n">
        <f aca="false">((('Operating Model'!$B$46+Assumptions!$C$20-(((Assumptions!$C$7*(1+0))*Assumptions!$C$16)*Assumptions!$C$14))*(1+Assumptions!$C$53)^4)-(-PMT(Assumptions!$C$89,Assumptions!$C$94,((Assumptions!$C$7*(1+0))*Assumptions!$C$90)))+(((('Operating Model'!$B$46+Assumptions!$C$20-(((Assumptions!$C$7*(1+0))*Assumptions!$C$16)*Assumptions!$C$14))*(1+Assumptions!$C$53)^5)/((((Returns!$B$14+Assumptions!$C$20-(((Assumptions!$C$7*(1+0))*Assumptions!$C$16)*Assumptions!$C$14))/(Assumptions!$C$7*(1+0)))+0.01)+Returns!$B$36))*(1-Assumptions!$C$110)-(((Assumptions!$C$7*(1+0))*Assumptions!$C$90)+CUMPRINC(Assumptions!$C$89,Assumptions!$C$94,((Assumptions!$C$7*(1+0))*Assumptions!$C$90),1,3,0))))</f>
        <v>3397322.98433047</v>
      </c>
      <c r="H92" s="18" t="n">
        <f aca="false">IFERROR(IRR(B92:G92),"N/A")</f>
        <v>-0.0456118977491313</v>
      </c>
      <c r="I92" s="19" t="n">
        <f aca="false">SUM(C92:G92)/((((Assumptions!$C$7*(1+0))*(1+Assumptions!$C$10)+(Capital!$B$8-Assumptions!$C$7*(1+Assumptions!$C$10)))-((Assumptions!$C$7*(1+0))*Assumptions!$C$90)))</f>
        <v>0.813867850991866</v>
      </c>
    </row>
    <row r="93" customFormat="false" ht="15" hidden="false" customHeight="false" outlineLevel="0" collapsed="false">
      <c r="A93" s="2" t="s">
        <v>449</v>
      </c>
      <c r="B93" s="17" t="n">
        <f aca="false">-((((Assumptions!$C$7*(1+0.05))*(1+Assumptions!$C$10)+(Capital!$B$8-Assumptions!$C$7*(1+Assumptions!$C$10)))-((Assumptions!$C$7*(1+0.05))*Assumptions!$C$90)))</f>
        <v>-5779890</v>
      </c>
      <c r="C93" s="17" t="n">
        <f aca="false">((('Operating Model'!$B$46+Assumptions!$C$20-(((Assumptions!$C$7*(1+0.05))*Assumptions!$C$16)*Assumptions!$C$14))*(1+Assumptions!$C$53)^0)-(((Assumptions!$C$7*(1+0.05))*Assumptions!$C$90)*Assumptions!$C$89))</f>
        <v>236311.659996</v>
      </c>
      <c r="D93" s="17" t="n">
        <f aca="false">((('Operating Model'!$B$46+Assumptions!$C$20-(((Assumptions!$C$7*(1+0.05))*Assumptions!$C$16)*Assumptions!$C$14))*(1+Assumptions!$C$53)^1)-(((Assumptions!$C$7*(1+0.05))*Assumptions!$C$90)*Assumptions!$C$89))</f>
        <v>263462.41479588</v>
      </c>
      <c r="E93" s="17" t="n">
        <f aca="false">((('Operating Model'!$B$46+Assumptions!$C$20-(((Assumptions!$C$7*(1+0.05))*Assumptions!$C$16)*Assumptions!$C$14))*(1+Assumptions!$C$53)^2)-(-PMT(Assumptions!$C$89,Assumptions!$C$94,((Assumptions!$C$7*(1+0.05))*Assumptions!$C$90))))</f>
        <v>193499.352302402</v>
      </c>
      <c r="F93" s="17" t="n">
        <f aca="false">((('Operating Model'!$B$46+Assumptions!$C$20-(((Assumptions!$C$7*(1+0.05))*Assumptions!$C$16)*Assumptions!$C$14))*(1+Assumptions!$C$53)^3)-(-PMT(Assumptions!$C$89,Assumptions!$C$94,((Assumptions!$C$7*(1+0.05))*Assumptions!$C$90))))</f>
        <v>222303.588069594</v>
      </c>
      <c r="G93" s="17" t="n">
        <f aca="false">((('Operating Model'!$B$46+Assumptions!$C$20-(((Assumptions!$C$7*(1+0.05))*Assumptions!$C$16)*Assumptions!$C$14))*(1+Assumptions!$C$53)^4)-(-PMT(Assumptions!$C$89,Assumptions!$C$94,((Assumptions!$C$7*(1+0.05))*Assumptions!$C$90)))+(((('Operating Model'!$B$46+Assumptions!$C$20-(((Assumptions!$C$7*(1+0.05))*Assumptions!$C$16)*Assumptions!$C$14))*(1+Assumptions!$C$53)^5)/((((Returns!$B$14+Assumptions!$C$20-(((Assumptions!$C$7*(1+0.05))*Assumptions!$C$16)*Assumptions!$C$14))/(Assumptions!$C$7*(1+0.05)))+0)+Returns!$B$36))*(1-Assumptions!$C$110)-(((Assumptions!$C$7*(1+0.05))*Assumptions!$C$90)+CUMPRINC(Assumptions!$C$89,Assumptions!$C$94,((Assumptions!$C$7*(1+0.05))*Assumptions!$C$90),1,3,0))))</f>
        <v>4895628.83931556</v>
      </c>
      <c r="H93" s="18" t="n">
        <f aca="false">IFERROR(IRR(B93:G93),"N/A")</f>
        <v>0.00117641375996079</v>
      </c>
      <c r="I93" s="19" t="n">
        <f aca="false">SUM(C93:G93)/((((Assumptions!$C$7*(1+0.05))*(1+Assumptions!$C$10)+(Capital!$B$8-Assumptions!$C$7*(1+Assumptions!$C$10)))-((Assumptions!$C$7*(1+0.05))*Assumptions!$C$90)))</f>
        <v>1.00541807101509</v>
      </c>
    </row>
    <row r="94" customFormat="false" ht="15" hidden="false" customHeight="false" outlineLevel="0" collapsed="false">
      <c r="A94" s="2" t="s">
        <v>450</v>
      </c>
      <c r="B94" s="17" t="n">
        <f aca="false">-((((Assumptions!$C$7*(1+0.05))*(1+Assumptions!$C$10)+(Capital!$B$8-Assumptions!$C$7*(1+Assumptions!$C$10)))-((Assumptions!$C$7*(1+0.05))*Assumptions!$C$90)))</f>
        <v>-5779890</v>
      </c>
      <c r="C94" s="17" t="n">
        <f aca="false">((('Operating Model'!$B$46+Assumptions!$C$20-(((Assumptions!$C$7*(1+0.05))*Assumptions!$C$16)*Assumptions!$C$14))*(1+Assumptions!$C$53)^0)-(((Assumptions!$C$7*(1+0.05))*Assumptions!$C$90)*Assumptions!$C$89))</f>
        <v>236311.659996</v>
      </c>
      <c r="D94" s="17" t="n">
        <f aca="false">((('Operating Model'!$B$46+Assumptions!$C$20-(((Assumptions!$C$7*(1+0.05))*Assumptions!$C$16)*Assumptions!$C$14))*(1+Assumptions!$C$53)^1)-(((Assumptions!$C$7*(1+0.05))*Assumptions!$C$90)*Assumptions!$C$89))</f>
        <v>263462.41479588</v>
      </c>
      <c r="E94" s="17" t="n">
        <f aca="false">((('Operating Model'!$B$46+Assumptions!$C$20-(((Assumptions!$C$7*(1+0.05))*Assumptions!$C$16)*Assumptions!$C$14))*(1+Assumptions!$C$53)^2)-(-PMT(Assumptions!$C$89,Assumptions!$C$94,((Assumptions!$C$7*(1+0.05))*Assumptions!$C$90))))</f>
        <v>193499.352302402</v>
      </c>
      <c r="F94" s="17" t="n">
        <f aca="false">((('Operating Model'!$B$46+Assumptions!$C$20-(((Assumptions!$C$7*(1+0.05))*Assumptions!$C$16)*Assumptions!$C$14))*(1+Assumptions!$C$53)^3)-(-PMT(Assumptions!$C$89,Assumptions!$C$94,((Assumptions!$C$7*(1+0.05))*Assumptions!$C$90))))</f>
        <v>222303.588069594</v>
      </c>
      <c r="G94" s="17" t="n">
        <f aca="false">((('Operating Model'!$B$46+Assumptions!$C$20-(((Assumptions!$C$7*(1+0.05))*Assumptions!$C$16)*Assumptions!$C$14))*(1+Assumptions!$C$53)^4)-(-PMT(Assumptions!$C$89,Assumptions!$C$94,((Assumptions!$C$7*(1+0.05))*Assumptions!$C$90)))+(((('Operating Model'!$B$46+Assumptions!$C$20-(((Assumptions!$C$7*(1+0.05))*Assumptions!$C$16)*Assumptions!$C$14))*(1+Assumptions!$C$53)^5)/((((Returns!$B$14+Assumptions!$C$20-(((Assumptions!$C$7*(1+0.05))*Assumptions!$C$16)*Assumptions!$C$14))/(Assumptions!$C$7*(1+0.05)))+0.0025)+Returns!$B$36))*(1-Assumptions!$C$110)-(((Assumptions!$C$7*(1+0.05))*Assumptions!$C$90)+CUMPRINC(Assumptions!$C$89,Assumptions!$C$94,((Assumptions!$C$7*(1+0.05))*Assumptions!$C$90),1,3,0))))</f>
        <v>4450992.29905211</v>
      </c>
      <c r="H94" s="18" t="n">
        <f aca="false">IFERROR(IRR(B94:G94),"N/A")</f>
        <v>-0.0160967059341571</v>
      </c>
      <c r="I94" s="19" t="n">
        <f aca="false">SUM(C94:G94)/((((Assumptions!$C$7*(1+0.05))*(1+Assumptions!$C$10)+(Capital!$B$8-Assumptions!$C$7*(1+Assumptions!$C$10)))-((Assumptions!$C$7*(1+0.05))*Assumptions!$C$90)))</f>
        <v>0.928489869913784</v>
      </c>
    </row>
    <row r="95" customFormat="false" ht="15" hidden="false" customHeight="false" outlineLevel="0" collapsed="false">
      <c r="A95" s="2" t="s">
        <v>451</v>
      </c>
      <c r="B95" s="17" t="n">
        <f aca="false">-((((Assumptions!$C$7*(1+0.05))*(1+Assumptions!$C$10)+(Capital!$B$8-Assumptions!$C$7*(1+Assumptions!$C$10)))-((Assumptions!$C$7*(1+0.05))*Assumptions!$C$90)))</f>
        <v>-5779890</v>
      </c>
      <c r="C95" s="17" t="n">
        <f aca="false">((('Operating Model'!$B$46+Assumptions!$C$20-(((Assumptions!$C$7*(1+0.05))*Assumptions!$C$16)*Assumptions!$C$14))*(1+Assumptions!$C$53)^0)-(((Assumptions!$C$7*(1+0.05))*Assumptions!$C$90)*Assumptions!$C$89))</f>
        <v>236311.659996</v>
      </c>
      <c r="D95" s="17" t="n">
        <f aca="false">((('Operating Model'!$B$46+Assumptions!$C$20-(((Assumptions!$C$7*(1+0.05))*Assumptions!$C$16)*Assumptions!$C$14))*(1+Assumptions!$C$53)^1)-(((Assumptions!$C$7*(1+0.05))*Assumptions!$C$90)*Assumptions!$C$89))</f>
        <v>263462.41479588</v>
      </c>
      <c r="E95" s="17" t="n">
        <f aca="false">((('Operating Model'!$B$46+Assumptions!$C$20-(((Assumptions!$C$7*(1+0.05))*Assumptions!$C$16)*Assumptions!$C$14))*(1+Assumptions!$C$53)^2)-(-PMT(Assumptions!$C$89,Assumptions!$C$94,((Assumptions!$C$7*(1+0.05))*Assumptions!$C$90))))</f>
        <v>193499.352302402</v>
      </c>
      <c r="F95" s="17" t="n">
        <f aca="false">((('Operating Model'!$B$46+Assumptions!$C$20-(((Assumptions!$C$7*(1+0.05))*Assumptions!$C$16)*Assumptions!$C$14))*(1+Assumptions!$C$53)^3)-(-PMT(Assumptions!$C$89,Assumptions!$C$94,((Assumptions!$C$7*(1+0.05))*Assumptions!$C$90))))</f>
        <v>222303.588069594</v>
      </c>
      <c r="G95" s="17" t="n">
        <f aca="false">((('Operating Model'!$B$46+Assumptions!$C$20-(((Assumptions!$C$7*(1+0.05))*Assumptions!$C$16)*Assumptions!$C$14))*(1+Assumptions!$C$53)^4)-(-PMT(Assumptions!$C$89,Assumptions!$C$94,((Assumptions!$C$7*(1+0.05))*Assumptions!$C$90)))+(((('Operating Model'!$B$46+Assumptions!$C$20-(((Assumptions!$C$7*(1+0.05))*Assumptions!$C$16)*Assumptions!$C$14))*(1+Assumptions!$C$53)^5)/((((Returns!$B$14+Assumptions!$C$20-(((Assumptions!$C$7*(1+0.05))*Assumptions!$C$16)*Assumptions!$C$14))/(Assumptions!$C$7*(1+0.05)))+0.005)+Returns!$B$36))*(1-Assumptions!$C$110)-(((Assumptions!$C$7*(1+0.05))*Assumptions!$C$90)+CUMPRINC(Assumptions!$C$89,Assumptions!$C$94,((Assumptions!$C$7*(1+0.05))*Assumptions!$C$90),1,3,0))))</f>
        <v>4034217.43366562</v>
      </c>
      <c r="H95" s="18" t="n">
        <f aca="false">IFERROR(IRR(B95:G95),"N/A")</f>
        <v>-0.0335259298348334</v>
      </c>
      <c r="I95" s="19" t="n">
        <f aca="false">SUM(C95:G95)/((((Assumptions!$C$7*(1+0.05))*(1+Assumptions!$C$10)+(Capital!$B$8-Assumptions!$C$7*(1+Assumptions!$C$10)))-((Assumptions!$C$7*(1+0.05))*Assumptions!$C$90)))</f>
        <v>0.856382119526409</v>
      </c>
    </row>
    <row r="96" customFormat="false" ht="15" hidden="false" customHeight="false" outlineLevel="0" collapsed="false">
      <c r="A96" s="2" t="s">
        <v>452</v>
      </c>
      <c r="B96" s="17" t="n">
        <f aca="false">-((((Assumptions!$C$7*(1+0.05))*(1+Assumptions!$C$10)+(Capital!$B$8-Assumptions!$C$7*(1+Assumptions!$C$10)))-((Assumptions!$C$7*(1+0.05))*Assumptions!$C$90)))</f>
        <v>-5779890</v>
      </c>
      <c r="C96" s="17" t="n">
        <f aca="false">((('Operating Model'!$B$46+Assumptions!$C$20-(((Assumptions!$C$7*(1+0.05))*Assumptions!$C$16)*Assumptions!$C$14))*(1+Assumptions!$C$53)^0)-(((Assumptions!$C$7*(1+0.05))*Assumptions!$C$90)*Assumptions!$C$89))</f>
        <v>236311.659996</v>
      </c>
      <c r="D96" s="17" t="n">
        <f aca="false">((('Operating Model'!$B$46+Assumptions!$C$20-(((Assumptions!$C$7*(1+0.05))*Assumptions!$C$16)*Assumptions!$C$14))*(1+Assumptions!$C$53)^1)-(((Assumptions!$C$7*(1+0.05))*Assumptions!$C$90)*Assumptions!$C$89))</f>
        <v>263462.41479588</v>
      </c>
      <c r="E96" s="17" t="n">
        <f aca="false">((('Operating Model'!$B$46+Assumptions!$C$20-(((Assumptions!$C$7*(1+0.05))*Assumptions!$C$16)*Assumptions!$C$14))*(1+Assumptions!$C$53)^2)-(-PMT(Assumptions!$C$89,Assumptions!$C$94,((Assumptions!$C$7*(1+0.05))*Assumptions!$C$90))))</f>
        <v>193499.352302402</v>
      </c>
      <c r="F96" s="17" t="n">
        <f aca="false">((('Operating Model'!$B$46+Assumptions!$C$20-(((Assumptions!$C$7*(1+0.05))*Assumptions!$C$16)*Assumptions!$C$14))*(1+Assumptions!$C$53)^3)-(-PMT(Assumptions!$C$89,Assumptions!$C$94,((Assumptions!$C$7*(1+0.05))*Assumptions!$C$90))))</f>
        <v>222303.588069594</v>
      </c>
      <c r="G96" s="17" t="n">
        <f aca="false">((('Operating Model'!$B$46+Assumptions!$C$20-(((Assumptions!$C$7*(1+0.05))*Assumptions!$C$16)*Assumptions!$C$14))*(1+Assumptions!$C$53)^4)-(-PMT(Assumptions!$C$89,Assumptions!$C$94,((Assumptions!$C$7*(1+0.05))*Assumptions!$C$90)))+(((('Operating Model'!$B$46+Assumptions!$C$20-(((Assumptions!$C$7*(1+0.05))*Assumptions!$C$16)*Assumptions!$C$14))*(1+Assumptions!$C$53)^5)/((((Returns!$B$14+Assumptions!$C$20-(((Assumptions!$C$7*(1+0.05))*Assumptions!$C$16)*Assumptions!$C$14))/(Assumptions!$C$7*(1+0.05)))+0.0075)+Returns!$B$36))*(1-Assumptions!$C$110)-(((Assumptions!$C$7*(1+0.05))*Assumptions!$C$90)+CUMPRINC(Assumptions!$C$89,Assumptions!$C$94,((Assumptions!$C$7*(1+0.05))*Assumptions!$C$90),1,3,0))))</f>
        <v>3642765.01021664</v>
      </c>
      <c r="H96" s="18" t="n">
        <f aca="false">IFERROR(IRR(B96:G96),"N/A")</f>
        <v>-0.051189521759452</v>
      </c>
      <c r="I96" s="19" t="n">
        <f aca="false">SUM(C96:G96)/((((Assumptions!$C$7*(1+0.05))*(1+Assumptions!$C$10)+(Capital!$B$8-Assumptions!$C$7*(1+Assumptions!$C$10)))-((Assumptions!$C$7*(1+0.05))*Assumptions!$C$90)))</f>
        <v>0.788655497834823</v>
      </c>
    </row>
    <row r="97" customFormat="false" ht="15" hidden="false" customHeight="false" outlineLevel="0" collapsed="false">
      <c r="A97" s="2" t="s">
        <v>453</v>
      </c>
      <c r="B97" s="17" t="n">
        <f aca="false">-((((Assumptions!$C$7*(1+0.05))*(1+Assumptions!$C$10)+(Capital!$B$8-Assumptions!$C$7*(1+Assumptions!$C$10)))-((Assumptions!$C$7*(1+0.05))*Assumptions!$C$90)))</f>
        <v>-5779890</v>
      </c>
      <c r="C97" s="17" t="n">
        <f aca="false">((('Operating Model'!$B$46+Assumptions!$C$20-(((Assumptions!$C$7*(1+0.05))*Assumptions!$C$16)*Assumptions!$C$14))*(1+Assumptions!$C$53)^0)-(((Assumptions!$C$7*(1+0.05))*Assumptions!$C$90)*Assumptions!$C$89))</f>
        <v>236311.659996</v>
      </c>
      <c r="D97" s="17" t="n">
        <f aca="false">((('Operating Model'!$B$46+Assumptions!$C$20-(((Assumptions!$C$7*(1+0.05))*Assumptions!$C$16)*Assumptions!$C$14))*(1+Assumptions!$C$53)^1)-(((Assumptions!$C$7*(1+0.05))*Assumptions!$C$90)*Assumptions!$C$89))</f>
        <v>263462.41479588</v>
      </c>
      <c r="E97" s="17" t="n">
        <f aca="false">((('Operating Model'!$B$46+Assumptions!$C$20-(((Assumptions!$C$7*(1+0.05))*Assumptions!$C$16)*Assumptions!$C$14))*(1+Assumptions!$C$53)^2)-(-PMT(Assumptions!$C$89,Assumptions!$C$94,((Assumptions!$C$7*(1+0.05))*Assumptions!$C$90))))</f>
        <v>193499.352302402</v>
      </c>
      <c r="F97" s="17" t="n">
        <f aca="false">((('Operating Model'!$B$46+Assumptions!$C$20-(((Assumptions!$C$7*(1+0.05))*Assumptions!$C$16)*Assumptions!$C$14))*(1+Assumptions!$C$53)^3)-(-PMT(Assumptions!$C$89,Assumptions!$C$94,((Assumptions!$C$7*(1+0.05))*Assumptions!$C$90))))</f>
        <v>222303.588069594</v>
      </c>
      <c r="G97" s="17" t="n">
        <f aca="false">((('Operating Model'!$B$46+Assumptions!$C$20-(((Assumptions!$C$7*(1+0.05))*Assumptions!$C$16)*Assumptions!$C$14))*(1+Assumptions!$C$53)^4)-(-PMT(Assumptions!$C$89,Assumptions!$C$94,((Assumptions!$C$7*(1+0.05))*Assumptions!$C$90)))+(((('Operating Model'!$B$46+Assumptions!$C$20-(((Assumptions!$C$7*(1+0.05))*Assumptions!$C$16)*Assumptions!$C$14))*(1+Assumptions!$C$53)^5)/((((Returns!$B$14+Assumptions!$C$20-(((Assumptions!$C$7*(1+0.05))*Assumptions!$C$16)*Assumptions!$C$14))/(Assumptions!$C$7*(1+0.05)))+0.01)+Returns!$B$36))*(1-Assumptions!$C$110)-(((Assumptions!$C$7*(1+0.05))*Assumptions!$C$90)+CUMPRINC(Assumptions!$C$89,Assumptions!$C$94,((Assumptions!$C$7*(1+0.05))*Assumptions!$C$90),1,3,0))))</f>
        <v>3274395.25629414</v>
      </c>
      <c r="H97" s="18" t="n">
        <f aca="false">IFERROR(IRR(B97:G97),"N/A")</f>
        <v>-0.0691754856096742</v>
      </c>
      <c r="I97" s="19" t="n">
        <f aca="false">SUM(C97:G97)/((((Assumptions!$C$7*(1+0.05))*(1+Assumptions!$C$10)+(Capital!$B$8-Assumptions!$C$7*(1+Assumptions!$C$10)))-((Assumptions!$C$7*(1+0.05))*Assumptions!$C$90)))</f>
        <v>0.724922493586904</v>
      </c>
    </row>
    <row r="98" customFormat="false" ht="15" hidden="false" customHeight="false" outlineLevel="0" collapsed="false">
      <c r="A98" s="2" t="s">
        <v>454</v>
      </c>
      <c r="B98" s="17" t="n">
        <f aca="false">-((((Assumptions!$C$7*(1+0.1))*(1+Assumptions!$C$10)+(Capital!$B$8-Assumptions!$C$7*(1+Assumptions!$C$10)))-((Assumptions!$C$7*(1+0.1))*Assumptions!$C$90)))</f>
        <v>-6031740</v>
      </c>
      <c r="C98" s="17" t="n">
        <f aca="false">((('Operating Model'!$B$46+Assumptions!$C$20-(((Assumptions!$C$7*(1+0.1))*Assumptions!$C$16)*Assumptions!$C$14))*(1+Assumptions!$C$53)^0)-(((Assumptions!$C$7*(1+0.1))*Assumptions!$C$90)*Assumptions!$C$89))</f>
        <v>192637.868496</v>
      </c>
      <c r="D98" s="17" t="n">
        <f aca="false">((('Operating Model'!$B$46+Assumptions!$C$20-(((Assumptions!$C$7*(1+0.1))*Assumptions!$C$16)*Assumptions!$C$14))*(1+Assumptions!$C$53)^1)-(((Assumptions!$C$7*(1+0.1))*Assumptions!$C$90)*Assumptions!$C$89))</f>
        <v>219433.71455088</v>
      </c>
      <c r="E98" s="17" t="n">
        <f aca="false">((('Operating Model'!$B$46+Assumptions!$C$20-(((Assumptions!$C$7*(1+0.1))*Assumptions!$C$16)*Assumptions!$C$14))*(1+Assumptions!$C$53)^2)-(-PMT(Assumptions!$C$89,Assumptions!$C$94,((Assumptions!$C$7*(1+0.1))*Assumptions!$C$90))))</f>
        <v>144441.84176732</v>
      </c>
      <c r="F98" s="17" t="n">
        <f aca="false">((('Operating Model'!$B$46+Assumptions!$C$20-(((Assumptions!$C$7*(1+0.1))*Assumptions!$C$16)*Assumptions!$C$14))*(1+Assumptions!$C$53)^3)-(-PMT(Assumptions!$C$89,Assumptions!$C$94,((Assumptions!$C$7*(1+0.1))*Assumptions!$C$90))))</f>
        <v>172869.554846943</v>
      </c>
      <c r="G98" s="17" t="n">
        <f aca="false">((('Operating Model'!$B$46+Assumptions!$C$20-(((Assumptions!$C$7*(1+0.1))*Assumptions!$C$16)*Assumptions!$C$14))*(1+Assumptions!$C$53)^4)-(-PMT(Assumptions!$C$89,Assumptions!$C$94,((Assumptions!$C$7*(1+0.1))*Assumptions!$C$90)))+(((('Operating Model'!$B$46+Assumptions!$C$20-(((Assumptions!$C$7*(1+0.1))*Assumptions!$C$16)*Assumptions!$C$14))*(1+Assumptions!$C$53)^5)/((((Returns!$B$14+Assumptions!$C$20-(((Assumptions!$C$7*(1+0.1))*Assumptions!$C$16)*Assumptions!$C$14))/(Assumptions!$C$7*(1+0.1)))+0)+Returns!$B$36))*(1-Assumptions!$C$110)-(((Assumptions!$C$7*(1+0.1))*Assumptions!$C$90)+CUMPRINC(Assumptions!$C$89,Assumptions!$C$94,((Assumptions!$C$7*(1+0.1))*Assumptions!$C$90),1,3,0))))</f>
        <v>4878678.41640877</v>
      </c>
      <c r="H98" s="18" t="n">
        <f aca="false">IFERROR(IRR(B98:G98),"N/A")</f>
        <v>-0.0154745176917881</v>
      </c>
      <c r="I98" s="19" t="n">
        <f aca="false">SUM(C98:G98)/((((Assumptions!$C$7*(1+0.1))*(1+Assumptions!$C$10)+(Capital!$B$8-Assumptions!$C$7*(1+Assumptions!$C$10)))-((Assumptions!$C$7*(1+0.1))*Assumptions!$C$90)))</f>
        <v>0.929758477001647</v>
      </c>
    </row>
    <row r="99" customFormat="false" ht="15" hidden="false" customHeight="false" outlineLevel="0" collapsed="false">
      <c r="A99" s="2" t="s">
        <v>455</v>
      </c>
      <c r="B99" s="17" t="n">
        <f aca="false">-((((Assumptions!$C$7*(1+0.1))*(1+Assumptions!$C$10)+(Capital!$B$8-Assumptions!$C$7*(1+Assumptions!$C$10)))-((Assumptions!$C$7*(1+0.1))*Assumptions!$C$90)))</f>
        <v>-6031740</v>
      </c>
      <c r="C99" s="17" t="n">
        <f aca="false">((('Operating Model'!$B$46+Assumptions!$C$20-(((Assumptions!$C$7*(1+0.1))*Assumptions!$C$16)*Assumptions!$C$14))*(1+Assumptions!$C$53)^0)-(((Assumptions!$C$7*(1+0.1))*Assumptions!$C$90)*Assumptions!$C$89))</f>
        <v>192637.868496</v>
      </c>
      <c r="D99" s="17" t="n">
        <f aca="false">((('Operating Model'!$B$46+Assumptions!$C$20-(((Assumptions!$C$7*(1+0.1))*Assumptions!$C$16)*Assumptions!$C$14))*(1+Assumptions!$C$53)^1)-(((Assumptions!$C$7*(1+0.1))*Assumptions!$C$90)*Assumptions!$C$89))</f>
        <v>219433.71455088</v>
      </c>
      <c r="E99" s="17" t="n">
        <f aca="false">((('Operating Model'!$B$46+Assumptions!$C$20-(((Assumptions!$C$7*(1+0.1))*Assumptions!$C$16)*Assumptions!$C$14))*(1+Assumptions!$C$53)^2)-(-PMT(Assumptions!$C$89,Assumptions!$C$94,((Assumptions!$C$7*(1+0.1))*Assumptions!$C$90))))</f>
        <v>144441.84176732</v>
      </c>
      <c r="F99" s="17" t="n">
        <f aca="false">((('Operating Model'!$B$46+Assumptions!$C$20-(((Assumptions!$C$7*(1+0.1))*Assumptions!$C$16)*Assumptions!$C$14))*(1+Assumptions!$C$53)^3)-(-PMT(Assumptions!$C$89,Assumptions!$C$94,((Assumptions!$C$7*(1+0.1))*Assumptions!$C$90))))</f>
        <v>172869.554846943</v>
      </c>
      <c r="G99" s="17" t="n">
        <f aca="false">((('Operating Model'!$B$46+Assumptions!$C$20-(((Assumptions!$C$7*(1+0.1))*Assumptions!$C$16)*Assumptions!$C$14))*(1+Assumptions!$C$53)^4)-(-PMT(Assumptions!$C$89,Assumptions!$C$94,((Assumptions!$C$7*(1+0.1))*Assumptions!$C$90)))+(((('Operating Model'!$B$46+Assumptions!$C$20-(((Assumptions!$C$7*(1+0.1))*Assumptions!$C$16)*Assumptions!$C$14))*(1+Assumptions!$C$53)^5)/((((Returns!$B$14+Assumptions!$C$20-(((Assumptions!$C$7*(1+0.1))*Assumptions!$C$16)*Assumptions!$C$14))/(Assumptions!$C$7*(1+0.1)))+0.0025)+Returns!$B$36))*(1-Assumptions!$C$110)-(((Assumptions!$C$7*(1+0.1))*Assumptions!$C$90)+CUMPRINC(Assumptions!$C$89,Assumptions!$C$94,((Assumptions!$C$7*(1+0.1))*Assumptions!$C$90),1,3,0))))</f>
        <v>4397806.84510312</v>
      </c>
      <c r="H99" s="18" t="n">
        <f aca="false">IFERROR(IRR(B99:G99),"N/A")</f>
        <v>-0.0343515086847394</v>
      </c>
      <c r="I99" s="19" t="n">
        <f aca="false">SUM(C99:G99)/((((Assumptions!$C$7*(1+0.1))*(1+Assumptions!$C$10)+(Capital!$B$8-Assumptions!$C$7*(1+Assumptions!$C$10)))-((Assumptions!$C$7*(1+0.1))*Assumptions!$C$90)))</f>
        <v>0.85003495256166</v>
      </c>
    </row>
    <row r="100" customFormat="false" ht="15" hidden="false" customHeight="false" outlineLevel="0" collapsed="false">
      <c r="A100" s="2" t="s">
        <v>456</v>
      </c>
      <c r="B100" s="17" t="n">
        <f aca="false">-((((Assumptions!$C$7*(1+0.1))*(1+Assumptions!$C$10)+(Capital!$B$8-Assumptions!$C$7*(1+Assumptions!$C$10)))-((Assumptions!$C$7*(1+0.1))*Assumptions!$C$90)))</f>
        <v>-6031740</v>
      </c>
      <c r="C100" s="17" t="n">
        <f aca="false">((('Operating Model'!$B$46+Assumptions!$C$20-(((Assumptions!$C$7*(1+0.1))*Assumptions!$C$16)*Assumptions!$C$14))*(1+Assumptions!$C$53)^0)-(((Assumptions!$C$7*(1+0.1))*Assumptions!$C$90)*Assumptions!$C$89))</f>
        <v>192637.868496</v>
      </c>
      <c r="D100" s="17" t="n">
        <f aca="false">((('Operating Model'!$B$46+Assumptions!$C$20-(((Assumptions!$C$7*(1+0.1))*Assumptions!$C$16)*Assumptions!$C$14))*(1+Assumptions!$C$53)^1)-(((Assumptions!$C$7*(1+0.1))*Assumptions!$C$90)*Assumptions!$C$89))</f>
        <v>219433.71455088</v>
      </c>
      <c r="E100" s="17" t="n">
        <f aca="false">((('Operating Model'!$B$46+Assumptions!$C$20-(((Assumptions!$C$7*(1+0.1))*Assumptions!$C$16)*Assumptions!$C$14))*(1+Assumptions!$C$53)^2)-(-PMT(Assumptions!$C$89,Assumptions!$C$94,((Assumptions!$C$7*(1+0.1))*Assumptions!$C$90))))</f>
        <v>144441.84176732</v>
      </c>
      <c r="F100" s="17" t="n">
        <f aca="false">((('Operating Model'!$B$46+Assumptions!$C$20-(((Assumptions!$C$7*(1+0.1))*Assumptions!$C$16)*Assumptions!$C$14))*(1+Assumptions!$C$53)^3)-(-PMT(Assumptions!$C$89,Assumptions!$C$94,((Assumptions!$C$7*(1+0.1))*Assumptions!$C$90))))</f>
        <v>172869.554846943</v>
      </c>
      <c r="G100" s="17" t="n">
        <f aca="false">((('Operating Model'!$B$46+Assumptions!$C$20-(((Assumptions!$C$7*(1+0.1))*Assumptions!$C$16)*Assumptions!$C$14))*(1+Assumptions!$C$53)^4)-(-PMT(Assumptions!$C$89,Assumptions!$C$94,((Assumptions!$C$7*(1+0.1))*Assumptions!$C$90)))+(((('Operating Model'!$B$46+Assumptions!$C$20-(((Assumptions!$C$7*(1+0.1))*Assumptions!$C$16)*Assumptions!$C$14))*(1+Assumptions!$C$53)^5)/((((Returns!$B$14+Assumptions!$C$20-(((Assumptions!$C$7*(1+0.1))*Assumptions!$C$16)*Assumptions!$C$14))/(Assumptions!$C$7*(1+0.1)))+0.005)+Returns!$B$36))*(1-Assumptions!$C$110)-(((Assumptions!$C$7*(1+0.1))*Assumptions!$C$90)+CUMPRINC(Assumptions!$C$89,Assumptions!$C$94,((Assumptions!$C$7*(1+0.1))*Assumptions!$C$90),1,3,0))))</f>
        <v>3948408.45204631</v>
      </c>
      <c r="H100" s="18" t="n">
        <f aca="false">IFERROR(IRR(B100:G100),"N/A")</f>
        <v>-0.0534911667544057</v>
      </c>
      <c r="I100" s="19" t="n">
        <f aca="false">SUM(C100:G100)/((((Assumptions!$C$7*(1+0.1))*(1+Assumptions!$C$10)+(Capital!$B$8-Assumptions!$C$7*(1+Assumptions!$C$10)))-((Assumptions!$C$7*(1+0.1))*Assumptions!$C$90)))</f>
        <v>0.775529354996643</v>
      </c>
    </row>
    <row r="101" customFormat="false" ht="15" hidden="false" customHeight="false" outlineLevel="0" collapsed="false">
      <c r="A101" s="2" t="s">
        <v>457</v>
      </c>
      <c r="B101" s="17" t="n">
        <f aca="false">-((((Assumptions!$C$7*(1+0.1))*(1+Assumptions!$C$10)+(Capital!$B$8-Assumptions!$C$7*(1+Assumptions!$C$10)))-((Assumptions!$C$7*(1+0.1))*Assumptions!$C$90)))</f>
        <v>-6031740</v>
      </c>
      <c r="C101" s="17" t="n">
        <f aca="false">((('Operating Model'!$B$46+Assumptions!$C$20-(((Assumptions!$C$7*(1+0.1))*Assumptions!$C$16)*Assumptions!$C$14))*(1+Assumptions!$C$53)^0)-(((Assumptions!$C$7*(1+0.1))*Assumptions!$C$90)*Assumptions!$C$89))</f>
        <v>192637.868496</v>
      </c>
      <c r="D101" s="17" t="n">
        <f aca="false">((('Operating Model'!$B$46+Assumptions!$C$20-(((Assumptions!$C$7*(1+0.1))*Assumptions!$C$16)*Assumptions!$C$14))*(1+Assumptions!$C$53)^1)-(((Assumptions!$C$7*(1+0.1))*Assumptions!$C$90)*Assumptions!$C$89))</f>
        <v>219433.71455088</v>
      </c>
      <c r="E101" s="17" t="n">
        <f aca="false">((('Operating Model'!$B$46+Assumptions!$C$20-(((Assumptions!$C$7*(1+0.1))*Assumptions!$C$16)*Assumptions!$C$14))*(1+Assumptions!$C$53)^2)-(-PMT(Assumptions!$C$89,Assumptions!$C$94,((Assumptions!$C$7*(1+0.1))*Assumptions!$C$90))))</f>
        <v>144441.84176732</v>
      </c>
      <c r="F101" s="17" t="n">
        <f aca="false">((('Operating Model'!$B$46+Assumptions!$C$20-(((Assumptions!$C$7*(1+0.1))*Assumptions!$C$16)*Assumptions!$C$14))*(1+Assumptions!$C$53)^3)-(-PMT(Assumptions!$C$89,Assumptions!$C$94,((Assumptions!$C$7*(1+0.1))*Assumptions!$C$90))))</f>
        <v>172869.554846943</v>
      </c>
      <c r="G101" s="17" t="n">
        <f aca="false">((('Operating Model'!$B$46+Assumptions!$C$20-(((Assumptions!$C$7*(1+0.1))*Assumptions!$C$16)*Assumptions!$C$14))*(1+Assumptions!$C$53)^4)-(-PMT(Assumptions!$C$89,Assumptions!$C$94,((Assumptions!$C$7*(1+0.1))*Assumptions!$C$90)))+(((('Operating Model'!$B$46+Assumptions!$C$20-(((Assumptions!$C$7*(1+0.1))*Assumptions!$C$16)*Assumptions!$C$14))*(1+Assumptions!$C$53)^5)/((((Returns!$B$14+Assumptions!$C$20-(((Assumptions!$C$7*(1+0.1))*Assumptions!$C$16)*Assumptions!$C$14))/(Assumptions!$C$7*(1+0.1)))+0.0075)+Returns!$B$36))*(1-Assumptions!$C$110)-(((Assumptions!$C$7*(1+0.1))*Assumptions!$C$90)+CUMPRINC(Assumptions!$C$89,Assumptions!$C$94,((Assumptions!$C$7*(1+0.1))*Assumptions!$C$90),1,3,0))))</f>
        <v>3527491.25776232</v>
      </c>
      <c r="H101" s="18" t="n">
        <f aca="false">IFERROR(IRR(B101:G101),"N/A")</f>
        <v>-0.0730023341262222</v>
      </c>
      <c r="I101" s="19" t="n">
        <f aca="false">SUM(C101:G101)/((((Assumptions!$C$7*(1+0.1))*(1+Assumptions!$C$10)+(Capital!$B$8-Assumptions!$C$7*(1+Assumptions!$C$10)))-((Assumptions!$C$7*(1+0.1))*Assumptions!$C$90)))</f>
        <v>0.705745645107957</v>
      </c>
    </row>
    <row r="102" customFormat="false" ht="15" hidden="false" customHeight="false" outlineLevel="0" collapsed="false">
      <c r="A102" s="2" t="s">
        <v>458</v>
      </c>
      <c r="B102" s="17" t="n">
        <f aca="false">-((((Assumptions!$C$7*(1+0.1))*(1+Assumptions!$C$10)+(Capital!$B$8-Assumptions!$C$7*(1+Assumptions!$C$10)))-((Assumptions!$C$7*(1+0.1))*Assumptions!$C$90)))</f>
        <v>-6031740</v>
      </c>
      <c r="C102" s="17" t="n">
        <f aca="false">((('Operating Model'!$B$46+Assumptions!$C$20-(((Assumptions!$C$7*(1+0.1))*Assumptions!$C$16)*Assumptions!$C$14))*(1+Assumptions!$C$53)^0)-(((Assumptions!$C$7*(1+0.1))*Assumptions!$C$90)*Assumptions!$C$89))</f>
        <v>192637.868496</v>
      </c>
      <c r="D102" s="17" t="n">
        <f aca="false">((('Operating Model'!$B$46+Assumptions!$C$20-(((Assumptions!$C$7*(1+0.1))*Assumptions!$C$16)*Assumptions!$C$14))*(1+Assumptions!$C$53)^1)-(((Assumptions!$C$7*(1+0.1))*Assumptions!$C$90)*Assumptions!$C$89))</f>
        <v>219433.71455088</v>
      </c>
      <c r="E102" s="17" t="n">
        <f aca="false">((('Operating Model'!$B$46+Assumptions!$C$20-(((Assumptions!$C$7*(1+0.1))*Assumptions!$C$16)*Assumptions!$C$14))*(1+Assumptions!$C$53)^2)-(-PMT(Assumptions!$C$89,Assumptions!$C$94,((Assumptions!$C$7*(1+0.1))*Assumptions!$C$90))))</f>
        <v>144441.84176732</v>
      </c>
      <c r="F102" s="17" t="n">
        <f aca="false">((('Operating Model'!$B$46+Assumptions!$C$20-(((Assumptions!$C$7*(1+0.1))*Assumptions!$C$16)*Assumptions!$C$14))*(1+Assumptions!$C$53)^3)-(-PMT(Assumptions!$C$89,Assumptions!$C$94,((Assumptions!$C$7*(1+0.1))*Assumptions!$C$90))))</f>
        <v>172869.554846943</v>
      </c>
      <c r="G102" s="17" t="n">
        <f aca="false">((('Operating Model'!$B$46+Assumptions!$C$20-(((Assumptions!$C$7*(1+0.1))*Assumptions!$C$16)*Assumptions!$C$14))*(1+Assumptions!$C$53)^4)-(-PMT(Assumptions!$C$89,Assumptions!$C$94,((Assumptions!$C$7*(1+0.1))*Assumptions!$C$90)))+(((('Operating Model'!$B$46+Assumptions!$C$20-(((Assumptions!$C$7*(1+0.1))*Assumptions!$C$16)*Assumptions!$C$14))*(1+Assumptions!$C$53)^5)/((((Returns!$B$14+Assumptions!$C$20-(((Assumptions!$C$7*(1+0.1))*Assumptions!$C$16)*Assumptions!$C$14))/(Assumptions!$C$7*(1+0.1)))+0.01)+Returns!$B$36))*(1-Assumptions!$C$110)-(((Assumptions!$C$7*(1+0.1))*Assumptions!$C$90)+CUMPRINC(Assumptions!$C$89,Assumptions!$C$94,((Assumptions!$C$7*(1+0.1))*Assumptions!$C$90),1,3,0))))</f>
        <v>3132430.87550817</v>
      </c>
      <c r="H102" s="18" t="n">
        <f aca="false">IFERROR(IRR(B102:G102),"N/A")</f>
        <v>-0.0930115675835749</v>
      </c>
      <c r="I102" s="19" t="n">
        <f aca="false">SUM(C102:G102)/((((Assumptions!$C$7*(1+0.1))*(1+Assumptions!$C$10)+(Capital!$B$8-Assumptions!$C$7*(1+Assumptions!$C$10)))-((Assumptions!$C$7*(1+0.1))*Assumptions!$C$90)))</f>
        <v>0.640248726763638</v>
      </c>
    </row>
    <row r="103" customFormat="false" ht="15" hidden="false" customHeight="false" outlineLevel="0" collapsed="false">
      <c r="A103" s="2" t="s">
        <v>459</v>
      </c>
      <c r="B103" s="17" t="n">
        <f aca="false">-((Capital!$B$12+(('Unit Mix'!$C$10*(Assumptions!$C$34*(1+-0.2)))-'Unit Mix'!$D$18)))</f>
        <v>-5429832</v>
      </c>
      <c r="C103" s="17" t="n">
        <f aca="false">(('Operating Model'!$B$46+((0-Assumptions!$C$36)*12*'Unit Mix'!$C$10)*Assumptions!$C$38)-(Debt!$C$9*Assumptions!$C$89))</f>
        <v>279985.451496</v>
      </c>
      <c r="D103" s="17" t="n">
        <f aca="false">((('Operating Model'!$B$46+((0-Assumptions!$C$36)*12*'Unit Mix'!$C$10)*Assumptions!$C$38)+((0-Assumptions!$C$36)*12*'Unit Mix'!$C$10))-(Debt!$C$9*Assumptions!$C$89))</f>
        <v>279985.451496</v>
      </c>
      <c r="E103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F103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G103" s="17" t="n">
        <f aca="false">((('Operating Model'!$B$46+((0-Assumptions!$C$36)*12*'Unit Mix'!$C$10)*Assumptions!$C$38)+((0-Assumptions!$C$36)*12*'Unit Mix'!$C$10))-(-PMT(Assumptions!$C$89,Assumptions!$C$94,Debt!$C$9))+((((('Operating Model'!$B$46+((0-Assumptions!$C$36)*12*'Unit Mix'!$C$10)*Assumptions!$C$38)+((0-Assumptions!$C$36)*12*'Unit Mix'!$C$10))*(1+Assumptions!$C$53))/(Returns!$B$34+Returns!$B$36))*(1-Assumptions!$C$110)-(Debt!$C$9+CUMPRINC(Assumptions!$C$89,Assumptions!$C$94,Debt!$C$9,1,3,0))))</f>
        <v>2595958.38404258</v>
      </c>
      <c r="H103" s="18" t="n">
        <f aca="false">IFERROR(IRR(B103:G103),"N/A")</f>
        <v>-0.0939576797767682</v>
      </c>
      <c r="I103" s="19" t="n">
        <f aca="false">SUM(C103:G103)/((Capital!$B$12+(('Unit Mix'!$C$10*(Assumptions!$C$34*(1+-0.2)))-'Unit Mix'!$D$18)))</f>
        <v>0.649996172757709</v>
      </c>
    </row>
    <row r="104" customFormat="false" ht="15" hidden="false" customHeight="false" outlineLevel="0" collapsed="false">
      <c r="A104" s="2" t="s">
        <v>460</v>
      </c>
      <c r="B104" s="17" t="n">
        <f aca="false">-((Capital!$B$12+(('Unit Mix'!$C$10*(Assumptions!$C$34*(1+-0.1)))-'Unit Mix'!$D$18)))</f>
        <v>-5478936</v>
      </c>
      <c r="C104" s="17" t="n">
        <f aca="false">(('Operating Model'!$B$46+((0-Assumptions!$C$36)*12*'Unit Mix'!$C$10)*Assumptions!$C$38)-(Debt!$C$9*Assumptions!$C$89))</f>
        <v>279985.451496</v>
      </c>
      <c r="D104" s="17" t="n">
        <f aca="false">((('Operating Model'!$B$46+((0-Assumptions!$C$36)*12*'Unit Mix'!$C$10)*Assumptions!$C$38)+((0-Assumptions!$C$36)*12*'Unit Mix'!$C$10))-(Debt!$C$9*Assumptions!$C$89))</f>
        <v>279985.451496</v>
      </c>
      <c r="E104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F104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G104" s="17" t="n">
        <f aca="false">((('Operating Model'!$B$46+((0-Assumptions!$C$36)*12*'Unit Mix'!$C$10)*Assumptions!$C$38)+((0-Assumptions!$C$36)*12*'Unit Mix'!$C$10))-(-PMT(Assumptions!$C$89,Assumptions!$C$94,Debt!$C$9))+((((('Operating Model'!$B$46+((0-Assumptions!$C$36)*12*'Unit Mix'!$C$10)*Assumptions!$C$38)+((0-Assumptions!$C$36)*12*'Unit Mix'!$C$10))*(1+Assumptions!$C$53))/(Returns!$B$34+Returns!$B$36))*(1-Assumptions!$C$110)-(Debt!$C$9+CUMPRINC(Assumptions!$C$89,Assumptions!$C$94,Debt!$C$9,1,3,0))))</f>
        <v>2595958.38404258</v>
      </c>
      <c r="H104" s="18" t="n">
        <f aca="false">IFERROR(IRR(B104:G104),"N/A")</f>
        <v>-0.0957921907886272</v>
      </c>
      <c r="I104" s="19" t="n">
        <f aca="false">SUM(C104:G104)/((Capital!$B$12+(('Unit Mix'!$C$10*(Assumptions!$C$34*(1+-0.1)))-'Unit Mix'!$D$18)))</f>
        <v>0.644170696412102</v>
      </c>
    </row>
    <row r="105" customFormat="false" ht="15" hidden="false" customHeight="false" outlineLevel="0" collapsed="false">
      <c r="A105" s="2" t="s">
        <v>461</v>
      </c>
      <c r="B105" s="17" t="n">
        <f aca="false">-((Capital!$B$12+(('Unit Mix'!$C$10*(Assumptions!$C$34*(1+0)))-'Unit Mix'!$D$18)))</f>
        <v>-5528040</v>
      </c>
      <c r="C105" s="17" t="n">
        <f aca="false">(('Operating Model'!$B$46+((0-Assumptions!$C$36)*12*'Unit Mix'!$C$10)*Assumptions!$C$38)-(Debt!$C$9*Assumptions!$C$89))</f>
        <v>279985.451496</v>
      </c>
      <c r="D105" s="17" t="n">
        <f aca="false">((('Operating Model'!$B$46+((0-Assumptions!$C$36)*12*'Unit Mix'!$C$10)*Assumptions!$C$38)+((0-Assumptions!$C$36)*12*'Unit Mix'!$C$10))-(Debt!$C$9*Assumptions!$C$89))</f>
        <v>279985.451496</v>
      </c>
      <c r="E105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F105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G105" s="17" t="n">
        <f aca="false">((('Operating Model'!$B$46+((0-Assumptions!$C$36)*12*'Unit Mix'!$C$10)*Assumptions!$C$38)+((0-Assumptions!$C$36)*12*'Unit Mix'!$C$10))-(-PMT(Assumptions!$C$89,Assumptions!$C$94,Debt!$C$9))+((((('Operating Model'!$B$46+((0-Assumptions!$C$36)*12*'Unit Mix'!$C$10)*Assumptions!$C$38)+((0-Assumptions!$C$36)*12*'Unit Mix'!$C$10))*(1+Assumptions!$C$53))/(Returns!$B$34+Returns!$B$36))*(1-Assumptions!$C$110)-(Debt!$C$9+CUMPRINC(Assumptions!$C$89,Assumptions!$C$94,Debt!$C$9,1,3,0))))</f>
        <v>2595958.38404258</v>
      </c>
      <c r="H105" s="18" t="n">
        <f aca="false">IFERROR(IRR(B105:G105),"N/A")</f>
        <v>-0.0976055232667951</v>
      </c>
      <c r="I105" s="19" t="n">
        <f aca="false">SUM(C105:G105)/((Capital!$B$12+(('Unit Mix'!$C$10*(Assumptions!$C$34*(1+0)))-'Unit Mix'!$D$18)))</f>
        <v>0.63844871215066</v>
      </c>
    </row>
    <row r="106" customFormat="false" ht="15" hidden="false" customHeight="false" outlineLevel="0" collapsed="false">
      <c r="A106" s="2" t="s">
        <v>462</v>
      </c>
      <c r="B106" s="17" t="n">
        <f aca="false">-((Capital!$B$12+(('Unit Mix'!$C$10*(Assumptions!$C$34*(1+0.1)))-'Unit Mix'!$D$18)))</f>
        <v>-5577144</v>
      </c>
      <c r="C106" s="17" t="n">
        <f aca="false">(('Operating Model'!$B$46+((0-Assumptions!$C$36)*12*'Unit Mix'!$C$10)*Assumptions!$C$38)-(Debt!$C$9*Assumptions!$C$89))</f>
        <v>279985.451496</v>
      </c>
      <c r="D106" s="17" t="n">
        <f aca="false">((('Operating Model'!$B$46+((0-Assumptions!$C$36)*12*'Unit Mix'!$C$10)*Assumptions!$C$38)+((0-Assumptions!$C$36)*12*'Unit Mix'!$C$10))-(Debt!$C$9*Assumptions!$C$89))</f>
        <v>279985.451496</v>
      </c>
      <c r="E106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F106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G106" s="17" t="n">
        <f aca="false">((('Operating Model'!$B$46+((0-Assumptions!$C$36)*12*'Unit Mix'!$C$10)*Assumptions!$C$38)+((0-Assumptions!$C$36)*12*'Unit Mix'!$C$10))-(-PMT(Assumptions!$C$89,Assumptions!$C$94,Debt!$C$9))+((((('Operating Model'!$B$46+((0-Assumptions!$C$36)*12*'Unit Mix'!$C$10)*Assumptions!$C$38)+((0-Assumptions!$C$36)*12*'Unit Mix'!$C$10))*(1+Assumptions!$C$53))/(Returns!$B$34+Returns!$B$36))*(1-Assumptions!$C$110)-(Debt!$C$9+CUMPRINC(Assumptions!$C$89,Assumptions!$C$94,Debt!$C$9,1,3,0))))</f>
        <v>2595958.38404258</v>
      </c>
      <c r="H106" s="18" t="n">
        <f aca="false">IFERROR(IRR(B106:G106),"N/A")</f>
        <v>-0.0993981154645402</v>
      </c>
      <c r="I106" s="19" t="n">
        <f aca="false">SUM(C106:G106)/((Capital!$B$12+(('Unit Mix'!$C$10*(Assumptions!$C$34*(1+0.1)))-'Unit Mix'!$D$18)))</f>
        <v>0.632827486383234</v>
      </c>
    </row>
    <row r="107" customFormat="false" ht="15" hidden="false" customHeight="false" outlineLevel="0" collapsed="false">
      <c r="A107" s="2" t="s">
        <v>463</v>
      </c>
      <c r="B107" s="17" t="n">
        <f aca="false">-((Capital!$B$12+(('Unit Mix'!$C$10*(Assumptions!$C$34*(1+0.2)))-'Unit Mix'!$D$18)))</f>
        <v>-5626248</v>
      </c>
      <c r="C107" s="17" t="n">
        <f aca="false">(('Operating Model'!$B$46+((0-Assumptions!$C$36)*12*'Unit Mix'!$C$10)*Assumptions!$C$38)-(Debt!$C$9*Assumptions!$C$89))</f>
        <v>279985.451496</v>
      </c>
      <c r="D107" s="17" t="n">
        <f aca="false">((('Operating Model'!$B$46+((0-Assumptions!$C$36)*12*'Unit Mix'!$C$10)*Assumptions!$C$38)+((0-Assumptions!$C$36)*12*'Unit Mix'!$C$10))-(Debt!$C$9*Assumptions!$C$89))</f>
        <v>279985.451496</v>
      </c>
      <c r="E107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F107" s="17" t="n">
        <f aca="false">((('Operating Model'!$B$46+((0-Assumptions!$C$36)*12*'Unit Mix'!$C$10)*Assumptions!$C$38)+((0-Assumptions!$C$36)*12*'Unit Mix'!$C$10))-(-PMT(Assumptions!$C$89,Assumptions!$C$94,Debt!$C$9)))</f>
        <v>186720.365841377</v>
      </c>
      <c r="G107" s="17" t="n">
        <f aca="false">((('Operating Model'!$B$46+((0-Assumptions!$C$36)*12*'Unit Mix'!$C$10)*Assumptions!$C$38)+((0-Assumptions!$C$36)*12*'Unit Mix'!$C$10))-(-PMT(Assumptions!$C$89,Assumptions!$C$94,Debt!$C$9))+((((('Operating Model'!$B$46+((0-Assumptions!$C$36)*12*'Unit Mix'!$C$10)*Assumptions!$C$38)+((0-Assumptions!$C$36)*12*'Unit Mix'!$C$10))*(1+Assumptions!$C$53))/(Returns!$B$34+Returns!$B$36))*(1-Assumptions!$C$110)-(Debt!$C$9+CUMPRINC(Assumptions!$C$89,Assumptions!$C$94,Debt!$C$9,1,3,0))))</f>
        <v>2595958.38404258</v>
      </c>
      <c r="H107" s="18" t="n">
        <f aca="false">IFERROR(IRR(B107:G107),"N/A")</f>
        <v>-0.101170392659512</v>
      </c>
      <c r="I107" s="19" t="n">
        <f aca="false">SUM(C107:G107)/((Capital!$B$12+(('Unit Mix'!$C$10*(Assumptions!$C$34*(1+0.2)))-'Unit Mix'!$D$18)))</f>
        <v>0.627304380951095</v>
      </c>
    </row>
    <row r="108" customFormat="false" ht="15" hidden="false" customHeight="false" outlineLevel="0" collapsed="false">
      <c r="A108" s="2" t="s">
        <v>464</v>
      </c>
      <c r="B108" s="17" t="n">
        <f aca="false">-((Capital!$B$12+(('Unit Mix'!$C$10*(Assumptions!$C$34*(1+-0.2)))-'Unit Mix'!$D$18)))</f>
        <v>-5429832</v>
      </c>
      <c r="C108" s="17" t="n">
        <f aca="false">(('Operating Model'!$B$46+((50-Assumptions!$C$36)*12*'Unit Mix'!$C$10)*Assumptions!$C$38)-(Debt!$C$9*Assumptions!$C$89))</f>
        <v>287185.451496</v>
      </c>
      <c r="D108" s="17" t="n">
        <f aca="false">((('Operating Model'!$B$46+((50-Assumptions!$C$36)*12*'Unit Mix'!$C$10)*Assumptions!$C$38)+((50-Assumptions!$C$36)*12*'Unit Mix'!$C$10))-(Debt!$C$9*Assumptions!$C$89))</f>
        <v>301585.451496</v>
      </c>
      <c r="E108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F108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G108" s="17" t="n">
        <f aca="false">((('Operating Model'!$B$46+((50-Assumptions!$C$36)*12*'Unit Mix'!$C$10)*Assumptions!$C$38)+((50-Assumptions!$C$36)*12*'Unit Mix'!$C$10))-(-PMT(Assumptions!$C$89,Assumptions!$C$94,Debt!$C$9))+((((('Operating Model'!$B$46+((50-Assumptions!$C$36)*12*'Unit Mix'!$C$10)*Assumptions!$C$38)+((50-Assumptions!$C$36)*12*'Unit Mix'!$C$10))*(1+Assumptions!$C$53))/(Returns!$B$34+Returns!$B$36))*(1-Assumptions!$C$110)-(Debt!$C$9+CUMPRINC(Assumptions!$C$89,Assumptions!$C$94,Debt!$C$9,1,3,0))))</f>
        <v>2878568.68181784</v>
      </c>
      <c r="H108" s="18" t="n">
        <f aca="false">IFERROR(IRR(B108:G108),"N/A")</f>
        <v>-0.0737854326563406</v>
      </c>
      <c r="I108" s="19" t="n">
        <f aca="false">SUM(C108:G108)/((Capital!$B$12+(('Unit Mix'!$C$10*(Assumptions!$C$34*(1+-0.2)))-'Unit Mix'!$D$18)))</f>
        <v>0.715303957192891</v>
      </c>
    </row>
    <row r="109" customFormat="false" ht="15" hidden="false" customHeight="false" outlineLevel="0" collapsed="false">
      <c r="A109" s="2" t="s">
        <v>465</v>
      </c>
      <c r="B109" s="17" t="n">
        <f aca="false">-((Capital!$B$12+(('Unit Mix'!$C$10*(Assumptions!$C$34*(1+-0.1)))-'Unit Mix'!$D$18)))</f>
        <v>-5478936</v>
      </c>
      <c r="C109" s="17" t="n">
        <f aca="false">(('Operating Model'!$B$46+((50-Assumptions!$C$36)*12*'Unit Mix'!$C$10)*Assumptions!$C$38)-(Debt!$C$9*Assumptions!$C$89))</f>
        <v>287185.451496</v>
      </c>
      <c r="D109" s="17" t="n">
        <f aca="false">((('Operating Model'!$B$46+((50-Assumptions!$C$36)*12*'Unit Mix'!$C$10)*Assumptions!$C$38)+((50-Assumptions!$C$36)*12*'Unit Mix'!$C$10))-(Debt!$C$9*Assumptions!$C$89))</f>
        <v>301585.451496</v>
      </c>
      <c r="E109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F109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G109" s="17" t="n">
        <f aca="false">((('Operating Model'!$B$46+((50-Assumptions!$C$36)*12*'Unit Mix'!$C$10)*Assumptions!$C$38)+((50-Assumptions!$C$36)*12*'Unit Mix'!$C$10))-(-PMT(Assumptions!$C$89,Assumptions!$C$94,Debt!$C$9))+((((('Operating Model'!$B$46+((50-Assumptions!$C$36)*12*'Unit Mix'!$C$10)*Assumptions!$C$38)+((50-Assumptions!$C$36)*12*'Unit Mix'!$C$10))*(1+Assumptions!$C$53))/(Returns!$B$34+Returns!$B$36))*(1-Assumptions!$C$110)-(Debt!$C$9+CUMPRINC(Assumptions!$C$89,Assumptions!$C$94,Debt!$C$9,1,3,0))))</f>
        <v>2878568.68181784</v>
      </c>
      <c r="H109" s="18" t="n">
        <f aca="false">IFERROR(IRR(B109:G109),"N/A")</f>
        <v>-0.0756657545725332</v>
      </c>
      <c r="I109" s="19" t="n">
        <f aca="false">SUM(C109:G109)/((Capital!$B$12+(('Unit Mix'!$C$10*(Assumptions!$C$34*(1+-0.1)))-'Unit Mix'!$D$18)))</f>
        <v>0.708893171318773</v>
      </c>
    </row>
    <row r="110" customFormat="false" ht="15" hidden="false" customHeight="false" outlineLevel="0" collapsed="false">
      <c r="A110" s="2" t="s">
        <v>466</v>
      </c>
      <c r="B110" s="17" t="n">
        <f aca="false">-((Capital!$B$12+(('Unit Mix'!$C$10*(Assumptions!$C$34*(1+0)))-'Unit Mix'!$D$18)))</f>
        <v>-5528040</v>
      </c>
      <c r="C110" s="17" t="n">
        <f aca="false">(('Operating Model'!$B$46+((50-Assumptions!$C$36)*12*'Unit Mix'!$C$10)*Assumptions!$C$38)-(Debt!$C$9*Assumptions!$C$89))</f>
        <v>287185.451496</v>
      </c>
      <c r="D110" s="17" t="n">
        <f aca="false">((('Operating Model'!$B$46+((50-Assumptions!$C$36)*12*'Unit Mix'!$C$10)*Assumptions!$C$38)+((50-Assumptions!$C$36)*12*'Unit Mix'!$C$10))-(Debt!$C$9*Assumptions!$C$89))</f>
        <v>301585.451496</v>
      </c>
      <c r="E110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F110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G110" s="17" t="n">
        <f aca="false">((('Operating Model'!$B$46+((50-Assumptions!$C$36)*12*'Unit Mix'!$C$10)*Assumptions!$C$38)+((50-Assumptions!$C$36)*12*'Unit Mix'!$C$10))-(-PMT(Assumptions!$C$89,Assumptions!$C$94,Debt!$C$9))+((((('Operating Model'!$B$46+((50-Assumptions!$C$36)*12*'Unit Mix'!$C$10)*Assumptions!$C$38)+((50-Assumptions!$C$36)*12*'Unit Mix'!$C$10))*(1+Assumptions!$C$53))/(Returns!$B$34+Returns!$B$36))*(1-Assumptions!$C$110)-(Debt!$C$9+CUMPRINC(Assumptions!$C$89,Assumptions!$C$94,Debt!$C$9,1,3,0))))</f>
        <v>2878568.68181784</v>
      </c>
      <c r="H110" s="18" t="n">
        <f aca="false">IFERROR(IRR(B110:G110),"N/A")</f>
        <v>-0.0775243389943691</v>
      </c>
      <c r="I110" s="19" t="n">
        <f aca="false">SUM(C110:G110)/((Capital!$B$12+(('Unit Mix'!$C$10*(Assumptions!$C$34*(1+0)))-'Unit Mix'!$D$18)))</f>
        <v>0.702596275803466</v>
      </c>
    </row>
    <row r="111" customFormat="false" ht="15" hidden="false" customHeight="false" outlineLevel="0" collapsed="false">
      <c r="A111" s="2" t="s">
        <v>467</v>
      </c>
      <c r="B111" s="17" t="n">
        <f aca="false">-((Capital!$B$12+(('Unit Mix'!$C$10*(Assumptions!$C$34*(1+0.1)))-'Unit Mix'!$D$18)))</f>
        <v>-5577144</v>
      </c>
      <c r="C111" s="17" t="n">
        <f aca="false">(('Operating Model'!$B$46+((50-Assumptions!$C$36)*12*'Unit Mix'!$C$10)*Assumptions!$C$38)-(Debt!$C$9*Assumptions!$C$89))</f>
        <v>287185.451496</v>
      </c>
      <c r="D111" s="17" t="n">
        <f aca="false">((('Operating Model'!$B$46+((50-Assumptions!$C$36)*12*'Unit Mix'!$C$10)*Assumptions!$C$38)+((50-Assumptions!$C$36)*12*'Unit Mix'!$C$10))-(Debt!$C$9*Assumptions!$C$89))</f>
        <v>301585.451496</v>
      </c>
      <c r="E111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F111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G111" s="17" t="n">
        <f aca="false">((('Operating Model'!$B$46+((50-Assumptions!$C$36)*12*'Unit Mix'!$C$10)*Assumptions!$C$38)+((50-Assumptions!$C$36)*12*'Unit Mix'!$C$10))-(-PMT(Assumptions!$C$89,Assumptions!$C$94,Debt!$C$9))+((((('Operating Model'!$B$46+((50-Assumptions!$C$36)*12*'Unit Mix'!$C$10)*Assumptions!$C$38)+((50-Assumptions!$C$36)*12*'Unit Mix'!$C$10))*(1+Assumptions!$C$53))/(Returns!$B$34+Returns!$B$36))*(1-Assumptions!$C$110)-(Debt!$C$9+CUMPRINC(Assumptions!$C$89,Assumptions!$C$94,Debt!$C$9,1,3,0))))</f>
        <v>2878568.68181784</v>
      </c>
      <c r="H111" s="18" t="n">
        <f aca="false">IFERROR(IRR(B111:G111),"N/A")</f>
        <v>-0.0793616361997699</v>
      </c>
      <c r="I111" s="19" t="n">
        <f aca="false">SUM(C111:G111)/((Capital!$B$12+(('Unit Mix'!$C$10*(Assumptions!$C$34*(1+0.1)))-'Unit Mix'!$D$18)))</f>
        <v>0.696410262401794</v>
      </c>
    </row>
    <row r="112" customFormat="false" ht="15" hidden="false" customHeight="false" outlineLevel="0" collapsed="false">
      <c r="A112" s="2" t="s">
        <v>468</v>
      </c>
      <c r="B112" s="17" t="n">
        <f aca="false">-((Capital!$B$12+(('Unit Mix'!$C$10*(Assumptions!$C$34*(1+0.2)))-'Unit Mix'!$D$18)))</f>
        <v>-5626248</v>
      </c>
      <c r="C112" s="17" t="n">
        <f aca="false">(('Operating Model'!$B$46+((50-Assumptions!$C$36)*12*'Unit Mix'!$C$10)*Assumptions!$C$38)-(Debt!$C$9*Assumptions!$C$89))</f>
        <v>287185.451496</v>
      </c>
      <c r="D112" s="17" t="n">
        <f aca="false">((('Operating Model'!$B$46+((50-Assumptions!$C$36)*12*'Unit Mix'!$C$10)*Assumptions!$C$38)+((50-Assumptions!$C$36)*12*'Unit Mix'!$C$10))-(Debt!$C$9*Assumptions!$C$89))</f>
        <v>301585.451496</v>
      </c>
      <c r="E112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F112" s="17" t="n">
        <f aca="false">((('Operating Model'!$B$46+((50-Assumptions!$C$36)*12*'Unit Mix'!$C$10)*Assumptions!$C$38)+((50-Assumptions!$C$36)*12*'Unit Mix'!$C$10))-(-PMT(Assumptions!$C$89,Assumptions!$C$94,Debt!$C$9)))</f>
        <v>208320.365841377</v>
      </c>
      <c r="G112" s="17" t="n">
        <f aca="false">((('Operating Model'!$B$46+((50-Assumptions!$C$36)*12*'Unit Mix'!$C$10)*Assumptions!$C$38)+((50-Assumptions!$C$36)*12*'Unit Mix'!$C$10))-(-PMT(Assumptions!$C$89,Assumptions!$C$94,Debt!$C$9))+((((('Operating Model'!$B$46+((50-Assumptions!$C$36)*12*'Unit Mix'!$C$10)*Assumptions!$C$38)+((50-Assumptions!$C$36)*12*'Unit Mix'!$C$10))*(1+Assumptions!$C$53))/(Returns!$B$34+Returns!$B$36))*(1-Assumptions!$C$110)-(Debt!$C$9+CUMPRINC(Assumptions!$C$89,Assumptions!$C$94,Debt!$C$9,1,3,0))))</f>
        <v>2878568.68181784</v>
      </c>
      <c r="H112" s="18" t="n">
        <f aca="false">IFERROR(IRR(B112:G112),"N/A")</f>
        <v>-0.0811780831240502</v>
      </c>
      <c r="I112" s="19" t="n">
        <f aca="false">SUM(C112:G112)/((Capital!$B$12+(('Unit Mix'!$C$10*(Assumptions!$C$34*(1+0.2)))-'Unit Mix'!$D$18)))</f>
        <v>0.690332227888389</v>
      </c>
    </row>
    <row r="113" customFormat="false" ht="15" hidden="false" customHeight="false" outlineLevel="0" collapsed="false">
      <c r="A113" s="2" t="s">
        <v>469</v>
      </c>
      <c r="B113" s="17" t="n">
        <f aca="false">-((Capital!$B$12+(('Unit Mix'!$C$10*(Assumptions!$C$34*(1+-0.2)))-'Unit Mix'!$D$18)))</f>
        <v>-5429832</v>
      </c>
      <c r="C113" s="17" t="n">
        <f aca="false">(('Operating Model'!$B$46+((100-Assumptions!$C$36)*12*'Unit Mix'!$C$10)*Assumptions!$C$38)-(Debt!$C$9*Assumptions!$C$89))</f>
        <v>294385.451496</v>
      </c>
      <c r="D113" s="17" t="n">
        <f aca="false">((('Operating Model'!$B$46+((100-Assumptions!$C$36)*12*'Unit Mix'!$C$10)*Assumptions!$C$38)+((100-Assumptions!$C$36)*12*'Unit Mix'!$C$10))-(Debt!$C$9*Assumptions!$C$89))</f>
        <v>323185.451496</v>
      </c>
      <c r="E113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F113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G113" s="17" t="n">
        <f aca="false">((('Operating Model'!$B$46+((100-Assumptions!$C$36)*12*'Unit Mix'!$C$10)*Assumptions!$C$38)+((100-Assumptions!$C$36)*12*'Unit Mix'!$C$10))-(-PMT(Assumptions!$C$89,Assumptions!$C$94,Debt!$C$9))+((((('Operating Model'!$B$46+((100-Assumptions!$C$36)*12*'Unit Mix'!$C$10)*Assumptions!$C$38)+((100-Assumptions!$C$36)*12*'Unit Mix'!$C$10))*(1+Assumptions!$C$53))/(Returns!$B$34+Returns!$B$36))*(1-Assumptions!$C$110)-(Debt!$C$9+CUMPRINC(Assumptions!$C$89,Assumptions!$C$94,Debt!$C$9,1,3,0))))</f>
        <v>3161178.97959309</v>
      </c>
      <c r="H113" s="18" t="n">
        <f aca="false">IFERROR(IRR(B113:G113),"N/A")</f>
        <v>-0.0550420673352045</v>
      </c>
      <c r="I113" s="19" t="n">
        <f aca="false">SUM(C113:G113)/((Capital!$B$12+(('Unit Mix'!$C$10*(Assumptions!$C$34*(1+-0.2)))-'Unit Mix'!$D$18)))</f>
        <v>0.780611741628073</v>
      </c>
    </row>
    <row r="114" customFormat="false" ht="15" hidden="false" customHeight="false" outlineLevel="0" collapsed="false">
      <c r="A114" s="2" t="s">
        <v>470</v>
      </c>
      <c r="B114" s="17" t="n">
        <f aca="false">-((Capital!$B$12+(('Unit Mix'!$C$10*(Assumptions!$C$34*(1+-0.1)))-'Unit Mix'!$D$18)))</f>
        <v>-5478936</v>
      </c>
      <c r="C114" s="17" t="n">
        <f aca="false">(('Operating Model'!$B$46+((100-Assumptions!$C$36)*12*'Unit Mix'!$C$10)*Assumptions!$C$38)-(Debt!$C$9*Assumptions!$C$89))</f>
        <v>294385.451496</v>
      </c>
      <c r="D114" s="17" t="n">
        <f aca="false">((('Operating Model'!$B$46+((100-Assumptions!$C$36)*12*'Unit Mix'!$C$10)*Assumptions!$C$38)+((100-Assumptions!$C$36)*12*'Unit Mix'!$C$10))-(Debt!$C$9*Assumptions!$C$89))</f>
        <v>323185.451496</v>
      </c>
      <c r="E114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F114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G114" s="17" t="n">
        <f aca="false">((('Operating Model'!$B$46+((100-Assumptions!$C$36)*12*'Unit Mix'!$C$10)*Assumptions!$C$38)+((100-Assumptions!$C$36)*12*'Unit Mix'!$C$10))-(-PMT(Assumptions!$C$89,Assumptions!$C$94,Debt!$C$9))+((((('Operating Model'!$B$46+((100-Assumptions!$C$36)*12*'Unit Mix'!$C$10)*Assumptions!$C$38)+((100-Assumptions!$C$36)*12*'Unit Mix'!$C$10))*(1+Assumptions!$C$53))/(Returns!$B$34+Returns!$B$36))*(1-Assumptions!$C$110)-(Debt!$C$9+CUMPRINC(Assumptions!$C$89,Assumptions!$C$94,Debt!$C$9,1,3,0))))</f>
        <v>3161178.97959309</v>
      </c>
      <c r="H114" s="18" t="n">
        <f aca="false">IFERROR(IRR(B114:G114),"N/A")</f>
        <v>-0.0569654575807504</v>
      </c>
      <c r="I114" s="19" t="n">
        <f aca="false">SUM(C114:G114)/((Capital!$B$12+(('Unit Mix'!$C$10*(Assumptions!$C$34*(1+-0.1)))-'Unit Mix'!$D$18)))</f>
        <v>0.773615646225443</v>
      </c>
    </row>
    <row r="115" customFormat="false" ht="15" hidden="false" customHeight="false" outlineLevel="0" collapsed="false">
      <c r="A115" s="2" t="s">
        <v>471</v>
      </c>
      <c r="B115" s="17" t="n">
        <f aca="false">-((Capital!$B$12+(('Unit Mix'!$C$10*(Assumptions!$C$34*(1+0)))-'Unit Mix'!$D$18)))</f>
        <v>-5528040</v>
      </c>
      <c r="C115" s="17" t="n">
        <f aca="false">(('Operating Model'!$B$46+((100-Assumptions!$C$36)*12*'Unit Mix'!$C$10)*Assumptions!$C$38)-(Debt!$C$9*Assumptions!$C$89))</f>
        <v>294385.451496</v>
      </c>
      <c r="D115" s="17" t="n">
        <f aca="false">((('Operating Model'!$B$46+((100-Assumptions!$C$36)*12*'Unit Mix'!$C$10)*Assumptions!$C$38)+((100-Assumptions!$C$36)*12*'Unit Mix'!$C$10))-(Debt!$C$9*Assumptions!$C$89))</f>
        <v>323185.451496</v>
      </c>
      <c r="E115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F115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G115" s="17" t="n">
        <f aca="false">((('Operating Model'!$B$46+((100-Assumptions!$C$36)*12*'Unit Mix'!$C$10)*Assumptions!$C$38)+((100-Assumptions!$C$36)*12*'Unit Mix'!$C$10))-(-PMT(Assumptions!$C$89,Assumptions!$C$94,Debt!$C$9))+((((('Operating Model'!$B$46+((100-Assumptions!$C$36)*12*'Unit Mix'!$C$10)*Assumptions!$C$38)+((100-Assumptions!$C$36)*12*'Unit Mix'!$C$10))*(1+Assumptions!$C$53))/(Returns!$B$34+Returns!$B$36))*(1-Assumptions!$C$110)-(Debt!$C$9+CUMPRINC(Assumptions!$C$89,Assumptions!$C$94,Debt!$C$9,1,3,0))))</f>
        <v>3161178.97959309</v>
      </c>
      <c r="H115" s="18" t="n">
        <f aca="false">IFERROR(IRR(B115:G115),"N/A")</f>
        <v>-0.0588665814180843</v>
      </c>
      <c r="I115" s="19" t="n">
        <f aca="false">SUM(C115:G115)/((Capital!$B$12+(('Unit Mix'!$C$10*(Assumptions!$C$34*(1+0)))-'Unit Mix'!$D$18)))</f>
        <v>0.766743839456271</v>
      </c>
    </row>
    <row r="116" customFormat="false" ht="15" hidden="false" customHeight="false" outlineLevel="0" collapsed="false">
      <c r="A116" s="2" t="s">
        <v>472</v>
      </c>
      <c r="B116" s="17" t="n">
        <f aca="false">-((Capital!$B$12+(('Unit Mix'!$C$10*(Assumptions!$C$34*(1+0.1)))-'Unit Mix'!$D$18)))</f>
        <v>-5577144</v>
      </c>
      <c r="C116" s="17" t="n">
        <f aca="false">(('Operating Model'!$B$46+((100-Assumptions!$C$36)*12*'Unit Mix'!$C$10)*Assumptions!$C$38)-(Debt!$C$9*Assumptions!$C$89))</f>
        <v>294385.451496</v>
      </c>
      <c r="D116" s="17" t="n">
        <f aca="false">((('Operating Model'!$B$46+((100-Assumptions!$C$36)*12*'Unit Mix'!$C$10)*Assumptions!$C$38)+((100-Assumptions!$C$36)*12*'Unit Mix'!$C$10))-(Debt!$C$9*Assumptions!$C$89))</f>
        <v>323185.451496</v>
      </c>
      <c r="E116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F116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G116" s="17" t="n">
        <f aca="false">((('Operating Model'!$B$46+((100-Assumptions!$C$36)*12*'Unit Mix'!$C$10)*Assumptions!$C$38)+((100-Assumptions!$C$36)*12*'Unit Mix'!$C$10))-(-PMT(Assumptions!$C$89,Assumptions!$C$94,Debt!$C$9))+((((('Operating Model'!$B$46+((100-Assumptions!$C$36)*12*'Unit Mix'!$C$10)*Assumptions!$C$38)+((100-Assumptions!$C$36)*12*'Unit Mix'!$C$10))*(1+Assumptions!$C$53))/(Returns!$B$34+Returns!$B$36))*(1-Assumptions!$C$110)-(Debt!$C$9+CUMPRINC(Assumptions!$C$89,Assumptions!$C$94,Debt!$C$9,1,3,0))))</f>
        <v>3161178.97959309</v>
      </c>
      <c r="H116" s="18" t="n">
        <f aca="false">IFERROR(IRR(B116:G116),"N/A")</f>
        <v>-0.0607459005581106</v>
      </c>
      <c r="I116" s="19" t="n">
        <f aca="false">SUM(C116:G116)/((Capital!$B$12+(('Unit Mix'!$C$10*(Assumptions!$C$34*(1+0.1)))-'Unit Mix'!$D$18)))</f>
        <v>0.759993038420354</v>
      </c>
    </row>
    <row r="117" customFormat="false" ht="15" hidden="false" customHeight="false" outlineLevel="0" collapsed="false">
      <c r="A117" s="2" t="s">
        <v>473</v>
      </c>
      <c r="B117" s="17" t="n">
        <f aca="false">-((Capital!$B$12+(('Unit Mix'!$C$10*(Assumptions!$C$34*(1+0.2)))-'Unit Mix'!$D$18)))</f>
        <v>-5626248</v>
      </c>
      <c r="C117" s="17" t="n">
        <f aca="false">(('Operating Model'!$B$46+((100-Assumptions!$C$36)*12*'Unit Mix'!$C$10)*Assumptions!$C$38)-(Debt!$C$9*Assumptions!$C$89))</f>
        <v>294385.451496</v>
      </c>
      <c r="D117" s="17" t="n">
        <f aca="false">((('Operating Model'!$B$46+((100-Assumptions!$C$36)*12*'Unit Mix'!$C$10)*Assumptions!$C$38)+((100-Assumptions!$C$36)*12*'Unit Mix'!$C$10))-(Debt!$C$9*Assumptions!$C$89))</f>
        <v>323185.451496</v>
      </c>
      <c r="E117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F117" s="17" t="n">
        <f aca="false">((('Operating Model'!$B$46+((100-Assumptions!$C$36)*12*'Unit Mix'!$C$10)*Assumptions!$C$38)+((100-Assumptions!$C$36)*12*'Unit Mix'!$C$10))-(-PMT(Assumptions!$C$89,Assumptions!$C$94,Debt!$C$9)))</f>
        <v>229920.365841377</v>
      </c>
      <c r="G117" s="17" t="n">
        <f aca="false">((('Operating Model'!$B$46+((100-Assumptions!$C$36)*12*'Unit Mix'!$C$10)*Assumptions!$C$38)+((100-Assumptions!$C$36)*12*'Unit Mix'!$C$10))-(-PMT(Assumptions!$C$89,Assumptions!$C$94,Debt!$C$9))+((((('Operating Model'!$B$46+((100-Assumptions!$C$36)*12*'Unit Mix'!$C$10)*Assumptions!$C$38)+((100-Assumptions!$C$36)*12*'Unit Mix'!$C$10))*(1+Assumptions!$C$53))/(Returns!$B$34+Returns!$B$36))*(1-Assumptions!$C$110)-(Debt!$C$9+CUMPRINC(Assumptions!$C$89,Assumptions!$C$94,Debt!$C$9,1,3,0))))</f>
        <v>3161178.97959309</v>
      </c>
      <c r="H117" s="18" t="n">
        <f aca="false">IFERROR(IRR(B117:G117),"N/A")</f>
        <v>-0.0626038630188368</v>
      </c>
      <c r="I117" s="19" t="n">
        <f aca="false">SUM(C117:G117)/((Capital!$B$12+(('Unit Mix'!$C$10*(Assumptions!$C$34*(1+0.2)))-'Unit Mix'!$D$18)))</f>
        <v>0.753360074825682</v>
      </c>
    </row>
    <row r="118" customFormat="false" ht="15" hidden="false" customHeight="false" outlineLevel="0" collapsed="false">
      <c r="A118" s="2" t="s">
        <v>474</v>
      </c>
      <c r="B118" s="17" t="n">
        <f aca="false">-((Capital!$B$12+(('Unit Mix'!$C$10*(Assumptions!$C$34*(1+-0.2)))-'Unit Mix'!$D$18)))</f>
        <v>-5429832</v>
      </c>
      <c r="C118" s="17" t="n">
        <f aca="false">(('Operating Model'!$B$46+((175-Assumptions!$C$36)*12*'Unit Mix'!$C$10)*Assumptions!$C$38)-(Debt!$C$9*Assumptions!$C$89))</f>
        <v>305185.451496</v>
      </c>
      <c r="D118" s="17" t="n">
        <f aca="false">((('Operating Model'!$B$46+((175-Assumptions!$C$36)*12*'Unit Mix'!$C$10)*Assumptions!$C$38)+((175-Assumptions!$C$36)*12*'Unit Mix'!$C$10))-(Debt!$C$9*Assumptions!$C$89))</f>
        <v>355585.451496</v>
      </c>
      <c r="E118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F118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G118" s="17" t="n">
        <f aca="false">((('Operating Model'!$B$46+((175-Assumptions!$C$36)*12*'Unit Mix'!$C$10)*Assumptions!$C$38)+((175-Assumptions!$C$36)*12*'Unit Mix'!$C$10))-(-PMT(Assumptions!$C$89,Assumptions!$C$94,Debt!$C$9))+((((('Operating Model'!$B$46+((175-Assumptions!$C$36)*12*'Unit Mix'!$C$10)*Assumptions!$C$38)+((175-Assumptions!$C$36)*12*'Unit Mix'!$C$10))*(1+Assumptions!$C$53))/(Returns!$B$34+Returns!$B$36))*(1-Assumptions!$C$110)-(Debt!$C$9+CUMPRINC(Assumptions!$C$89,Assumptions!$C$94,Debt!$C$9,1,3,0))))</f>
        <v>3585094.42625597</v>
      </c>
      <c r="H118" s="18" t="n">
        <f aca="false">IFERROR(IRR(B118:G118),"N/A")</f>
        <v>-0.029136573264626</v>
      </c>
      <c r="I118" s="19" t="n">
        <f aca="false">SUM(C118:G118)/((Capital!$B$12+(('Unit Mix'!$C$10*(Assumptions!$C$34*(1+-0.2)))-'Unit Mix'!$D$18)))</f>
        <v>0.878573418280847</v>
      </c>
    </row>
    <row r="119" customFormat="false" ht="15" hidden="false" customHeight="false" outlineLevel="0" collapsed="false">
      <c r="A119" s="2" t="s">
        <v>475</v>
      </c>
      <c r="B119" s="17" t="n">
        <f aca="false">-((Capital!$B$12+(('Unit Mix'!$C$10*(Assumptions!$C$34*(1+-0.1)))-'Unit Mix'!$D$18)))</f>
        <v>-5478936</v>
      </c>
      <c r="C119" s="17" t="n">
        <f aca="false">(('Operating Model'!$B$46+((175-Assumptions!$C$36)*12*'Unit Mix'!$C$10)*Assumptions!$C$38)-(Debt!$C$9*Assumptions!$C$89))</f>
        <v>305185.451496</v>
      </c>
      <c r="D119" s="17" t="n">
        <f aca="false">((('Operating Model'!$B$46+((175-Assumptions!$C$36)*12*'Unit Mix'!$C$10)*Assumptions!$C$38)+((175-Assumptions!$C$36)*12*'Unit Mix'!$C$10))-(Debt!$C$9*Assumptions!$C$89))</f>
        <v>355585.451496</v>
      </c>
      <c r="E119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F119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G119" s="17" t="n">
        <f aca="false">((('Operating Model'!$B$46+((175-Assumptions!$C$36)*12*'Unit Mix'!$C$10)*Assumptions!$C$38)+((175-Assumptions!$C$36)*12*'Unit Mix'!$C$10))-(-PMT(Assumptions!$C$89,Assumptions!$C$94,Debt!$C$9))+((((('Operating Model'!$B$46+((175-Assumptions!$C$36)*12*'Unit Mix'!$C$10)*Assumptions!$C$38)+((175-Assumptions!$C$36)*12*'Unit Mix'!$C$10))*(1+Assumptions!$C$53))/(Returns!$B$34+Returns!$B$36))*(1-Assumptions!$C$110)-(Debt!$C$9+CUMPRINC(Assumptions!$C$89,Assumptions!$C$94,Debt!$C$9,1,3,0))))</f>
        <v>3585094.42625597</v>
      </c>
      <c r="H119" s="18" t="n">
        <f aca="false">IFERROR(IRR(B119:G119),"N/A")</f>
        <v>-0.0311203134803283</v>
      </c>
      <c r="I119" s="19" t="n">
        <f aca="false">SUM(C119:G119)/((Capital!$B$12+(('Unit Mix'!$C$10*(Assumptions!$C$34*(1+-0.1)))-'Unit Mix'!$D$18)))</f>
        <v>0.870699358585449</v>
      </c>
    </row>
    <row r="120" customFormat="false" ht="15" hidden="false" customHeight="false" outlineLevel="0" collapsed="false">
      <c r="A120" s="2" t="s">
        <v>476</v>
      </c>
      <c r="B120" s="17" t="n">
        <f aca="false">-((Capital!$B$12+(('Unit Mix'!$C$10*(Assumptions!$C$34*(1+0)))-'Unit Mix'!$D$18)))</f>
        <v>-5528040</v>
      </c>
      <c r="C120" s="17" t="n">
        <f aca="false">(('Operating Model'!$B$46+((175-Assumptions!$C$36)*12*'Unit Mix'!$C$10)*Assumptions!$C$38)-(Debt!$C$9*Assumptions!$C$89))</f>
        <v>305185.451496</v>
      </c>
      <c r="D120" s="17" t="n">
        <f aca="false">((('Operating Model'!$B$46+((175-Assumptions!$C$36)*12*'Unit Mix'!$C$10)*Assumptions!$C$38)+((175-Assumptions!$C$36)*12*'Unit Mix'!$C$10))-(Debt!$C$9*Assumptions!$C$89))</f>
        <v>355585.451496</v>
      </c>
      <c r="E120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F120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G120" s="17" t="n">
        <f aca="false">((('Operating Model'!$B$46+((175-Assumptions!$C$36)*12*'Unit Mix'!$C$10)*Assumptions!$C$38)+((175-Assumptions!$C$36)*12*'Unit Mix'!$C$10))-(-PMT(Assumptions!$C$89,Assumptions!$C$94,Debt!$C$9))+((((('Operating Model'!$B$46+((175-Assumptions!$C$36)*12*'Unit Mix'!$C$10)*Assumptions!$C$38)+((175-Assumptions!$C$36)*12*'Unit Mix'!$C$10))*(1+Assumptions!$C$53))/(Returns!$B$34+Returns!$B$36))*(1-Assumptions!$C$110)-(Debt!$C$9+CUMPRINC(Assumptions!$C$89,Assumptions!$C$94,Debt!$C$9,1,3,0))))</f>
        <v>3585094.42625597</v>
      </c>
      <c r="H120" s="18" t="n">
        <f aca="false">IFERROR(IRR(B120:G120),"N/A")</f>
        <v>-0.0330810405541972</v>
      </c>
      <c r="I120" s="19" t="n">
        <f aca="false">SUM(C120:G120)/((Capital!$B$12+(('Unit Mix'!$C$10*(Assumptions!$C$34*(1+0)))-'Unit Mix'!$D$18)))</f>
        <v>0.862965184935479</v>
      </c>
    </row>
    <row r="121" customFormat="false" ht="15" hidden="false" customHeight="false" outlineLevel="0" collapsed="false">
      <c r="A121" s="2" t="s">
        <v>477</v>
      </c>
      <c r="B121" s="17" t="n">
        <f aca="false">-((Capital!$B$12+(('Unit Mix'!$C$10*(Assumptions!$C$34*(1+0.1)))-'Unit Mix'!$D$18)))</f>
        <v>-5577144</v>
      </c>
      <c r="C121" s="17" t="n">
        <f aca="false">(('Operating Model'!$B$46+((175-Assumptions!$C$36)*12*'Unit Mix'!$C$10)*Assumptions!$C$38)-(Debt!$C$9*Assumptions!$C$89))</f>
        <v>305185.451496</v>
      </c>
      <c r="D121" s="17" t="n">
        <f aca="false">((('Operating Model'!$B$46+((175-Assumptions!$C$36)*12*'Unit Mix'!$C$10)*Assumptions!$C$38)+((175-Assumptions!$C$36)*12*'Unit Mix'!$C$10))-(Debt!$C$9*Assumptions!$C$89))</f>
        <v>355585.451496</v>
      </c>
      <c r="E121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F121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G121" s="17" t="n">
        <f aca="false">((('Operating Model'!$B$46+((175-Assumptions!$C$36)*12*'Unit Mix'!$C$10)*Assumptions!$C$38)+((175-Assumptions!$C$36)*12*'Unit Mix'!$C$10))-(-PMT(Assumptions!$C$89,Assumptions!$C$94,Debt!$C$9))+((((('Operating Model'!$B$46+((175-Assumptions!$C$36)*12*'Unit Mix'!$C$10)*Assumptions!$C$38)+((175-Assumptions!$C$36)*12*'Unit Mix'!$C$10))*(1+Assumptions!$C$53))/(Returns!$B$34+Returns!$B$36))*(1-Assumptions!$C$110)-(Debt!$C$9+CUMPRINC(Assumptions!$C$89,Assumptions!$C$94,Debt!$C$9,1,3,0))))</f>
        <v>3585094.42625597</v>
      </c>
      <c r="H121" s="18" t="n">
        <f aca="false">IFERROR(IRR(B121:G121),"N/A")</f>
        <v>-0.0350192324278362</v>
      </c>
      <c r="I121" s="19" t="n">
        <f aca="false">SUM(C121:G121)/((Capital!$B$12+(('Unit Mix'!$C$10*(Assumptions!$C$34*(1+0.1)))-'Unit Mix'!$D$18)))</f>
        <v>0.855367202448193</v>
      </c>
    </row>
    <row r="122" customFormat="false" ht="15" hidden="false" customHeight="false" outlineLevel="0" collapsed="false">
      <c r="A122" s="2" t="s">
        <v>478</v>
      </c>
      <c r="B122" s="17" t="n">
        <f aca="false">-((Capital!$B$12+(('Unit Mix'!$C$10*(Assumptions!$C$34*(1+0.2)))-'Unit Mix'!$D$18)))</f>
        <v>-5626248</v>
      </c>
      <c r="C122" s="17" t="n">
        <f aca="false">(('Operating Model'!$B$46+((175-Assumptions!$C$36)*12*'Unit Mix'!$C$10)*Assumptions!$C$38)-(Debt!$C$9*Assumptions!$C$89))</f>
        <v>305185.451496</v>
      </c>
      <c r="D122" s="17" t="n">
        <f aca="false">((('Operating Model'!$B$46+((175-Assumptions!$C$36)*12*'Unit Mix'!$C$10)*Assumptions!$C$38)+((175-Assumptions!$C$36)*12*'Unit Mix'!$C$10))-(Debt!$C$9*Assumptions!$C$89))</f>
        <v>355585.451496</v>
      </c>
      <c r="E122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F122" s="17" t="n">
        <f aca="false">((('Operating Model'!$B$46+((175-Assumptions!$C$36)*12*'Unit Mix'!$C$10)*Assumptions!$C$38)+((175-Assumptions!$C$36)*12*'Unit Mix'!$C$10))-(-PMT(Assumptions!$C$89,Assumptions!$C$94,Debt!$C$9)))</f>
        <v>262320.365841377</v>
      </c>
      <c r="G122" s="17" t="n">
        <f aca="false">((('Operating Model'!$B$46+((175-Assumptions!$C$36)*12*'Unit Mix'!$C$10)*Assumptions!$C$38)+((175-Assumptions!$C$36)*12*'Unit Mix'!$C$10))-(-PMT(Assumptions!$C$89,Assumptions!$C$94,Debt!$C$9))+((((('Operating Model'!$B$46+((175-Assumptions!$C$36)*12*'Unit Mix'!$C$10)*Assumptions!$C$38)+((175-Assumptions!$C$36)*12*'Unit Mix'!$C$10))*(1+Assumptions!$C$53))/(Returns!$B$34+Returns!$B$36))*(1-Assumptions!$C$110)-(Debt!$C$9+CUMPRINC(Assumptions!$C$89,Assumptions!$C$94,Debt!$C$9,1,3,0))))</f>
        <v>3585094.42625597</v>
      </c>
      <c r="H122" s="18" t="n">
        <f aca="false">IFERROR(IRR(B122:G122),"N/A")</f>
        <v>-0.0369353528504514</v>
      </c>
      <c r="I122" s="19" t="n">
        <f aca="false">SUM(C122:G122)/((Capital!$B$12+(('Unit Mix'!$C$10*(Assumptions!$C$34*(1+0.2)))-'Unit Mix'!$D$18)))</f>
        <v>0.847901845231622</v>
      </c>
    </row>
    <row r="123" customFormat="false" ht="15" hidden="false" customHeight="false" outlineLevel="0" collapsed="false">
      <c r="A123" s="2" t="s">
        <v>479</v>
      </c>
      <c r="B123" s="17" t="n">
        <f aca="false">-((Capital!$B$12+(('Unit Mix'!$C$10*(Assumptions!$C$34*(1+-0.2)))-'Unit Mix'!$D$18)))</f>
        <v>-5429832</v>
      </c>
      <c r="C123" s="17" t="n">
        <f aca="false">(('Operating Model'!$B$46+((250-Assumptions!$C$36)*12*'Unit Mix'!$C$10)*Assumptions!$C$38)-(Debt!$C$9*Assumptions!$C$89))</f>
        <v>315985.451496</v>
      </c>
      <c r="D123" s="17" t="n">
        <f aca="false">((('Operating Model'!$B$46+((250-Assumptions!$C$36)*12*'Unit Mix'!$C$10)*Assumptions!$C$38)+((250-Assumptions!$C$36)*12*'Unit Mix'!$C$10))-(Debt!$C$9*Assumptions!$C$89))</f>
        <v>387985.451496</v>
      </c>
      <c r="E123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F123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G123" s="17" t="n">
        <f aca="false">((('Operating Model'!$B$46+((250-Assumptions!$C$36)*12*'Unit Mix'!$C$10)*Assumptions!$C$38)+((250-Assumptions!$C$36)*12*'Unit Mix'!$C$10))-(-PMT(Assumptions!$C$89,Assumptions!$C$94,Debt!$C$9))+((((('Operating Model'!$B$46+((250-Assumptions!$C$36)*12*'Unit Mix'!$C$10)*Assumptions!$C$38)+((250-Assumptions!$C$36)*12*'Unit Mix'!$C$10))*(1+Assumptions!$C$53))/(Returns!$B$34+Returns!$B$36))*(1-Assumptions!$C$110)-(Debt!$C$9+CUMPRINC(Assumptions!$C$89,Assumptions!$C$94,Debt!$C$9,1,3,0))))</f>
        <v>4009009.87291885</v>
      </c>
      <c r="H123" s="18" t="n">
        <f aca="false">IFERROR(IRR(B123:G123),"N/A")</f>
        <v>-0.0054071873031647</v>
      </c>
      <c r="I123" s="19" t="n">
        <f aca="false">SUM(C123:G123)/((Capital!$B$12+(('Unit Mix'!$C$10*(Assumptions!$C$34*(1+-0.2)))-'Unit Mix'!$D$18)))</f>
        <v>0.97653509493362</v>
      </c>
    </row>
    <row r="124" customFormat="false" ht="15" hidden="false" customHeight="false" outlineLevel="0" collapsed="false">
      <c r="A124" s="2" t="s">
        <v>480</v>
      </c>
      <c r="B124" s="17" t="n">
        <f aca="false">-((Capital!$B$12+(('Unit Mix'!$C$10*(Assumptions!$C$34*(1+-0.1)))-'Unit Mix'!$D$18)))</f>
        <v>-5478936</v>
      </c>
      <c r="C124" s="17" t="n">
        <f aca="false">(('Operating Model'!$B$46+((250-Assumptions!$C$36)*12*'Unit Mix'!$C$10)*Assumptions!$C$38)-(Debt!$C$9*Assumptions!$C$89))</f>
        <v>315985.451496</v>
      </c>
      <c r="D124" s="17" t="n">
        <f aca="false">((('Operating Model'!$B$46+((250-Assumptions!$C$36)*12*'Unit Mix'!$C$10)*Assumptions!$C$38)+((250-Assumptions!$C$36)*12*'Unit Mix'!$C$10))-(Debt!$C$9*Assumptions!$C$89))</f>
        <v>387985.451496</v>
      </c>
      <c r="E124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F124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G124" s="17" t="n">
        <f aca="false">((('Operating Model'!$B$46+((250-Assumptions!$C$36)*12*'Unit Mix'!$C$10)*Assumptions!$C$38)+((250-Assumptions!$C$36)*12*'Unit Mix'!$C$10))-(-PMT(Assumptions!$C$89,Assumptions!$C$94,Debt!$C$9))+((((('Operating Model'!$B$46+((250-Assumptions!$C$36)*12*'Unit Mix'!$C$10)*Assumptions!$C$38)+((250-Assumptions!$C$36)*12*'Unit Mix'!$C$10))*(1+Assumptions!$C$53))/(Returns!$B$34+Returns!$B$36))*(1-Assumptions!$C$110)-(Debt!$C$9+CUMPRINC(Assumptions!$C$89,Assumptions!$C$94,Debt!$C$9,1,3,0))))</f>
        <v>4009009.87291885</v>
      </c>
      <c r="H124" s="18" t="n">
        <f aca="false">IFERROR(IRR(B124:G124),"N/A")</f>
        <v>-0.00744707773188132</v>
      </c>
      <c r="I124" s="19" t="n">
        <f aca="false">SUM(C124:G124)/((Capital!$B$12+(('Unit Mix'!$C$10*(Assumptions!$C$34*(1+-0.1)))-'Unit Mix'!$D$18)))</f>
        <v>0.967783070945455</v>
      </c>
    </row>
    <row r="125" customFormat="false" ht="15" hidden="false" customHeight="false" outlineLevel="0" collapsed="false">
      <c r="A125" s="2" t="s">
        <v>481</v>
      </c>
      <c r="B125" s="17" t="n">
        <f aca="false">-((Capital!$B$12+(('Unit Mix'!$C$10*(Assumptions!$C$34*(1+0)))-'Unit Mix'!$D$18)))</f>
        <v>-5528040</v>
      </c>
      <c r="C125" s="17" t="n">
        <f aca="false">(('Operating Model'!$B$46+((250-Assumptions!$C$36)*12*'Unit Mix'!$C$10)*Assumptions!$C$38)-(Debt!$C$9*Assumptions!$C$89))</f>
        <v>315985.451496</v>
      </c>
      <c r="D125" s="17" t="n">
        <f aca="false">((('Operating Model'!$B$46+((250-Assumptions!$C$36)*12*'Unit Mix'!$C$10)*Assumptions!$C$38)+((250-Assumptions!$C$36)*12*'Unit Mix'!$C$10))-(Debt!$C$9*Assumptions!$C$89))</f>
        <v>387985.451496</v>
      </c>
      <c r="E125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F125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G125" s="17" t="n">
        <f aca="false">((('Operating Model'!$B$46+((250-Assumptions!$C$36)*12*'Unit Mix'!$C$10)*Assumptions!$C$38)+((250-Assumptions!$C$36)*12*'Unit Mix'!$C$10))-(-PMT(Assumptions!$C$89,Assumptions!$C$94,Debt!$C$9))+((((('Operating Model'!$B$46+((250-Assumptions!$C$36)*12*'Unit Mix'!$C$10)*Assumptions!$C$38)+((250-Assumptions!$C$36)*12*'Unit Mix'!$C$10))*(1+Assumptions!$C$53))/(Returns!$B$34+Returns!$B$36))*(1-Assumptions!$C$110)-(Debt!$C$9+CUMPRINC(Assumptions!$C$89,Assumptions!$C$94,Debt!$C$9,1,3,0))))</f>
        <v>4009009.87291885</v>
      </c>
      <c r="H125" s="18" t="n">
        <f aca="false">IFERROR(IRR(B125:G125),"N/A")</f>
        <v>-0.00946325438416861</v>
      </c>
      <c r="I125" s="19" t="n">
        <f aca="false">SUM(C125:G125)/((Capital!$B$12+(('Unit Mix'!$C$10*(Assumptions!$C$34*(1+0)))-'Unit Mix'!$D$18)))</f>
        <v>0.959186530414687</v>
      </c>
    </row>
    <row r="126" customFormat="false" ht="15" hidden="false" customHeight="false" outlineLevel="0" collapsed="false">
      <c r="A126" s="2" t="s">
        <v>482</v>
      </c>
      <c r="B126" s="17" t="n">
        <f aca="false">-((Capital!$B$12+(('Unit Mix'!$C$10*(Assumptions!$C$34*(1+0.1)))-'Unit Mix'!$D$18)))</f>
        <v>-5577144</v>
      </c>
      <c r="C126" s="17" t="n">
        <f aca="false">(('Operating Model'!$B$46+((250-Assumptions!$C$36)*12*'Unit Mix'!$C$10)*Assumptions!$C$38)-(Debt!$C$9*Assumptions!$C$89))</f>
        <v>315985.451496</v>
      </c>
      <c r="D126" s="17" t="n">
        <f aca="false">((('Operating Model'!$B$46+((250-Assumptions!$C$36)*12*'Unit Mix'!$C$10)*Assumptions!$C$38)+((250-Assumptions!$C$36)*12*'Unit Mix'!$C$10))-(Debt!$C$9*Assumptions!$C$89))</f>
        <v>387985.451496</v>
      </c>
      <c r="E126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F126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G126" s="17" t="n">
        <f aca="false">((('Operating Model'!$B$46+((250-Assumptions!$C$36)*12*'Unit Mix'!$C$10)*Assumptions!$C$38)+((250-Assumptions!$C$36)*12*'Unit Mix'!$C$10))-(-PMT(Assumptions!$C$89,Assumptions!$C$94,Debt!$C$9))+((((('Operating Model'!$B$46+((250-Assumptions!$C$36)*12*'Unit Mix'!$C$10)*Assumptions!$C$38)+((250-Assumptions!$C$36)*12*'Unit Mix'!$C$10))*(1+Assumptions!$C$53))/(Returns!$B$34+Returns!$B$36))*(1-Assumptions!$C$110)-(Debt!$C$9+CUMPRINC(Assumptions!$C$89,Assumptions!$C$94,Debt!$C$9,1,3,0))))</f>
        <v>4009009.87291885</v>
      </c>
      <c r="H126" s="18" t="n">
        <f aca="false">IFERROR(IRR(B126:G126),"N/A")</f>
        <v>-0.0114562105239501</v>
      </c>
      <c r="I126" s="19" t="n">
        <f aca="false">SUM(C126:G126)/((Capital!$B$12+(('Unit Mix'!$C$10*(Assumptions!$C$34*(1+0.1)))-'Unit Mix'!$D$18)))</f>
        <v>0.950741366476033</v>
      </c>
    </row>
    <row r="127" customFormat="false" ht="15" hidden="false" customHeight="false" outlineLevel="0" collapsed="false">
      <c r="A127" s="2" t="s">
        <v>483</v>
      </c>
      <c r="B127" s="17" t="n">
        <f aca="false">-((Capital!$B$12+(('Unit Mix'!$C$10*(Assumptions!$C$34*(1+0.2)))-'Unit Mix'!$D$18)))</f>
        <v>-5626248</v>
      </c>
      <c r="C127" s="17" t="n">
        <f aca="false">(('Operating Model'!$B$46+((250-Assumptions!$C$36)*12*'Unit Mix'!$C$10)*Assumptions!$C$38)-(Debt!$C$9*Assumptions!$C$89))</f>
        <v>315985.451496</v>
      </c>
      <c r="D127" s="17" t="n">
        <f aca="false">((('Operating Model'!$B$46+((250-Assumptions!$C$36)*12*'Unit Mix'!$C$10)*Assumptions!$C$38)+((250-Assumptions!$C$36)*12*'Unit Mix'!$C$10))-(Debt!$C$9*Assumptions!$C$89))</f>
        <v>387985.451496</v>
      </c>
      <c r="E127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F127" s="17" t="n">
        <f aca="false">((('Operating Model'!$B$46+((250-Assumptions!$C$36)*12*'Unit Mix'!$C$10)*Assumptions!$C$38)+((250-Assumptions!$C$36)*12*'Unit Mix'!$C$10))-(-PMT(Assumptions!$C$89,Assumptions!$C$94,Debt!$C$9)))</f>
        <v>294720.365841377</v>
      </c>
      <c r="G127" s="17" t="n">
        <f aca="false">((('Operating Model'!$B$46+((250-Assumptions!$C$36)*12*'Unit Mix'!$C$10)*Assumptions!$C$38)+((250-Assumptions!$C$36)*12*'Unit Mix'!$C$10))-(-PMT(Assumptions!$C$89,Assumptions!$C$94,Debt!$C$9))+((((('Operating Model'!$B$46+((250-Assumptions!$C$36)*12*'Unit Mix'!$C$10)*Assumptions!$C$38)+((250-Assumptions!$C$36)*12*'Unit Mix'!$C$10))*(1+Assumptions!$C$53))/(Returns!$B$34+Returns!$B$36))*(1-Assumptions!$C$110)-(Debt!$C$9+CUMPRINC(Assumptions!$C$89,Assumptions!$C$94,Debt!$C$9,1,3,0))))</f>
        <v>4009009.87291885</v>
      </c>
      <c r="H127" s="18" t="n">
        <f aca="false">IFERROR(IRR(B127:G127),"N/A")</f>
        <v>-0.0134264247488898</v>
      </c>
      <c r="I127" s="19" t="n">
        <f aca="false">SUM(C127:G127)/((Capital!$B$12+(('Unit Mix'!$C$10*(Assumptions!$C$34*(1+0.2)))-'Unit Mix'!$D$18)))</f>
        <v>0.942443615637563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5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484</v>
      </c>
    </row>
    <row r="4" customFormat="false" ht="15" hidden="false" customHeight="false" outlineLevel="0" collapsed="false">
      <c r="A4" s="3" t="s">
        <v>485</v>
      </c>
      <c r="B4" s="3"/>
      <c r="C4" s="3"/>
    </row>
    <row r="5" customFormat="false" ht="15" hidden="false" customHeight="false" outlineLevel="0" collapsed="false">
      <c r="A5" s="0" t="s">
        <v>486</v>
      </c>
      <c r="B5" s="20" t="n">
        <f aca="false">Capital!$B$19</f>
        <v>0</v>
      </c>
      <c r="C5" s="0" t="str">
        <f aca="false">IF(ABS(B5)&lt;0.01,"OK","FAIL")</f>
        <v>OK</v>
      </c>
    </row>
    <row r="7" customFormat="false" ht="15" hidden="false" customHeight="false" outlineLevel="0" collapsed="false">
      <c r="A7" s="3" t="s">
        <v>487</v>
      </c>
      <c r="B7" s="3"/>
      <c r="C7" s="3"/>
    </row>
    <row r="8" customFormat="false" ht="15" hidden="false" customHeight="false" outlineLevel="0" collapsed="false">
      <c r="A8" s="0" t="s">
        <v>488</v>
      </c>
      <c r="B8" s="20" t="n">
        <f aca="false">('Operating Model'!B$52-Debt!$E$18)-Returns!C50</f>
        <v>0</v>
      </c>
      <c r="C8" s="0" t="str">
        <f aca="false">IF(ABS(B8)&lt;0.01,"OK","FAIL")</f>
        <v>OK</v>
      </c>
    </row>
    <row r="9" customFormat="false" ht="15" hidden="false" customHeight="false" outlineLevel="0" collapsed="false">
      <c r="A9" s="0" t="s">
        <v>489</v>
      </c>
      <c r="B9" s="20" t="n">
        <f aca="false">('Operating Model'!C$52-Debt!$E$19)-Returns!D50</f>
        <v>0</v>
      </c>
      <c r="C9" s="0" t="str">
        <f aca="false">IF(ABS(B9)&lt;0.01,"OK","FAIL")</f>
        <v>OK</v>
      </c>
    </row>
    <row r="10" customFormat="false" ht="15" hidden="false" customHeight="false" outlineLevel="0" collapsed="false">
      <c r="A10" s="0" t="s">
        <v>490</v>
      </c>
      <c r="B10" s="20" t="n">
        <f aca="false">('Operating Model'!D$52-Debt!$E$20)-Returns!E50</f>
        <v>0</v>
      </c>
      <c r="C10" s="0" t="str">
        <f aca="false">IF(ABS(B10)&lt;0.01,"OK","FAIL")</f>
        <v>OK</v>
      </c>
    </row>
    <row r="11" customFormat="false" ht="15" hidden="false" customHeight="false" outlineLevel="0" collapsed="false">
      <c r="A11" s="0" t="s">
        <v>491</v>
      </c>
      <c r="B11" s="20" t="n">
        <f aca="false">('Operating Model'!E$52-Debt!$E$21)-Returns!F50</f>
        <v>0</v>
      </c>
      <c r="C11" s="0" t="str">
        <f aca="false">IF(ABS(B11)&lt;0.01,"OK","FAIL")</f>
        <v>OK</v>
      </c>
    </row>
    <row r="12" customFormat="false" ht="15" hidden="false" customHeight="false" outlineLevel="0" collapsed="false">
      <c r="A12" s="0" t="s">
        <v>492</v>
      </c>
      <c r="B12" s="20" t="n">
        <f aca="false">('Operating Model'!F$52-Debt!$E$22)-Returns!G50</f>
        <v>0</v>
      </c>
      <c r="C12" s="0" t="str">
        <f aca="false">IF(ABS(B12)&lt;0.01,"OK","FAIL")</f>
        <v>OK</v>
      </c>
    </row>
    <row r="14" customFormat="false" ht="15" hidden="false" customHeight="false" outlineLevel="0" collapsed="false">
      <c r="A14" s="3" t="s">
        <v>493</v>
      </c>
      <c r="B14" s="3"/>
      <c r="C14" s="3"/>
    </row>
    <row r="15" customFormat="false" ht="15" hidden="false" customHeight="false" outlineLevel="0" collapsed="false">
      <c r="A15" s="0" t="s">
        <v>494</v>
      </c>
      <c r="B15" s="20" t="n">
        <f aca="false">'Operating Model'!B30+'Operating Model'!B44-'Operating Model'!B46</f>
        <v>0</v>
      </c>
      <c r="C15" s="0" t="str">
        <f aca="false">IF(ABS(B15)&lt;0.01,"OK","FAIL")</f>
        <v>OK</v>
      </c>
    </row>
    <row r="16" customFormat="false" ht="15" hidden="false" customHeight="false" outlineLevel="0" collapsed="false">
      <c r="A16" s="0" t="s">
        <v>495</v>
      </c>
      <c r="B16" s="20" t="n">
        <f aca="false">'Operating Model'!C30+'Operating Model'!C44-'Operating Model'!C46</f>
        <v>0</v>
      </c>
      <c r="C16" s="0" t="str">
        <f aca="false">IF(ABS(B16)&lt;0.01,"OK","FAIL")</f>
        <v>OK</v>
      </c>
    </row>
    <row r="17" customFormat="false" ht="15" hidden="false" customHeight="false" outlineLevel="0" collapsed="false">
      <c r="A17" s="0" t="s">
        <v>496</v>
      </c>
      <c r="B17" s="20" t="n">
        <f aca="false">'Operating Model'!D30+'Operating Model'!D44-'Operating Model'!D46</f>
        <v>0</v>
      </c>
      <c r="C17" s="0" t="str">
        <f aca="false">IF(ABS(B17)&lt;0.01,"OK","FAIL")</f>
        <v>OK</v>
      </c>
    </row>
    <row r="18" customFormat="false" ht="15" hidden="false" customHeight="false" outlineLevel="0" collapsed="false">
      <c r="A18" s="0" t="s">
        <v>497</v>
      </c>
      <c r="B18" s="20" t="n">
        <f aca="false">'Operating Model'!E30+'Operating Model'!E44-'Operating Model'!E46</f>
        <v>0</v>
      </c>
      <c r="C18" s="0" t="str">
        <f aca="false">IF(ABS(B18)&lt;0.01,"OK","FAIL")</f>
        <v>OK</v>
      </c>
    </row>
    <row r="19" customFormat="false" ht="15" hidden="false" customHeight="false" outlineLevel="0" collapsed="false">
      <c r="A19" s="0" t="s">
        <v>498</v>
      </c>
      <c r="B19" s="20" t="n">
        <f aca="false">'Operating Model'!F30+'Operating Model'!F44-'Operating Model'!F46</f>
        <v>0</v>
      </c>
      <c r="C19" s="0" t="str">
        <f aca="false">IF(ABS(B19)&lt;0.01,"OK","FAIL")</f>
        <v>OK</v>
      </c>
    </row>
    <row r="21" customFormat="false" ht="15" hidden="false" customHeight="false" outlineLevel="0" collapsed="false">
      <c r="A21" s="3" t="s">
        <v>499</v>
      </c>
      <c r="B21" s="3"/>
      <c r="C21" s="3"/>
    </row>
    <row r="22" customFormat="false" ht="15" hidden="false" customHeight="false" outlineLevel="0" collapsed="false">
      <c r="A22" s="0" t="s">
        <v>500</v>
      </c>
      <c r="B22" s="20" t="n">
        <f aca="false">Waterfall!C37</f>
        <v>0</v>
      </c>
      <c r="C22" s="0" t="str">
        <f aca="false">IF(ABS(B22)&lt;0.01,"OK","FAIL")</f>
        <v>OK</v>
      </c>
    </row>
    <row r="23" customFormat="false" ht="15" hidden="false" customHeight="false" outlineLevel="0" collapsed="false">
      <c r="A23" s="0" t="s">
        <v>501</v>
      </c>
      <c r="B23" s="20" t="n">
        <f aca="false">Waterfall!D37</f>
        <v>0</v>
      </c>
      <c r="C23" s="0" t="str">
        <f aca="false">IF(ABS(B23)&lt;0.01,"OK","FAIL")</f>
        <v>OK</v>
      </c>
    </row>
    <row r="24" customFormat="false" ht="15" hidden="false" customHeight="false" outlineLevel="0" collapsed="false">
      <c r="A24" s="0" t="s">
        <v>502</v>
      </c>
      <c r="B24" s="20" t="n">
        <f aca="false">Waterfall!E37</f>
        <v>0</v>
      </c>
      <c r="C24" s="0" t="str">
        <f aca="false">IF(ABS(B24)&lt;0.01,"OK","FAIL")</f>
        <v>OK</v>
      </c>
    </row>
    <row r="25" customFormat="false" ht="15" hidden="false" customHeight="false" outlineLevel="0" collapsed="false">
      <c r="A25" s="0" t="s">
        <v>503</v>
      </c>
      <c r="B25" s="20" t="n">
        <f aca="false">Waterfall!F37</f>
        <v>0</v>
      </c>
      <c r="C25" s="0" t="str">
        <f aca="false">IF(ABS(B25)&lt;0.01,"OK","FAIL")</f>
        <v>OK</v>
      </c>
    </row>
    <row r="26" customFormat="false" ht="15" hidden="false" customHeight="false" outlineLevel="0" collapsed="false">
      <c r="A26" s="0" t="s">
        <v>504</v>
      </c>
      <c r="B26" s="20" t="n">
        <f aca="false">Waterfall!G37</f>
        <v>0</v>
      </c>
      <c r="C26" s="0" t="str">
        <f aca="false">IF(ABS(B26)&lt;0.01,"OK","FAIL")</f>
        <v>OK</v>
      </c>
    </row>
    <row r="28" customFormat="false" ht="15" hidden="false" customHeight="false" outlineLevel="0" collapsed="false">
      <c r="A28" s="3" t="s">
        <v>505</v>
      </c>
      <c r="B28" s="3"/>
      <c r="C28" s="3"/>
    </row>
    <row r="29" customFormat="false" ht="15" hidden="false" customHeight="false" outlineLevel="0" collapsed="false">
      <c r="A29" s="0" t="s">
        <v>506</v>
      </c>
      <c r="B29" s="20" t="n">
        <f aca="false">MIN(Waterfall!C12:G12)</f>
        <v>851624.689207784</v>
      </c>
      <c r="C29" s="0" t="str">
        <f aca="false">IF(B29&gt;=-0.01,"OK","FAIL")</f>
        <v>OK</v>
      </c>
    </row>
    <row r="30" customFormat="false" ht="15" hidden="false" customHeight="false" outlineLevel="0" collapsed="false">
      <c r="A30" s="0" t="s">
        <v>507</v>
      </c>
      <c r="B30" s="20" t="n">
        <f aca="false">MIN(Waterfall!C17:G17)</f>
        <v>2233602.44964086</v>
      </c>
      <c r="C30" s="0" t="str">
        <f aca="false">IF(B30&gt;=-0.01,"OK","FAIL")</f>
        <v>OK</v>
      </c>
    </row>
    <row r="32" customFormat="false" ht="15" hidden="false" customHeight="false" outlineLevel="0" collapsed="false">
      <c r="A32" s="3" t="s">
        <v>508</v>
      </c>
      <c r="B32" s="3"/>
      <c r="C32" s="3"/>
    </row>
    <row r="33" customFormat="false" ht="15" hidden="false" customHeight="false" outlineLevel="0" collapsed="false">
      <c r="A33" s="0" t="s">
        <v>509</v>
      </c>
      <c r="B33" s="20" t="n">
        <f aca="false">Capital!$B$16+Capital!$B$17-Capital!$B$12</f>
        <v>0</v>
      </c>
      <c r="C33" s="0" t="str">
        <f aca="false">IF(ABS(B33)&lt;0.01,"OK","FAIL")</f>
        <v>OK</v>
      </c>
    </row>
    <row r="34" customFormat="false" ht="15" hidden="false" customHeight="false" outlineLevel="0" collapsed="false">
      <c r="A34" s="0" t="s">
        <v>510</v>
      </c>
      <c r="B34" s="20" t="n">
        <f aca="false">'Returns (Assumed)'!$B$10+'Returns (Assumed)'!$B$11-'Returns (Assumed)'!$B$9</f>
        <v>0</v>
      </c>
      <c r="C34" s="0" t="str">
        <f aca="false">IF(ABS(B34)&lt;0.01,"OK","FAIL")</f>
        <v>OK</v>
      </c>
    </row>
    <row r="36" customFormat="false" ht="15" hidden="false" customHeight="false" outlineLevel="0" collapsed="false">
      <c r="A36" s="3" t="s">
        <v>511</v>
      </c>
      <c r="B36" s="3"/>
      <c r="C36" s="3"/>
    </row>
    <row r="37" customFormat="false" ht="15" hidden="false" customHeight="false" outlineLevel="0" collapsed="false">
      <c r="A37" s="0" t="s">
        <v>512</v>
      </c>
      <c r="B37" s="20" t="n">
        <f aca="false">Debt!$C$9-SUM(Debt!D18:D22)-Debt!F22</f>
        <v>0</v>
      </c>
      <c r="C37" s="0" t="str">
        <f aca="false">IF(ABS(B37)&lt;0.01,"OK","FAIL")</f>
        <v>OK</v>
      </c>
    </row>
    <row r="39" customFormat="false" ht="15" hidden="false" customHeight="false" outlineLevel="0" collapsed="false">
      <c r="A39" s="3" t="s">
        <v>513</v>
      </c>
      <c r="B39" s="3"/>
      <c r="C39" s="3"/>
    </row>
    <row r="40" customFormat="false" ht="15" hidden="false" customHeight="false" outlineLevel="0" collapsed="false">
      <c r="A40" s="0" t="s">
        <v>514</v>
      </c>
      <c r="B40" s="20" t="n">
        <f aca="false">Returns!B25-'Operating Model'!$B$46</f>
        <v>0</v>
      </c>
      <c r="C40" s="0" t="str">
        <f aca="false">IF(ABS(B40)&lt;0.01,"OK","FAIL")</f>
        <v>OK</v>
      </c>
    </row>
    <row r="42" customFormat="false" ht="15" hidden="false" customHeight="false" outlineLevel="0" collapsed="false">
      <c r="A42" s="3" t="s">
        <v>515</v>
      </c>
      <c r="B42" s="3"/>
      <c r="C42" s="3"/>
    </row>
    <row r="43" customFormat="false" ht="15" hidden="false" customHeight="false" outlineLevel="0" collapsed="false">
      <c r="A43" s="0" t="s">
        <v>516</v>
      </c>
      <c r="B43" s="20" t="n">
        <f aca="false">'Debt (Assumed)'!$B$25-SUM('Debt (Assumed)'!C32:F32)-'Debt (Assumed)'!F33</f>
        <v>0</v>
      </c>
      <c r="C43" s="0" t="str">
        <f aca="false">IF(ABS(B43)&lt;0.01,"OK","FAIL")</f>
        <v>OK</v>
      </c>
    </row>
    <row r="45" customFormat="false" ht="15" hidden="false" customHeight="false" outlineLevel="0" collapsed="false">
      <c r="A45" s="3" t="s">
        <v>517</v>
      </c>
      <c r="B45" s="3"/>
      <c r="C45" s="3"/>
    </row>
    <row r="46" customFormat="false" ht="15" hidden="false" customHeight="false" outlineLevel="0" collapsed="false">
      <c r="A46" s="2" t="s">
        <v>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519</v>
      </c>
    </row>
    <row r="3" customFormat="false" ht="45" hidden="false" customHeight="true" outlineLevel="0" collapsed="false">
      <c r="A3" s="21" t="s">
        <v>520</v>
      </c>
    </row>
    <row r="6" customFormat="false" ht="15" hidden="false" customHeight="false" outlineLevel="0" collapsed="false">
      <c r="A6" s="3" t="s">
        <v>521</v>
      </c>
      <c r="B6" s="3"/>
    </row>
    <row r="7" customFormat="false" ht="15" hidden="false" customHeight="false" outlineLevel="0" collapsed="false">
      <c r="A7" s="0" t="s">
        <v>226</v>
      </c>
      <c r="B7" s="17" t="n">
        <f aca="false">Assumptions!$C$7</f>
        <v>13800000</v>
      </c>
    </row>
    <row r="8" customFormat="false" ht="15" hidden="false" customHeight="false" outlineLevel="0" collapsed="false">
      <c r="A8" s="0" t="s">
        <v>522</v>
      </c>
      <c r="B8" s="17" t="n">
        <f aca="false">'Returns (Assumed)'!$B$7</f>
        <v>14545290</v>
      </c>
    </row>
    <row r="9" customFormat="false" ht="15" hidden="false" customHeight="false" outlineLevel="0" collapsed="false">
      <c r="A9" s="0" t="s">
        <v>523</v>
      </c>
      <c r="B9" s="17" t="n">
        <f aca="false">'Returns (Assumed)'!$B$8</f>
        <v>9450000</v>
      </c>
    </row>
    <row r="10" customFormat="false" ht="15" hidden="false" customHeight="false" outlineLevel="0" collapsed="false">
      <c r="A10" s="15" t="s">
        <v>323</v>
      </c>
      <c r="B10" s="9" t="n">
        <f aca="false">'Returns (Assumed)'!$B$9</f>
        <v>5095290</v>
      </c>
    </row>
    <row r="11" customFormat="false" ht="15" hidden="false" customHeight="false" outlineLevel="0" collapsed="false">
      <c r="A11" s="0" t="s">
        <v>324</v>
      </c>
      <c r="B11" s="17" t="n">
        <f aca="false">'Returns (Assumed)'!$B$10</f>
        <v>4585761</v>
      </c>
    </row>
    <row r="12" customFormat="false" ht="15" hidden="false" customHeight="false" outlineLevel="0" collapsed="false">
      <c r="A12" s="0" t="s">
        <v>524</v>
      </c>
      <c r="B12" s="17" t="n">
        <f aca="false">'Returns (Assumed)'!$B$11</f>
        <v>509529</v>
      </c>
    </row>
    <row r="13" customFormat="false" ht="15" hidden="false" customHeight="false" outlineLevel="0" collapsed="false">
      <c r="A13" s="0" t="s">
        <v>525</v>
      </c>
      <c r="B13" s="17" t="n">
        <f aca="false">'Returns (Assumed)'!B33</f>
        <v>540894.743695407</v>
      </c>
    </row>
    <row r="14" customFormat="false" ht="15" hidden="false" customHeight="false" outlineLevel="0" collapsed="false">
      <c r="A14" s="15" t="s">
        <v>526</v>
      </c>
      <c r="B14" s="17" t="n">
        <f aca="false">'Returns (Assumed)'!B34</f>
        <v>5636184.74369541</v>
      </c>
    </row>
    <row r="16" customFormat="false" ht="15" hidden="false" customHeight="false" outlineLevel="0" collapsed="false">
      <c r="A16" s="3" t="s">
        <v>527</v>
      </c>
      <c r="B16" s="3"/>
    </row>
    <row r="17" customFormat="false" ht="15" hidden="false" customHeight="false" outlineLevel="0" collapsed="false">
      <c r="A17" s="0" t="s">
        <v>256</v>
      </c>
      <c r="B17" s="18" t="n">
        <f aca="false">Assumptions!$C$8</f>
        <v>0.07</v>
      </c>
    </row>
    <row r="18" customFormat="false" ht="15" hidden="false" customHeight="false" outlineLevel="0" collapsed="false">
      <c r="A18" s="15" t="s">
        <v>528</v>
      </c>
      <c r="B18" s="11" t="n">
        <f aca="false">Returns!$B$29</f>
        <v>0.0613879059130435</v>
      </c>
    </row>
    <row r="19" customFormat="false" ht="15" hidden="false" customHeight="false" outlineLevel="0" collapsed="false">
      <c r="A19" s="0" t="s">
        <v>529</v>
      </c>
      <c r="B19" s="18" t="n">
        <f aca="false">Returns!B30</f>
        <v>0.0664388008330435</v>
      </c>
    </row>
    <row r="20" customFormat="false" ht="15" hidden="false" customHeight="false" outlineLevel="0" collapsed="false">
      <c r="A20" s="0" t="s">
        <v>530</v>
      </c>
      <c r="B20" s="18" t="n">
        <f aca="false">Returns!$B$34</f>
        <v>0.0663879059130435</v>
      </c>
    </row>
    <row r="21" customFormat="false" ht="15" hidden="false" customHeight="false" outlineLevel="0" collapsed="false">
      <c r="A21" s="0" t="s">
        <v>531</v>
      </c>
      <c r="B21" s="18" t="n">
        <f aca="false">'Returns (Assumed)'!$B$8/Assumptions!$C$7</f>
        <v>0.684782608695652</v>
      </c>
    </row>
    <row r="22" customFormat="false" ht="15" hidden="false" customHeight="false" outlineLevel="0" collapsed="false">
      <c r="A22" s="0" t="s">
        <v>532</v>
      </c>
      <c r="B22" s="22" t="n">
        <f aca="false">Assumptions!$C$107</f>
        <v>5</v>
      </c>
    </row>
    <row r="24" customFormat="false" ht="15" hidden="false" customHeight="false" outlineLevel="0" collapsed="false">
      <c r="A24" s="3" t="s">
        <v>533</v>
      </c>
      <c r="B24" s="3"/>
    </row>
    <row r="25" customFormat="false" ht="15" hidden="false" customHeight="false" outlineLevel="0" collapsed="false">
      <c r="A25" s="0" t="s">
        <v>287</v>
      </c>
      <c r="B25" s="18" t="n">
        <f aca="false">Returns!B57</f>
        <v>0.0527775689789223</v>
      </c>
    </row>
    <row r="26" customFormat="false" ht="15" hidden="false" customHeight="false" outlineLevel="0" collapsed="false">
      <c r="A26" s="15" t="s">
        <v>534</v>
      </c>
      <c r="B26" s="11" t="n">
        <f aca="false">'Returns (Assumed)'!B30</f>
        <v>0.0519858729912164</v>
      </c>
    </row>
    <row r="27" customFormat="false" ht="15" hidden="false" customHeight="false" outlineLevel="0" collapsed="false">
      <c r="A27" s="0" t="s">
        <v>289</v>
      </c>
      <c r="B27" s="19" t="n">
        <f aca="false">Returns!B59</f>
        <v>1.26176510705663</v>
      </c>
    </row>
    <row r="28" customFormat="false" ht="15" hidden="false" customHeight="false" outlineLevel="0" collapsed="false">
      <c r="A28" s="15" t="s">
        <v>535</v>
      </c>
      <c r="B28" s="23" t="n">
        <f aca="false">'Returns (Assumed)'!B31</f>
        <v>1.26576958995227</v>
      </c>
    </row>
    <row r="29" customFormat="false" ht="15" hidden="false" customHeight="false" outlineLevel="0" collapsed="false">
      <c r="A29" s="0" t="s">
        <v>536</v>
      </c>
      <c r="B29" s="18" t="n">
        <f aca="false">Waterfall!B40</f>
        <v>0.0519858729912165</v>
      </c>
    </row>
    <row r="30" customFormat="false" ht="15" hidden="false" customHeight="false" outlineLevel="0" collapsed="false">
      <c r="A30" s="0" t="s">
        <v>537</v>
      </c>
      <c r="B30" s="19" t="n">
        <f aca="false">Waterfall!B42</f>
        <v>1.26576958995227</v>
      </c>
    </row>
    <row r="31" customFormat="false" ht="15" hidden="false" customHeight="false" outlineLevel="0" collapsed="false">
      <c r="A31" s="0" t="s">
        <v>538</v>
      </c>
      <c r="B31" s="18" t="n">
        <f aca="false">Waterfall!B41</f>
        <v>0.0519858729912163</v>
      </c>
    </row>
    <row r="32" customFormat="false" ht="15" hidden="false" customHeight="false" outlineLevel="0" collapsed="false">
      <c r="A32" s="0" t="s">
        <v>539</v>
      </c>
      <c r="B32" s="19" t="n">
        <f aca="false">Waterfall!B43</f>
        <v>1.26576958995227</v>
      </c>
    </row>
    <row r="33" customFormat="false" ht="15" hidden="false" customHeight="false" outlineLevel="0" collapsed="false">
      <c r="A33" s="0" t="s">
        <v>540</v>
      </c>
      <c r="B33" s="17" t="n">
        <f aca="false">Waterfall!B44</f>
        <v>0</v>
      </c>
    </row>
    <row r="35" customFormat="false" ht="15" hidden="false" customHeight="false" outlineLevel="0" collapsed="false">
      <c r="A35" s="3" t="s">
        <v>541</v>
      </c>
      <c r="B35" s="3"/>
      <c r="C35" s="3"/>
    </row>
    <row r="36" customFormat="false" ht="15" hidden="false" customHeight="false" outlineLevel="0" collapsed="false">
      <c r="B36" s="15" t="s">
        <v>542</v>
      </c>
      <c r="C36" s="15" t="s">
        <v>543</v>
      </c>
    </row>
    <row r="37" customFormat="false" ht="15" hidden="false" customHeight="false" outlineLevel="0" collapsed="false">
      <c r="A37" s="0" t="s">
        <v>544</v>
      </c>
      <c r="B37" s="17" t="n">
        <f aca="false">'Returns (Assumed)'!$B$8</f>
        <v>9450000</v>
      </c>
      <c r="C37" s="17" t="n">
        <f aca="false">Debt!$C$9</f>
        <v>8970000</v>
      </c>
    </row>
    <row r="38" customFormat="false" ht="15" hidden="false" customHeight="false" outlineLevel="0" collapsed="false">
      <c r="A38" s="0" t="s">
        <v>545</v>
      </c>
      <c r="B38" s="18" t="n">
        <f aca="false">Assumptions!$C$102</f>
        <v>0.0420651851851852</v>
      </c>
      <c r="C38" s="18" t="n">
        <f aca="false">Assumptions!$C$89</f>
        <v>0.071</v>
      </c>
    </row>
    <row r="39" customFormat="false" ht="15" hidden="false" customHeight="false" outlineLevel="0" collapsed="false">
      <c r="A39" s="0" t="s">
        <v>546</v>
      </c>
      <c r="B39" s="17" t="n">
        <f aca="false">'Returns (Assumed)'!$B$9</f>
        <v>5095290</v>
      </c>
      <c r="C39" s="17" t="n">
        <f aca="false">Capital!$B$12</f>
        <v>5528040</v>
      </c>
    </row>
    <row r="40" customFormat="false" ht="15" hidden="false" customHeight="false" outlineLevel="0" collapsed="false">
      <c r="A40" s="0" t="s">
        <v>547</v>
      </c>
      <c r="B40" s="18" t="n">
        <f aca="false">'Returns (Assumed)'!B30</f>
        <v>0.0519858729912164</v>
      </c>
      <c r="C40" s="18" t="n">
        <f aca="false">Returns!B58</f>
        <v>0.0230725436637686</v>
      </c>
    </row>
    <row r="41" customFormat="false" ht="15" hidden="false" customHeight="false" outlineLevel="0" collapsed="false">
      <c r="A41" s="0" t="s">
        <v>548</v>
      </c>
      <c r="B41" s="19" t="n">
        <f aca="false">'Returns (Assumed)'!B31</f>
        <v>1.26576958995227</v>
      </c>
      <c r="C41" s="19" t="n">
        <f aca="false">Returns!B60</f>
        <v>1.11415738765503</v>
      </c>
    </row>
    <row r="42" customFormat="false" ht="15" hidden="false" customHeight="false" outlineLevel="0" collapsed="false">
      <c r="A42" s="0" t="s">
        <v>549</v>
      </c>
      <c r="B42" s="18" t="n">
        <f aca="false">'Returns (Assumed)'!B32</f>
        <v>0.0962142393261227</v>
      </c>
      <c r="C42" s="18" t="n">
        <f aca="false">Returns!C50/Returns!B55</f>
        <v>0.045384159936614</v>
      </c>
    </row>
    <row r="44" customFormat="false" ht="15" hidden="false" customHeight="false" outlineLevel="0" collapsed="false">
      <c r="A44" s="3" t="s">
        <v>550</v>
      </c>
      <c r="B44" s="3"/>
      <c r="C44" s="3"/>
      <c r="D44" s="3"/>
      <c r="E44" s="3"/>
      <c r="F44" s="3"/>
      <c r="G44" s="3"/>
      <c r="H44" s="3"/>
    </row>
    <row r="45" customFormat="false" ht="15" hidden="false" customHeight="false" outlineLevel="0" collapsed="false">
      <c r="A45" s="2" t="s">
        <v>551</v>
      </c>
    </row>
    <row r="46" customFormat="false" ht="15" hidden="false" customHeight="false" outlineLevel="0" collapsed="false">
      <c r="A46" s="15" t="s">
        <v>552</v>
      </c>
      <c r="B46" s="15" t="s">
        <v>553</v>
      </c>
      <c r="C46" s="15" t="s">
        <v>554</v>
      </c>
      <c r="D46" s="15" t="s">
        <v>555</v>
      </c>
      <c r="E46" s="15" t="s">
        <v>556</v>
      </c>
      <c r="F46" s="15" t="s">
        <v>557</v>
      </c>
      <c r="G46" s="15" t="s">
        <v>372</v>
      </c>
      <c r="H46" s="15" t="s">
        <v>558</v>
      </c>
    </row>
    <row r="47" customFormat="false" ht="15" hidden="false" customHeight="false" outlineLevel="0" collapsed="false">
      <c r="A47" s="0" t="s">
        <v>559</v>
      </c>
      <c r="B47" s="17" t="n">
        <v>13273194</v>
      </c>
      <c r="C47" s="17" t="n">
        <v>136837</v>
      </c>
      <c r="D47" s="18" t="n">
        <v>-0.038</v>
      </c>
      <c r="E47" s="18" t="n">
        <v>0.0645</v>
      </c>
      <c r="F47" s="18" t="n">
        <v>0.08</v>
      </c>
      <c r="G47" s="18" t="n">
        <v>0.08</v>
      </c>
      <c r="H47" s="17" t="n">
        <v>12446851</v>
      </c>
    </row>
    <row r="48" customFormat="false" ht="15" hidden="false" customHeight="false" outlineLevel="0" collapsed="false">
      <c r="A48" s="0" t="s">
        <v>560</v>
      </c>
      <c r="B48" s="17" t="n">
        <v>12649932</v>
      </c>
      <c r="C48" s="17" t="n">
        <v>130412</v>
      </c>
      <c r="D48" s="18" t="n">
        <v>-0.083</v>
      </c>
      <c r="E48" s="18" t="n">
        <v>0.0685</v>
      </c>
      <c r="F48" s="18" t="n">
        <v>0.12</v>
      </c>
      <c r="G48" s="18" t="n">
        <v>0.1086</v>
      </c>
      <c r="H48" s="17" t="n">
        <v>11279057</v>
      </c>
    </row>
    <row r="49" customFormat="false" ht="15" hidden="false" customHeight="false" outlineLevel="0" collapsed="false">
      <c r="A49" s="0" t="s">
        <v>561</v>
      </c>
      <c r="B49" s="17" t="n">
        <v>12261655</v>
      </c>
      <c r="C49" s="17" t="n">
        <v>126409</v>
      </c>
      <c r="D49" s="18" t="n">
        <v>-0.111</v>
      </c>
      <c r="E49" s="18" t="n">
        <v>0.0712</v>
      </c>
      <c r="F49" s="18" t="n">
        <v>0.15</v>
      </c>
      <c r="G49" s="18" t="n">
        <v>0.1278</v>
      </c>
      <c r="H49" s="17" t="n">
        <v>10722578</v>
      </c>
    </row>
    <row r="50" customFormat="false" ht="15" hidden="false" customHeight="false" outlineLevel="0" collapsed="false">
      <c r="A50" s="0" t="s">
        <v>562</v>
      </c>
      <c r="B50" s="17" t="n">
        <v>12642396</v>
      </c>
      <c r="C50" s="17" t="n">
        <v>130334</v>
      </c>
      <c r="D50" s="18" t="n">
        <v>-0.084</v>
      </c>
      <c r="E50" s="18" t="n">
        <v>0.0686</v>
      </c>
      <c r="F50" s="18" t="n">
        <v>0.08</v>
      </c>
      <c r="G50" s="18" t="n">
        <v>0.08</v>
      </c>
      <c r="H50" s="17" t="n">
        <v>10742611</v>
      </c>
    </row>
    <row r="51" customFormat="false" ht="15" hidden="false" customHeight="false" outlineLevel="0" collapsed="false">
      <c r="A51" s="0" t="s">
        <v>563</v>
      </c>
      <c r="B51" s="17" t="n">
        <v>11838755</v>
      </c>
      <c r="C51" s="17" t="n">
        <v>122049</v>
      </c>
      <c r="D51" s="18" t="n">
        <v>-0.142</v>
      </c>
      <c r="E51" s="18" t="n">
        <v>0.0744</v>
      </c>
      <c r="F51" s="18" t="n">
        <v>0.12</v>
      </c>
      <c r="G51" s="18" t="n">
        <v>0.1086</v>
      </c>
      <c r="H51" s="17" t="n">
        <v>9186571</v>
      </c>
    </row>
    <row r="52" customFormat="false" ht="15" hidden="false" customHeight="false" outlineLevel="0" collapsed="false">
      <c r="A52" s="0" t="s">
        <v>564</v>
      </c>
      <c r="B52" s="17" t="n">
        <v>11247732</v>
      </c>
      <c r="C52" s="17" t="n">
        <v>115956</v>
      </c>
      <c r="D52" s="18" t="n">
        <v>-0.185</v>
      </c>
      <c r="E52" s="18" t="n">
        <v>0.0792</v>
      </c>
      <c r="F52" s="18" t="n">
        <v>0.15</v>
      </c>
      <c r="G52" s="18" t="n">
        <v>0.1278</v>
      </c>
      <c r="H52" s="17" t="n">
        <v>8245244</v>
      </c>
    </row>
    <row r="53" customFormat="false" ht="15" hidden="false" customHeight="false" outlineLevel="0" collapsed="false">
      <c r="A53" s="2" t="s">
        <v>565</v>
      </c>
    </row>
    <row r="55" customFormat="false" ht="15" hidden="false" customHeight="false" outlineLevel="0" collapsed="false">
      <c r="A55" s="3" t="s">
        <v>566</v>
      </c>
      <c r="B55" s="3"/>
    </row>
    <row r="56" customFormat="false" ht="109.5" hidden="false" customHeight="true" outlineLevel="0" collapsed="false">
      <c r="A56" s="21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2026-09-30T00:31:04Z</dcterms:created>
  <dc:creator>openpyxl</dc:creator>
  <dc:description/>
  <dc:language>en-US</dc:language>
  <cp:lastModifiedBy/>
  <dcterms:modified xsi:type="dcterms:W3CDTF">2026-09-30T00:31:04Z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